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ngopi\Downloads\"/>
    </mc:Choice>
  </mc:AlternateContent>
  <xr:revisionPtr revIDLastSave="0" documentId="13_ncr:1_{4ED717B2-8B82-499C-8B6E-9585F394D92F}" xr6:coauthVersionLast="47" xr6:coauthVersionMax="47" xr10:uidLastSave="{00000000-0000-0000-0000-000000000000}"/>
  <bookViews>
    <workbookView xWindow="28680" yWindow="-120" windowWidth="29040" windowHeight="15720" xr2:uid="{D8F405F0-9CCA-460D-9D30-E2C2C57BC64F}"/>
  </bookViews>
  <sheets>
    <sheet name="Feuil32" sheetId="1" r:id="rId1"/>
  </sheets>
  <externalReferences>
    <externalReference r:id="rId2"/>
  </externalReferences>
  <definedNames>
    <definedName name="_" hidden="1">#REF!</definedName>
    <definedName name="_____B72100">#REF!</definedName>
    <definedName name="_____CFO931">#REF!</definedName>
    <definedName name="_____CIN1">#REF!</definedName>
    <definedName name="_____CIN2">#REF!</definedName>
    <definedName name="_____CVM1">#REF!</definedName>
    <definedName name="_____CVM2">#REF!</definedName>
    <definedName name="____B72100">#REF!</definedName>
    <definedName name="____CFO931">#REF!</definedName>
    <definedName name="____CIN1">#REF!</definedName>
    <definedName name="____CIN2">#REF!</definedName>
    <definedName name="____CVM1">#REF!</definedName>
    <definedName name="____CVM2">#REF!</definedName>
    <definedName name="___B72100">#REF!</definedName>
    <definedName name="___CFO931">#REF!</definedName>
    <definedName name="___CIN1">#REF!</definedName>
    <definedName name="___CIN2">#REF!</definedName>
    <definedName name="___CVM1">#REF!</definedName>
    <definedName name="___CVM2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#N/A</definedName>
    <definedName name="__B72100">#REF!</definedName>
    <definedName name="__CFO931">#REF!</definedName>
    <definedName name="__CIN1">#REF!</definedName>
    <definedName name="__CIN2">#REF!</definedName>
    <definedName name="__CVM1">#REF!</definedName>
    <definedName name="__CVM2">#REF!</definedName>
    <definedName name="__FDS_HYPERLINK_TOGGLE_STATE__" hidden="1">"ON"</definedName>
    <definedName name="_1__123Graph_Aｸﾞﾗﾌ_7" hidden="1">#REF!</definedName>
    <definedName name="_1_0_0__123Grap" hidden="1">#REF!</definedName>
    <definedName name="_123b" hidden="1">#REF!</definedName>
    <definedName name="_123Grap" hidden="1">#REF!</definedName>
    <definedName name="_14_0_0__123Grap" hidden="1">#REF!</definedName>
    <definedName name="_2__123Graph_Bｸﾞﾗﾌ_7" hidden="1">#REF!</definedName>
    <definedName name="_2_0_0__123Grap" hidden="1">#REF!</definedName>
    <definedName name="_3__123Graph_Cｸﾞﾗﾌ_7" hidden="1">#REF!</definedName>
    <definedName name="_3_0_0__123Grap" hidden="1">#REF!</definedName>
    <definedName name="_4__123Graph_Dｸﾞﾗﾌ_7" hidden="1">#REF!</definedName>
    <definedName name="_5__123Graph_Eｸﾞﾗﾌ_7" hidden="1">#REF!</definedName>
    <definedName name="_6__123Graph_Fｸﾞﾗﾌ_7" hidden="1">#REF!</definedName>
    <definedName name="_7_123Grap" hidden="1">#REF!</definedName>
    <definedName name="_APM30" hidden="1">{#N/A,#N/A,FALSE,"F_Plan";#N/A,#N/A,FALSE,"Parameter"}</definedName>
    <definedName name="_APM30_1" hidden="1">{#N/A,#N/A,FALSE,"F_Plan";#N/A,#N/A,FALSE,"Parameter"}</definedName>
    <definedName name="_APM30_2" hidden="1">{#N/A,#N/A,FALSE,"F_Plan";#N/A,#N/A,FALSE,"Parameter"}</definedName>
    <definedName name="_B72100">#REF!</definedName>
    <definedName name="_CFO931">#REF!</definedName>
    <definedName name="_CIN1">#REF!</definedName>
    <definedName name="_CIN2">#REF!</definedName>
    <definedName name="_CVM1">#REF!</definedName>
    <definedName name="_CVM2">#REF!</definedName>
    <definedName name="_Fax1">#REF!</definedName>
    <definedName name="_xlnm._FilterDatabase" localSheetId="0" hidden="1">Feuil32!$B$4:$AK$473</definedName>
    <definedName name="_Key2" hidden="1">#REF!</definedName>
    <definedName name="_Key3" hidden="1">#REF!</definedName>
    <definedName name="_key4" hidden="1">#REF!</definedName>
    <definedName name="_ok2" hidden="1">{"COST",#N/A,FALSE,"SYNTHESE";"MARGIN",#N/A,FALSE,"SYNTHESE";"LOT_COM",#N/A,FALSE,"SYNTHESE"}</definedName>
    <definedName name="_Order1" hidden="1">0</definedName>
    <definedName name="_Order2" hidden="1">255</definedName>
    <definedName name="_Rue1">#REF!</definedName>
    <definedName name="_Sort" hidden="1">#REF!</definedName>
    <definedName name="_Table2_In2" hidden="1">#REF!</definedName>
    <definedName name="_UNDO31X31X_" hidden="1">#REF!</definedName>
    <definedName name="a" hidden="1">{#N/A,#N/A,TRUE,"Config1";#N/A,#N/A,TRUE,"Config2";#N/A,#N/A,TRUE,"Config3";#N/A,#N/A,TRUE,"Config4";#N/A,#N/A,TRUE,"Config5";#N/A,#N/A,TRUE,"Config6";#N/A,#N/A,TRUE,"Config7"}</definedName>
    <definedName name="a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AAA" hidden="1">{#N/A,#N/A,TRUE,"Config1";#N/A,#N/A,TRUE,"Config2";#N/A,#N/A,TRUE,"Config3";#N/A,#N/A,TRUE,"Config4";#N/A,#N/A,TRUE,"Config5";#N/A,#N/A,TRUE,"Config6";#N/A,#N/A,TRUE,"Config7"}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ssa" hidden="1">#REF!</definedName>
    <definedName name="ac_presence">#REF!</definedName>
    <definedName name="access" hidden="1">#REF!</definedName>
    <definedName name="accounts">#REF!</definedName>
    <definedName name="adf" hidden="1">#REF!</definedName>
    <definedName name="Airtel_Support_Engineer_No">#REF!</definedName>
    <definedName name="all_bat">#REF!</definedName>
    <definedName name="anscount" hidden="1">1</definedName>
    <definedName name="aq" hidden="1">{#N/A,#N/A,TRUE,"Config1";#N/A,#N/A,TRUE,"Config2";#N/A,#N/A,TRUE,"Config3";#N/A,#N/A,TRUE,"Config4";#N/A,#N/A,TRUE,"Config5";#N/A,#N/A,TRUE,"Config6";#N/A,#N/A,TRUE,"Config7"}</definedName>
    <definedName name="Area1">#REF!</definedName>
    <definedName name="Area10">#REF!</definedName>
    <definedName name="Area11">#REF!</definedName>
    <definedName name="Area12">#REF!</definedName>
    <definedName name="Area13">#REF!</definedName>
    <definedName name="Area14">#REF!</definedName>
    <definedName name="Area15">#REF!</definedName>
    <definedName name="Area16">#REF!</definedName>
    <definedName name="Area17">#REF!</definedName>
    <definedName name="Area18">#REF!</definedName>
    <definedName name="Area19">#REF!</definedName>
    <definedName name="Area2">#REF!</definedName>
    <definedName name="Area20">#REF!</definedName>
    <definedName name="Area21">#REF!</definedName>
    <definedName name="Area22">#REF!</definedName>
    <definedName name="Area23">#REF!</definedName>
    <definedName name="Area24">#REF!</definedName>
    <definedName name="Area25">#REF!</definedName>
    <definedName name="Area26">#REF!</definedName>
    <definedName name="Area27">#REF!</definedName>
    <definedName name="Area3">#REF!</definedName>
    <definedName name="Area4">#REF!</definedName>
    <definedName name="Area5">#REF!</definedName>
    <definedName name="Area6">#REF!</definedName>
    <definedName name="Area7">#REF!</definedName>
    <definedName name="Area8">#REF!</definedName>
    <definedName name="Area9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#REF!</definedName>
    <definedName name="ASD_1" hidden="1">{#N/A,#N/A,FALSE,"F_Plan";#N/A,#N/A,FALSE,"Parameter"}</definedName>
    <definedName name="ASD_2" hidden="1">{#N/A,#N/A,FALSE,"F_Plan";#N/A,#N/A,FALSE,"Parameter"}</definedName>
    <definedName name="ASDFSA" hidden="1">{#N/A,#N/A,FALSE,"F_Plan";#N/A,#N/A,FALSE,"Parameter"}</definedName>
    <definedName name="ASDFSA_1" hidden="1">{#N/A,#N/A,FALSE,"F_Plan";#N/A,#N/A,FALSE,"Parameter"}</definedName>
    <definedName name="ASDFSA_2" hidden="1">{#N/A,#N/A,FALSE,"F_Plan";#N/A,#N/A,FALSE,"Parameter"}</definedName>
    <definedName name="ASDSD_2" hidden="1">{#N/A,#N/A,FALSE,"Umsatz";#N/A,#N/A,FALSE,"Base V.02";#N/A,#N/A,FALSE,"Charts"}</definedName>
    <definedName name="ASDSDS" hidden="1">{#N/A,#N/A,FALSE,"Umsatz";#N/A,#N/A,FALSE,"Base V.02";#N/A,#N/A,FALSE,"Charts"}</definedName>
    <definedName name="ASDSDS_1" hidden="1">{#N/A,#N/A,FALSE,"Umsatz";#N/A,#N/A,FALSE,"Base V.02";#N/A,#N/A,FALSE,"Charts"}</definedName>
    <definedName name="ASDSDS_2" hidden="1">{#N/A,#N/A,FALSE,"Umsatz";#N/A,#N/A,FALSE,"Base V.02";#N/A,#N/A,FALSE,"Charts"}</definedName>
    <definedName name="ASSDS3" hidden="1">{#N/A,#N/A,FALSE,"Umsatz";#N/A,#N/A,FALSE,"Base V.02";#N/A,#N/A,FALSE,"Charts"}</definedName>
    <definedName name="ASSDS3_1" hidden="1">{#N/A,#N/A,FALSE,"Umsatz";#N/A,#N/A,FALSE,"Base V.02";#N/A,#N/A,FALSE,"Charts"}</definedName>
    <definedName name="ASSDS3_2" hidden="1">{#N/A,#N/A,FALSE,"Umsatz";#N/A,#N/A,FALSE,"Base V.02";#N/A,#N/A,FALSE,"Charts"}</definedName>
    <definedName name="AutoMemLock">#REF!</definedName>
    <definedName name="azerzaerazrr" hidden="1">#REF!</definedName>
    <definedName name="b" hidden="1">{#N/A,#N/A,TRUE,"Config1";#N/A,#N/A,TRUE,"Config2";#N/A,#N/A,TRUE,"Config3";#N/A,#N/A,TRUE,"Config4";#N/A,#N/A,TRUE,"Config5";#N/A,#N/A,TRUE,"Config6";#N/A,#N/A,TRUE,"Config7"}</definedName>
    <definedName name="BASBSS">#REF!,#REF!,#REF!,#REF!,#REF!</definedName>
    <definedName name="BASBSSLEGU">#REF!,#REF!,#REF!,#REF!,#REF!</definedName>
    <definedName name="BaseMatrices">#REF!</definedName>
    <definedName name="BASNSS">#REF!,#REF!,#REF!,#REF!,#REF!</definedName>
    <definedName name="BASNSSLEGU">#REF!,#REF!,#REF!,#REF!,#REF!</definedName>
    <definedName name="batteries_HGBx">#REF!</definedName>
    <definedName name="Battery">#REF!</definedName>
    <definedName name="bbbb" hidden="1">#REF!</definedName>
    <definedName name="BD_Exploitation">#REF!</definedName>
    <definedName name="Bfact1">#REF!</definedName>
    <definedName name="Bfact2">#REF!</definedName>
    <definedName name="BG_Del" hidden="1">15</definedName>
    <definedName name="BG_Ins" hidden="1">4</definedName>
    <definedName name="BG_Mod" hidden="1">6</definedName>
    <definedName name="bgfvft" hidden="1">{#N/A,#N/A,TRUE,"Config1";#N/A,#N/A,TRUE,"Config2";#N/A,#N/A,TRUE,"Config3";#N/A,#N/A,TRUE,"Config4";#N/A,#N/A,TRUE,"Config5";#N/A,#N/A,TRUE,"Config6";#N/A,#N/A,TRUE,"Config7"}</definedName>
    <definedName name="bjgjhgo" hidden="1">{#N/A,#N/A,TRUE,"Config1";#N/A,#N/A,TRUE,"Config2";#N/A,#N/A,TRUE,"Config3";#N/A,#N/A,TRUE,"Config4";#N/A,#N/A,TRUE,"Config5";#N/A,#N/A,TRUE,"Config6";#N/A,#N/A,TRUE,"Config7"}</definedName>
    <definedName name="BL1_AOUT">#REF!</definedName>
    <definedName name="BL1_AVR">#REF!</definedName>
    <definedName name="BL1_DEC">#REF!</definedName>
    <definedName name="BL1_FEV">#REF!</definedName>
    <definedName name="BL1_JAN">#REF!</definedName>
    <definedName name="BL1_JUL">#REF!</definedName>
    <definedName name="BL1_JUN">#REF!</definedName>
    <definedName name="BL1_MAI">#REF!</definedName>
    <definedName name="BL1_MAR">#REF!</definedName>
    <definedName name="BL1_NOV">#REF!</definedName>
    <definedName name="BL1_OCT">#REF!</definedName>
    <definedName name="BL1_SEP">#REF!</definedName>
    <definedName name="BL2_AOUT">#REF!</definedName>
    <definedName name="BL2_AVR">#REF!</definedName>
    <definedName name="BL2_DEC">#REF!</definedName>
    <definedName name="BL2_FEV">#REF!</definedName>
    <definedName name="BL2_JAN">#REF!</definedName>
    <definedName name="BL2_JUL">#REF!</definedName>
    <definedName name="BL2_JUN">#REF!</definedName>
    <definedName name="BL2_MAI">#REF!</definedName>
    <definedName name="BL2_MAR">#REF!</definedName>
    <definedName name="BL2_NOV">#REF!</definedName>
    <definedName name="BL2_OCT">#REF!</definedName>
    <definedName name="BL2_SEP">#REF!</definedName>
    <definedName name="BL3_AOUT">#REF!</definedName>
    <definedName name="BL3_AVR">#REF!</definedName>
    <definedName name="BL3_DEC">#REF!</definedName>
    <definedName name="BL3_FEV">#REF!</definedName>
    <definedName name="BL3_JAN">#REF!</definedName>
    <definedName name="BL3_JUL">#REF!</definedName>
    <definedName name="BL3_JUN">#REF!</definedName>
    <definedName name="BL3_MAI">#REF!</definedName>
    <definedName name="BL3_MAR">#REF!</definedName>
    <definedName name="BL3_NOV">#REF!</definedName>
    <definedName name="BL3_OCT">#REF!</definedName>
    <definedName name="BL3_SEP">#REF!</definedName>
    <definedName name="BL4_AOUT">#REF!</definedName>
    <definedName name="BL4_AVR">#REF!</definedName>
    <definedName name="BL4_DEC">#REF!</definedName>
    <definedName name="BL4_FEV">#REF!</definedName>
    <definedName name="BL4_JAN">#REF!</definedName>
    <definedName name="BL4_JUL">#REF!</definedName>
    <definedName name="BL4_JUN">#REF!</definedName>
    <definedName name="BL4_MAI">#REF!</definedName>
    <definedName name="BL4_MAR">#REF!</definedName>
    <definedName name="BL4_NOV">#REF!</definedName>
    <definedName name="BL4_OCT">#REF!</definedName>
    <definedName name="BL4_SEP">#REF!</definedName>
    <definedName name="BL5_AOUT">#REF!</definedName>
    <definedName name="BL5_AVR">#REF!</definedName>
    <definedName name="BL5_DEC">#REF!</definedName>
    <definedName name="BL5_FEV">#REF!</definedName>
    <definedName name="BL5_JAN">#REF!</definedName>
    <definedName name="BL5_JUL">#REF!</definedName>
    <definedName name="BL5_JUN">#REF!</definedName>
    <definedName name="BL5_MAI">#REF!</definedName>
    <definedName name="BL5_MAR">#REF!</definedName>
    <definedName name="BL5_NOV">#REF!</definedName>
    <definedName name="BL5_OCT">#REF!</definedName>
    <definedName name="BL5_SEP">#REF!</definedName>
    <definedName name="BL6_AOUT">#REF!</definedName>
    <definedName name="BL6_AVR">#REF!</definedName>
    <definedName name="BL6_DEC">#REF!</definedName>
    <definedName name="BL6_FEV">#REF!</definedName>
    <definedName name="BL6_JAN">#REF!</definedName>
    <definedName name="BL6_JUL">#REF!</definedName>
    <definedName name="BL6_JUN">#REF!</definedName>
    <definedName name="BL6_MAI">#REF!</definedName>
    <definedName name="BL6_MAR">#REF!</definedName>
    <definedName name="BL6_NOV">#REF!</definedName>
    <definedName name="BL6_OCT">#REF!</definedName>
    <definedName name="BL6_SEP">#REF!</definedName>
    <definedName name="BMAF100">#REF!</definedName>
    <definedName name="boolean">#REF!</definedName>
    <definedName name="BOQ_Catalogue">#REF!</definedName>
    <definedName name="BRGE100">#REF!</definedName>
    <definedName name="BRYRTU">#REF!</definedName>
    <definedName name="BSGE100">#REF!</definedName>
    <definedName name="BSSCAT">#REF!</definedName>
    <definedName name="BT2PRICE">#REF!</definedName>
    <definedName name="BTCOST">#REF!</definedName>
    <definedName name="BTFE100">#REF!</definedName>
    <definedName name="BTS_G1">#REF!</definedName>
    <definedName name="BTS_G2">#REF!</definedName>
    <definedName name="BTSE100">#REF!</definedName>
    <definedName name="BulkMultiplier">#REF!</definedName>
    <definedName name="c_anru">#REF!</definedName>
    <definedName name="c_bb">#REF!</definedName>
    <definedName name="c_noms">#REF!</definedName>
    <definedName name="c_rack">#REF!</definedName>
    <definedName name="c_sumu">#REF!</definedName>
    <definedName name="c_teu">#REF!</definedName>
    <definedName name="cabinets">#REF!</definedName>
    <definedName name="CalBulkRB">#REF!</definedName>
    <definedName name="CalCheck">#REF!</definedName>
    <definedName name="calcsum">#REF!</definedName>
    <definedName name="CalculMatriciel">#REF!</definedName>
    <definedName name="CalCurrAmp">#REF!</definedName>
    <definedName name="CalIoRB">#REF!</definedName>
    <definedName name="CalIoRef">#REF!</definedName>
    <definedName name="CalMethod">#REF!</definedName>
    <definedName name="CalPoLim">#REF!</definedName>
    <definedName name="CalRangeIo">#REF!</definedName>
    <definedName name="CalRangeVo">#REF!</definedName>
    <definedName name="CalViRB">#REF!</definedName>
    <definedName name="CalVoRB">#REF!</definedName>
    <definedName name="CalVoRef">#REF!</definedName>
    <definedName name="carryover">#REF!</definedName>
    <definedName name="Cat">#REF!</definedName>
    <definedName name="Cat_2005">#REF!</definedName>
    <definedName name="Cat_CONFIG">#REF!</definedName>
    <definedName name="Cat_Ind_Out">#REF!</definedName>
    <definedName name="Cat_Power">#REF!</definedName>
    <definedName name="Cat_Priority">#REF!</definedName>
    <definedName name="cata_rep">#REF!</definedName>
    <definedName name="catalogue">#REF!</definedName>
    <definedName name="categorie">#REF!</definedName>
    <definedName name="categories">OFFSET(#REF!,0,0,MATCH(REPT("z",255),#REF!),1)</definedName>
    <definedName name="Category">#REF!</definedName>
    <definedName name="Causes_List">#REF!</definedName>
    <definedName name="Causes_NuR">#REF!</definedName>
    <definedName name="CB">#REF!</definedName>
    <definedName name="CBIL1">#REF!</definedName>
    <definedName name="CBIL2">#REF!</definedName>
    <definedName name="CBRETRO">#REF!</definedName>
    <definedName name="CBWAR">#REF!</definedName>
    <definedName name="cc" hidden="1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ECHO1">#REF!</definedName>
    <definedName name="CECHO2">#REF!</definedName>
    <definedName name="ceeee">#REF!</definedName>
    <definedName name="CEIR1">#REF!</definedName>
    <definedName name="CEIR2">#REF!</definedName>
    <definedName name="celHypNomSite">#REF!</definedName>
    <definedName name="cellinfrafee">#REF!</definedName>
    <definedName name="CellType">#REF!</definedName>
    <definedName name="CENVE1">#REF!</definedName>
    <definedName name="CENVE2">#REF!</definedName>
    <definedName name="CFO_01">#REF!</definedName>
    <definedName name="cfo_2002">#REF!</definedName>
    <definedName name="cfo_2003">#REF!</definedName>
    <definedName name="CFO_ed">#REF!</definedName>
    <definedName name="cfo_num">#REF!</definedName>
    <definedName name="chcj" hidden="1">{"COST",#N/A,FALSE,"SYNTHESE";"MARGIN",#N/A,FALSE,"SYNTHESE";"LOT_COM",#N/A,FALSE,"SYNTHESE"}</definedName>
    <definedName name="Check_Tot">#REF!</definedName>
    <definedName name="CHLR1">#REF!</definedName>
    <definedName name="CHLR2">#REF!</definedName>
    <definedName name="CINTER1">#REF!</definedName>
    <definedName name="CINTER2">#REF!</definedName>
    <definedName name="city_no">#REF!</definedName>
    <definedName name="Classification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mdb_fm_office">#REF!</definedName>
    <definedName name="cmdb_region">#REF!</definedName>
    <definedName name="CMSC1">#REF!</definedName>
    <definedName name="CMSC2">#REF!</definedName>
    <definedName name="CN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TRAIN3">#REF!</definedName>
    <definedName name="CNWAR1">#REF!</definedName>
    <definedName name="CNWAR2">#REF!</definedName>
    <definedName name="CNWAR3">#REF!</definedName>
    <definedName name="COcost">#REF!</definedName>
    <definedName name="CodeClient">#REF!</definedName>
    <definedName name="CodeCompose">#REF!</definedName>
    <definedName name="CodeCompose002">#REF!</definedName>
    <definedName name="CodeCompose003">#REF!</definedName>
    <definedName name="CodePostal">#REF!</definedName>
    <definedName name="CodeRep1">#REF!</definedName>
    <definedName name="CodeSociete">#REF!</definedName>
    <definedName name="COEF">#REF!</definedName>
    <definedName name="CoefF1">#REF!</definedName>
    <definedName name="CoefF2">#REF!</definedName>
    <definedName name="CoefGC">#REF!</definedName>
    <definedName name="CoefO">#REF!</definedName>
    <definedName name="CoefOPEX">#REF!</definedName>
    <definedName name="CoefPM">#REF!</definedName>
    <definedName name="Col_CPP">#REF!</definedName>
    <definedName name="Col_PV">#REF!</definedName>
    <definedName name="col_tech_budget">#REF!</definedName>
    <definedName name="ColBudget">#REF!</definedName>
    <definedName name="ColComposant">#REF!</definedName>
    <definedName name="COLCOST">#REF!</definedName>
    <definedName name="ColLibelle">#REF!</definedName>
    <definedName name="ColMontant">#REF!</definedName>
    <definedName name="ColNature">#REF!</definedName>
    <definedName name="ColNomenc">#REF!</definedName>
    <definedName name="ColQuantite">#REF!</definedName>
    <definedName name="ColSection">#REF!</definedName>
    <definedName name="ColTarif1">#REF!</definedName>
    <definedName name="COMC1">#REF!</definedName>
    <definedName name="COMC2">#REF!</definedName>
    <definedName name="ComPortTempChamber">#REF!</definedName>
    <definedName name="Conditionnement">#REF!</definedName>
    <definedName name="Config">#REF!</definedName>
    <definedName name="CONRATE">#REF!</definedName>
    <definedName name="Contact1">#REF!</definedName>
    <definedName name="copy" hidden="1">{"COST",#N/A,FALSE,"SYNTHESE";"MARGIN",#N/A,FALSE,"SYNTHESE";"LOT_COM",#N/A,FALSE,"SYNTHESE"}</definedName>
    <definedName name="COref_prc">#REF!</definedName>
    <definedName name="cost">#REF!</definedName>
    <definedName name="cost_to_delete">#REF!</definedName>
    <definedName name="COTVAS1">#REF!</definedName>
    <definedName name="COTVAS2">#REF!</definedName>
    <definedName name="countries">#REF!</definedName>
    <definedName name="Country_Region">#REF!</definedName>
    <definedName name="CPP_Source">#REF!</definedName>
    <definedName name="CRCIT">#REF!</definedName>
    <definedName name="CRCITE10">#REF!</definedName>
    <definedName name="CROT">#REF!</definedName>
    <definedName name="CRSEL">#REF!</definedName>
    <definedName name="CRTEL">#REF!</definedName>
    <definedName name="csdcsdc" hidden="1">#REF!</definedName>
    <definedName name="CShalfmax">#REF!</definedName>
    <definedName name="CShalfmin">#REF!</definedName>
    <definedName name="CSHigh">#REF!</definedName>
    <definedName name="CSLow">#REF!</definedName>
    <definedName name="CSMIM1">#REF!</definedName>
    <definedName name="CSMIM2">#REF!</definedName>
    <definedName name="CSPARE1">#REF!</definedName>
    <definedName name="CSPARE2">#REF!</definedName>
    <definedName name="cUR">#REF!</definedName>
    <definedName name="CURR">#REF!</definedName>
    <definedName name="Currency">#REF!</definedName>
    <definedName name="Currency__EUR_or_USD">#REF!</definedName>
    <definedName name="CurrentLimit">#REF!</definedName>
    <definedName name="CUST">#REF!</definedName>
    <definedName name="CUSTCRY">#REF!</definedName>
    <definedName name="D">#REF!</definedName>
    <definedName name="d_noms">#REF!</definedName>
    <definedName name="DACOut_4VLS">#REF!</definedName>
    <definedName name="date_list">#REF!</definedName>
    <definedName name="DATSAIS">#REF!</definedName>
    <definedName name="dauer">#REF!</definedName>
    <definedName name="dauer2">#REF!</definedName>
    <definedName name="DB_BFR">#REF!</definedName>
    <definedName name="DB_Bilans">#REF!</definedName>
    <definedName name="DB_CA">#REF!</definedName>
    <definedName name="DB_Centrales">#REF!</definedName>
    <definedName name="DB_OPEX">#REF!</definedName>
    <definedName name="DB_Others">#REF!</definedName>
    <definedName name="DB_SPV">#REF!</definedName>
    <definedName name="DBSS">#REF!</definedName>
    <definedName name="dd">#REF!</definedName>
    <definedName name="ddd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dddd" hidden="1">#REF!</definedName>
    <definedName name="DDP">#REF!</definedName>
    <definedName name="DelaiOffre">#REF!</definedName>
    <definedName name="désignation">#REF!</definedName>
    <definedName name="devise">"FCFA"</definedName>
    <definedName name="dfdffdf" hidden="1">#REF!</definedName>
    <definedName name="DfltCtrlSet">#REF!</definedName>
    <definedName name="DfltIolimSet">#REF!</definedName>
    <definedName name="DfltOVPSet">#REF!</definedName>
    <definedName name="DfltVoSet">#REF!</definedName>
    <definedName name="dggg" hidden="1">#REF!</definedName>
    <definedName name="di" hidden="1">#REF!</definedName>
    <definedName name="didier">#REF!</definedName>
    <definedName name="dig" hidden="1">#REF!</definedName>
    <definedName name="display_week">#REF!</definedName>
    <definedName name="DMMAddr_Io">#REF!</definedName>
    <definedName name="DMMAddr_Vaux">#REF!</definedName>
    <definedName name="DMMAddr_Vbulk">#REF!</definedName>
    <definedName name="DMMAddr_Vcs">#REF!</definedName>
    <definedName name="DMMAddr_Vpsopho">#REF!</definedName>
    <definedName name="DMMChan_4VLS">#REF!</definedName>
    <definedName name="DMMChan_Io1">#REF!</definedName>
    <definedName name="DMMChan_Psopho">#REF!</definedName>
    <definedName name="DMMChan_TA">#REF!</definedName>
    <definedName name="DMMChan_TC">#REF!</definedName>
    <definedName name="DMMChan_Vaux">#REF!</definedName>
    <definedName name="DMMChan_Vo1">#REF!</definedName>
    <definedName name="DNSSCIT">#REF!</definedName>
    <definedName name="DNSSSEL">#REF!</definedName>
    <definedName name="drt" hidden="1">{#N/A,#N/A,TRUE,"Config1";#N/A,#N/A,TRUE,"Config2";#N/A,#N/A,TRUE,"Config3";#N/A,#N/A,TRUE,"Config4";#N/A,#N/A,TRUE,"Config5";#N/A,#N/A,TRUE,"Config6";#N/A,#N/A,TRUE,"Config7"}</definedName>
    <definedName name="DS" hidden="1">{#N/A,#N/A,TRUE,"Config1";#N/A,#N/A,TRUE,"Config2";#N/A,#N/A,TRUE,"Config3";#N/A,#N/A,TRUE,"Config4";#N/A,#N/A,TRUE,"Config5";#N/A,#N/A,TRUE,"Config6";#N/A,#N/A,TRUE,"Config7"}</definedName>
    <definedName name="dscfscdsdcs">#REF!</definedName>
    <definedName name="dsfqdfqdsf" hidden="1">#REF!</definedName>
    <definedName name="DSRA_copy">#REF!</definedName>
    <definedName name="dss" hidden="1">#REF!</definedName>
    <definedName name="DUL">#REF!</definedName>
    <definedName name="DYNAM">#REF!,#REF!,#REF!,#REF!,#REF!,#REF!,#REF!,#REF!</definedName>
    <definedName name="DYNAM1">#REF!,#REF!,#REF!,#REF!,#REF!,#REF!,#REF!</definedName>
    <definedName name="DynLoad">#REF!</definedName>
    <definedName name="dyudfu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E">#REF!</definedName>
    <definedName name="ECU">#REF!</definedName>
    <definedName name="EDOF">#REF!</definedName>
    <definedName name="ee">#REF!</definedName>
    <definedName name="efgwrthety" hidden="1">{"UKGAAP balance sheet",#N/A,FALSE,"Balance Sheet"}</definedName>
    <definedName name="EMSDoff">#REF!</definedName>
    <definedName name="EMSDon">#REF!</definedName>
    <definedName name="EMshutdown">#REF!</definedName>
    <definedName name="EnableTemp1">#REF!</definedName>
    <definedName name="EnableTemp2">#REF!</definedName>
    <definedName name="EnableTemp3">#REF!</definedName>
    <definedName name="EnableTemp4">#REF!</definedName>
    <definedName name="EnableTemp5">#REF!</definedName>
    <definedName name="EnableTemp6">#REF!</definedName>
    <definedName name="EnginePrice">#REF!</definedName>
    <definedName name="ENTCONT">#REF!</definedName>
    <definedName name="equipe">#REF!</definedName>
    <definedName name="eros">#REF!</definedName>
    <definedName name="essai">#REF!</definedName>
    <definedName name="EU">#REF!</definedName>
    <definedName name="EUR_FCFA">#REF!</definedName>
    <definedName name="Euros">#REF!</definedName>
    <definedName name="EURtoUSD">#REF!</definedName>
    <definedName name="ev.Calculation" hidden="1">2</definedName>
    <definedName name="ev.Initialized" hidden="1">FALSE</definedName>
    <definedName name="EV__LASTREFTIME__" hidden="1">40735.4474537037</definedName>
    <definedName name="exchrate">#REF!</definedName>
    <definedName name="expected_nodeB">#REF!</definedName>
    <definedName name="Extraction_BL1">#REF!</definedName>
    <definedName name="F_Inventaire">OFFSET(P_Inventaire,0,0,COUNTA(L_Inventaire),1)</definedName>
    <definedName name="F_Site">OFFSET(P_Site,0,0,COUNTA(L_Site),1)</definedName>
    <definedName name="Fact1">#REF!</definedName>
    <definedName name="Fact2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fd" hidden="1">#REF!</definedName>
    <definedName name="ff">#REF!</definedName>
    <definedName name="fgfdfgfg" hidden="1">#REF!</definedName>
    <definedName name="fgh">#REF!</definedName>
    <definedName name="fghfk" hidden="1">#REF!</definedName>
    <definedName name="Fibre" hidden="1">#REF!</definedName>
    <definedName name="FIN">#REF!</definedName>
    <definedName name="FMP_Type">#REF!</definedName>
    <definedName name="FONCTION">#REF!</definedName>
    <definedName name="FonctionsMatricielles">#REF!</definedName>
    <definedName name="FRAIS">#REF!</definedName>
    <definedName name="Freq">#REF!</definedName>
    <definedName name="FUEL_COST_per_liter">#REF!</definedName>
    <definedName name="G">#REF!</definedName>
    <definedName name="gave">#REF!</definedName>
    <definedName name="GenerationNbAleatoires">#REF!</definedName>
    <definedName name="Generator">#REF!</definedName>
    <definedName name="genset">#REF!</definedName>
    <definedName name="Genset_engine">#REF!</definedName>
    <definedName name="genset_HGB">#REF!</definedName>
    <definedName name="genset_ongrid">#REF!</definedName>
    <definedName name="gftrcv" hidden="1">{"COST",#N/A,FALSE,"SYNTHESE";"MARGIN",#N/A,FALSE,"SYNTHESE";"LOT_COM",#N/A,FALSE,"SYNTHESE"}</definedName>
    <definedName name="ggg" hidden="1">{"COST",#N/A,FALSE,"SYNTHESE";"MARGIN",#N/A,FALSE,"SYNTHESE";"LOT_COM",#N/A,FALSE,"SYNTHESE"}</definedName>
    <definedName name="ggghjk" hidden="1">#REF!</definedName>
    <definedName name="ghj" hidden="1">{#N/A,#N/A,TRUE,"Config1";#N/A,#N/A,TRUE,"Config2";#N/A,#N/A,TRUE,"Config3";#N/A,#N/A,TRUE,"Config4";#N/A,#N/A,TRUE,"Config5";#N/A,#N/A,TRUE,"Config6";#N/A,#N/A,TRUE,"Config7"}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lobal">#REF!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26" hidden="1">#REF!</definedName>
    <definedName name="Graph27" hidden="1">#REF!</definedName>
    <definedName name="Graph28" hidden="1">#REF!</definedName>
    <definedName name="Graph29" hidden="1">#REF!</definedName>
    <definedName name="Graph3" hidden="1">#REF!</definedName>
    <definedName name="Graph30" hidden="1">#REF!</definedName>
    <definedName name="Graph31" hidden="1">#REF!</definedName>
    <definedName name="Graph32" hidden="1">#REF!</definedName>
    <definedName name="Graph33" hidden="1">#REF!</definedName>
    <definedName name="Graph34" hidden="1">#REF!</definedName>
    <definedName name="Graph35" hidden="1">#REF!</definedName>
    <definedName name="Graph36" hidden="1">#REF!</definedName>
    <definedName name="Graph37" hidden="1">#REF!</definedName>
    <definedName name="Graph38" hidden="1">#REF!</definedName>
    <definedName name="Graph39" hidden="1">#REF!</definedName>
    <definedName name="Graph4" hidden="1">#REF!</definedName>
    <definedName name="Graph40" hidden="1">#REF!</definedName>
    <definedName name="Graph42" hidden="1">#REF!</definedName>
    <definedName name="Graph43" hidden="1">#REF!</definedName>
    <definedName name="Graph44" hidden="1">#REF!</definedName>
    <definedName name="Graph45" hidden="1">#REF!</definedName>
    <definedName name="Graph46" hidden="1">#REF!</definedName>
    <definedName name="Graph47" hidden="1">#REF!</definedName>
    <definedName name="Graph48" hidden="1">#REF!</definedName>
    <definedName name="Graph49" hidden="1">#REF!</definedName>
    <definedName name="Graph5" hidden="1">#REF!</definedName>
    <definedName name="Graph50" hidden="1">#REF!</definedName>
    <definedName name="Graph51" hidden="1">#REF!</definedName>
    <definedName name="Graph52" hidden="1">#REF!</definedName>
    <definedName name="Graph53" hidden="1">#REF!</definedName>
    <definedName name="Graph54" hidden="1">#REF!</definedName>
    <definedName name="Graph55" hidden="1">#REF!</definedName>
    <definedName name="Graph56" hidden="1">#REF!</definedName>
    <definedName name="Graph57" hidden="1">#REF!</definedName>
    <definedName name="Graph58" hidden="1">#REF!</definedName>
    <definedName name="Graph59" hidden="1">#REF!</definedName>
    <definedName name="Graph6" hidden="1">#REF!</definedName>
    <definedName name="Graph7" hidden="1">#REF!</definedName>
    <definedName name="Graph8" hidden="1">#REF!</definedName>
    <definedName name="GRAPH89" hidden="1">#REF!</definedName>
    <definedName name="Graph9" hidden="1">#REF!</definedName>
    <definedName name="GRID_COST_per_liter">#REF!</definedName>
    <definedName name="grid_phases">#REF!</definedName>
    <definedName name="Grid_Status">#REF!</definedName>
    <definedName name="GSM" hidden="1">#REF!</definedName>
    <definedName name="h">#REF!</definedName>
    <definedName name="hadj">#REF!</definedName>
    <definedName name="Harmonics">#REF!</definedName>
    <definedName name="Hd">#REF!</definedName>
    <definedName name="header_cfo">#REF!</definedName>
    <definedName name="Height">#REF!</definedName>
    <definedName name="hhh" hidden="1">#REF!</definedName>
    <definedName name="hhhj" hidden="1">#REF!</definedName>
    <definedName name="hhjkl" hidden="1">#REF!</definedName>
    <definedName name="hjoho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_1">#REF!</definedName>
    <definedName name="HTML_all">#REF!</definedName>
    <definedName name="HTML_tables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jrtzt" hidden="1">#REF!</definedName>
    <definedName name="_xlnm.Print_Titles">#REF!</definedName>
    <definedName name="Incidence_Service">#REF!</definedName>
    <definedName name="Ind_Out">#REF!</definedName>
    <definedName name="Indem_Y1">#REF!</definedName>
    <definedName name="Indem_Y10">#REF!</definedName>
    <definedName name="Indem_Y11">#REF!</definedName>
    <definedName name="Indem_Y12">#REF!</definedName>
    <definedName name="Indem_Y13">#REF!</definedName>
    <definedName name="Indem_Y14">#REF!</definedName>
    <definedName name="Indem_Y15">#REF!</definedName>
    <definedName name="Indem_Y16">#REF!</definedName>
    <definedName name="Indem_Y17">#REF!</definedName>
    <definedName name="Indem_Y18">#REF!</definedName>
    <definedName name="Indem_Y19">#REF!</definedName>
    <definedName name="Indem_Y2">#REF!</definedName>
    <definedName name="Indem_Y20">#REF!</definedName>
    <definedName name="Indem_Y3">#REF!</definedName>
    <definedName name="Indem_Y4">#REF!</definedName>
    <definedName name="Indem_Y5">#REF!</definedName>
    <definedName name="Indem_Y6">#REF!</definedName>
    <definedName name="Indem_Y7">#REF!</definedName>
    <definedName name="Indem_Y8">#REF!</definedName>
    <definedName name="Indem_Y9">#REF!</definedName>
    <definedName name="inom">#REF!</definedName>
    <definedName name="InputRipple">#REF!</definedName>
    <definedName name="installation_start">#REF!</definedName>
    <definedName name="Io1Anom">#REF!</definedName>
    <definedName name="Io1Bnom">#REF!</definedName>
    <definedName name="Io1Climmax">#REF!</definedName>
    <definedName name="Io1Climmin">#REF!</definedName>
    <definedName name="Io1Cnom">#REF!</definedName>
    <definedName name="Io1min">#REF!</definedName>
    <definedName name="IoRBTol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42787.7724884259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ColHidden" hidden="1">FALSE</definedName>
    <definedName name="IsLTMColHidden" hidden="1">FALSE</definedName>
    <definedName name="Item_price_list_Déploiement">#REF!</definedName>
    <definedName name="Item_price_list_Radio">#REF!</definedName>
    <definedName name="jasd" hidden="1">#REF!</definedName>
    <definedName name="Jean">#REF!</definedName>
    <definedName name="jhgfred" hidden="1">{"COST",#N/A,FALSE,"SYNTHESE";"MARGIN",#N/A,FALSE,"SYNTHESE";"LOT_COM",#N/A,FALSE,"SYNTHESE"}</definedName>
    <definedName name="jhgigol" hidden="1">{#N/A,#N/A,TRUE,"Config1";#N/A,#N/A,TRUE,"Config2";#N/A,#N/A,TRUE,"Config3";#N/A,#N/A,TRUE,"Config4";#N/A,#N/A,TRUE,"Config5";#N/A,#N/A,TRUE,"Config6";#N/A,#N/A,TRUE,"Config7"}</definedName>
    <definedName name="jhgj" hidden="1">{"COST",#N/A,FALSE,"SYNTHESE";"MARGIN",#N/A,FALSE,"SYNTHESE";"LOT_COM",#N/A,FALSE,"SYNTHESE"}</definedName>
    <definedName name="jhone">#REF!</definedName>
    <definedName name="jhuop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jjj" hidden="1">#REF!</definedName>
    <definedName name="jjjj" hidden="1">#REF!</definedName>
    <definedName name="jkkl" hidden="1">#REF!</definedName>
    <definedName name="JOHN" hidden="1">{#N/A,#N/A,FALSE,"Umsatz";#N/A,#N/A,FALSE,"Base V.02";#N/A,#N/A,FALSE,"Charts"}</definedName>
    <definedName name="JOHN_1" hidden="1">{#N/A,#N/A,FALSE,"Umsatz";#N/A,#N/A,FALSE,"Base V.02";#N/A,#N/A,FALSE,"Charts"}</definedName>
    <definedName name="JOHN_2" hidden="1">{#N/A,#N/A,FALSE,"Umsatz";#N/A,#N/A,FALSE,"Base V.02";#N/A,#N/A,FALSE,"Charts"}</definedName>
    <definedName name="JOHN2" hidden="1">{#N/A,#N/A,FALSE,"Umsatz";#N/A,#N/A,FALSE,"Base V.02";#N/A,#N/A,FALSE,"Charts"}</definedName>
    <definedName name="JOHN2_1" hidden="1">{#N/A,#N/A,FALSE,"Umsatz";#N/A,#N/A,FALSE,"Base V.02";#N/A,#N/A,FALSE,"Charts"}</definedName>
    <definedName name="JOHN2_2" hidden="1">{#N/A,#N/A,FALSE,"Umsatz";#N/A,#N/A,FALSE,"Base V.02";#N/A,#N/A,FALSE,"Charts"}</definedName>
    <definedName name="k" hidden="1">#REF!</definedName>
    <definedName name="KC">#REF!</definedName>
    <definedName name="key_basic">#REF!</definedName>
    <definedName name="key_moy">#REF!</definedName>
    <definedName name="key_noble">#REF!</definedName>
    <definedName name="KF">#REF!</definedName>
    <definedName name="KH">#REF!</definedName>
    <definedName name="KINDU_MIKELENGE">#REF!</definedName>
    <definedName name="kk">#REF!</definedName>
    <definedName name="klmù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klp" hidden="1">{#N/A,#N/A,TRUE,"Config1";#N/A,#N/A,TRUE,"Config2";#N/A,#N/A,TRUE,"Config3";#N/A,#N/A,TRUE,"Config4";#N/A,#N/A,TRUE,"Config5";#N/A,#N/A,TRUE,"Config6";#N/A,#N/A,TRUE,"Config7"}</definedName>
    <definedName name="KSW">#REF!</definedName>
    <definedName name="L_Inventaire">#REF!</definedName>
    <definedName name="L_Site">#REF!</definedName>
    <definedName name="LANG">#REF!</definedName>
    <definedName name="LeonesToUSD">#REF!</definedName>
    <definedName name="Libelle1Article">#REF!</definedName>
    <definedName name="Libelle1Article002">#REF!</definedName>
    <definedName name="Libelle1Article003">#REF!</definedName>
    <definedName name="LigneOffre">#REF!</definedName>
    <definedName name="LigneOffre002">#REF!</definedName>
    <definedName name="LigneOffre003">#REF!</definedName>
    <definedName name="limcount" hidden="1">1</definedName>
    <definedName name="LimiteMatrices">#REF!</definedName>
    <definedName name="LineReg">#REF!</definedName>
    <definedName name="linked">#REF!</definedName>
    <definedName name="LionDerat">#REF!</definedName>
    <definedName name="LionPrice">#REF!</definedName>
    <definedName name="List_A">#REF!</definedName>
    <definedName name="lkjkj" hidden="1">#REF!</definedName>
    <definedName name="ll">#REF!</definedName>
    <definedName name="llll" hidden="1">#REF!</definedName>
    <definedName name="lllll" hidden="1">#REF!</definedName>
    <definedName name="load_esco">#REF!</definedName>
    <definedName name="LoadConfig">#REF!</definedName>
    <definedName name="LoadReg">#REF!</definedName>
    <definedName name="LoadShare">#REF!</definedName>
    <definedName name="losses">#REF!</definedName>
    <definedName name="LUCBIL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TVAS">#REF!</definedName>
    <definedName name="LUCSMIM">#REF!</definedName>
    <definedName name="LUCSPARE">#REF!</definedName>
    <definedName name="LUCV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BIL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TVAS">#REF!</definedName>
    <definedName name="LUSPSMIM">#REF!</definedName>
    <definedName name="LUSPSPARE">#REF!</definedName>
    <definedName name="LUSPVM">#REF!</definedName>
    <definedName name="MachineAffecte">#REF!</definedName>
    <definedName name="Max_Score">#REF!</definedName>
    <definedName name="Mesure_Abaque">#REF!</definedName>
    <definedName name="Mgt" hidden="1">{#N/A,#N/A,FALSE,"Sensitivity"}</definedName>
    <definedName name="MicroBTS">#REF!</definedName>
    <definedName name="mlkjhrrrrrr" hidden="1">#REF!</definedName>
    <definedName name="MontantCommande">#REF!</definedName>
    <definedName name="monthlyA">#REF!</definedName>
    <definedName name="moussa">#REF!</definedName>
    <definedName name="MSPartner">#REF!</definedName>
    <definedName name="MUCIT">#REF!</definedName>
    <definedName name="MUCITE10">#REF!</definedName>
    <definedName name="MUSEL">#REF!</definedName>
    <definedName name="MUTEL">#REF!</definedName>
    <definedName name="nb_trx">#REF!</definedName>
    <definedName name="nb8trx">#REF!</definedName>
    <definedName name="nbdécimalesPV">0</definedName>
    <definedName name="NBILCIT100">#REF!</definedName>
    <definedName name="NBILSEL100">#REF!</definedName>
    <definedName name="NetIncome">#REF!</definedName>
    <definedName name="nic" hidden="1">#REF!</definedName>
    <definedName name="NINCIT100">#REF!</definedName>
    <definedName name="NINSEL100">#REF!</definedName>
    <definedName name="nistallation_start">#REF!</definedName>
    <definedName name="nmmm" hidden="1">#REF!</definedName>
    <definedName name="No_Of_Genset">#REF!</definedName>
    <definedName name="nom_site">#REF!</definedName>
    <definedName name="Nombre_anne_contrat">#REF!</definedName>
    <definedName name="NomClient">#REF!</definedName>
    <definedName name="noms_site">OFFSET(c_noms,0,0,COUNTA(d_noms),1)</definedName>
    <definedName name="NOPE_AOUT">#REF!</definedName>
    <definedName name="NOPE_AVR">#REF!</definedName>
    <definedName name="NOPE_DEC">#REF!</definedName>
    <definedName name="NOPE_FEV">#REF!</definedName>
    <definedName name="NOPE_JAN">#REF!</definedName>
    <definedName name="NOPE_JUL">#REF!</definedName>
    <definedName name="NOPE_JUN">#REF!</definedName>
    <definedName name="NOPE_MAI">#REF!</definedName>
    <definedName name="NOPE_MAR">#REF!</definedName>
    <definedName name="NOPE_NOV">#REF!</definedName>
    <definedName name="NOPE_OCT">#REF!</definedName>
    <definedName name="NOPE_SEP">#REF!</definedName>
    <definedName name="NORMAL">#REF!</definedName>
    <definedName name="nouba">#REF!</definedName>
    <definedName name="noura">#REF!</definedName>
    <definedName name="noussaradine">#REF!</definedName>
    <definedName name="NOUVCIT">#REF!</definedName>
    <definedName name="NOUVCITE10">#REF!</definedName>
    <definedName name="NOUVOT">#REF!</definedName>
    <definedName name="NOUVSEL">#REF!</definedName>
    <definedName name="NOUVTEL">#REF!</definedName>
    <definedName name="nprice">#REF!</definedName>
    <definedName name="NRCIT100">#REF!</definedName>
    <definedName name="NRSEL100">#REF!</definedName>
    <definedName name="NRYRTU1">#REF!</definedName>
    <definedName name="NRYRTU2">#REF!</definedName>
    <definedName name="NSCIT100">#REF!</definedName>
    <definedName name="NSSCAT1">#REF!</definedName>
    <definedName name="NSSCAT2">#REF!</definedName>
    <definedName name="NSSEL100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UMOF">#REF!</definedName>
    <definedName name="NumOffre">#REF!</definedName>
    <definedName name="O_M_indexation">#REF!</definedName>
    <definedName name="OCI_inputs">#REF!</definedName>
    <definedName name="OCI_Study">#REF!</definedName>
    <definedName name="offer_type2">#REF!</definedName>
    <definedName name="OFOUCONT">#REF!</definedName>
    <definedName name="ok" hidden="1">{#N/A,#N/A,TRUE,"Config1";#N/A,#N/A,TRUE,"Config2";#N/A,#N/A,TRUE,"Config3";#N/A,#N/A,TRUE,"Config4";#N/A,#N/A,TRUE,"Config5";#N/A,#N/A,TRUE,"Config6";#N/A,#N/A,TRUE,"Config7"}</definedName>
    <definedName name="OMCR">#REF!</definedName>
    <definedName name="Online">#REF!</definedName>
    <definedName name="OnOffThreshold">#REF!</definedName>
    <definedName name="oopu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Other">#REF!</definedName>
    <definedName name="OUTILS">#REF!</definedName>
    <definedName name="OutputRipple">#REF!</definedName>
    <definedName name="Overhaul">#REF!</definedName>
    <definedName name="OverTempSD">#REF!</definedName>
    <definedName name="OverTempStart">#REF!</definedName>
    <definedName name="OverTempStop">#REF!</definedName>
    <definedName name="p">!#REF!</definedName>
    <definedName name="P_bh_C_25C">#REF!</definedName>
    <definedName name="P_bh_C_40C">#REF!</definedName>
    <definedName name="P_Inventaire">#REF!</definedName>
    <definedName name="P_low_C_25C">#REF!</definedName>
    <definedName name="P_low_C_40C">#REF!</definedName>
    <definedName name="p_margin_b">#REF!</definedName>
    <definedName name="p_margin_m">#REF!</definedName>
    <definedName name="p_margin_n">#REF!</definedName>
    <definedName name="P_med_C_25C">#REF!</definedName>
    <definedName name="P_med_C_40C">#REF!</definedName>
    <definedName name="P_Site">#REF!</definedName>
    <definedName name="P1EFind">#REF!</definedName>
    <definedName name="P1EFout">#REF!</definedName>
    <definedName name="P1EGind">#REF!</definedName>
    <definedName name="P1EGout">#REF!</definedName>
    <definedName name="P1ind">#REF!</definedName>
    <definedName name="P1infraInd">#REF!</definedName>
    <definedName name="P1infraOut">#REF!</definedName>
    <definedName name="P1omInd">#REF!</definedName>
    <definedName name="P1omOut">#REF!</definedName>
    <definedName name="P1out">#REF!</definedName>
    <definedName name="P2EFind">#REF!</definedName>
    <definedName name="P2EFout">#REF!</definedName>
    <definedName name="P2EGind">#REF!</definedName>
    <definedName name="P2EGout">#REF!</definedName>
    <definedName name="P2ind">#REF!</definedName>
    <definedName name="P2infraInd">#REF!</definedName>
    <definedName name="P2infraOut">#REF!</definedName>
    <definedName name="P2omInd">#REF!</definedName>
    <definedName name="P2omout">#REF!</definedName>
    <definedName name="P2out">#REF!</definedName>
    <definedName name="P3EFind">#REF!</definedName>
    <definedName name="P3EFOut">#REF!</definedName>
    <definedName name="P3EGind">#REF!</definedName>
    <definedName name="P3EGOut">#REF!</definedName>
    <definedName name="P3ind">#REF!</definedName>
    <definedName name="P3infraInd">#REF!</definedName>
    <definedName name="P3infraOut">#REF!</definedName>
    <definedName name="P3omInd">#REF!</definedName>
    <definedName name="P3omOut">#REF!</definedName>
    <definedName name="P3out">#REF!</definedName>
    <definedName name="P4EFind">#REF!</definedName>
    <definedName name="P4EFout">#REF!</definedName>
    <definedName name="P4EGind">#REF!</definedName>
    <definedName name="P4EGOUT">#REF!</definedName>
    <definedName name="P4ind">#REF!</definedName>
    <definedName name="P4infraInd">#REF!</definedName>
    <definedName name="P4InfraOut">#REF!</definedName>
    <definedName name="P4omInd">#REF!</definedName>
    <definedName name="P4omOut">#REF!</definedName>
    <definedName name="P4out">#REF!</definedName>
    <definedName name="P5EFind">#REF!</definedName>
    <definedName name="P5EFout">#REF!</definedName>
    <definedName name="P5EGind">#REF!</definedName>
    <definedName name="P5EGout">#REF!</definedName>
    <definedName name="P5ind">#REF!</definedName>
    <definedName name="P5infraInd">#REF!</definedName>
    <definedName name="P5infraOut">#REF!</definedName>
    <definedName name="P5omInd">#REF!</definedName>
    <definedName name="P5omOut">#REF!</definedName>
    <definedName name="P5out">#REF!</definedName>
    <definedName name="PARC_BATTERIES_24V_1120AH">#REF!</definedName>
    <definedName name="Parité">#REF!</definedName>
    <definedName name="PCURCIT">#REF!</definedName>
    <definedName name="PCURCITE10">#REF!</definedName>
    <definedName name="PCUROT">#REF!</definedName>
    <definedName name="PCURSEL">#REF!</definedName>
    <definedName name="PCURTEL">#REF!</definedName>
    <definedName name="PFO">#REF!</definedName>
    <definedName name="PFO_headers">#REF!,#REF!</definedName>
    <definedName name="pfo_name">#REF!</definedName>
    <definedName name="Plife">#REF!</definedName>
    <definedName name="PLSynthese" hidden="1">Main.SAPF4Help()</definedName>
    <definedName name="PoAnom">#REF!</definedName>
    <definedName name="PoBnom">#REF!</definedName>
    <definedName name="PoClimmax">#REF!</definedName>
    <definedName name="PoClimmin">#REF!</definedName>
    <definedName name="PoCnom">#REF!</definedName>
    <definedName name="Port">#REF!</definedName>
    <definedName name="posd" hidden="1">#REF!</definedName>
    <definedName name="power_sources">#REF!</definedName>
    <definedName name="PowerDerating">#REF!</definedName>
    <definedName name="PP" hidden="1">Main.SAPF4Help()</definedName>
    <definedName name="PPSPS">#REF!</definedName>
    <definedName name="PRESTATIONS">#REF!</definedName>
    <definedName name="PriceListExWorks">#REF!</definedName>
    <definedName name="Pricing">#REF!</definedName>
    <definedName name="Pricing2">#REF!</definedName>
    <definedName name="PrioInd">#REF!</definedName>
    <definedName name="PrioOut">#REF!</definedName>
    <definedName name="Priorité">#REF!</definedName>
    <definedName name="Prix">#REF!</definedName>
    <definedName name="prixDieselEuro">#REF!</definedName>
    <definedName name="prixDieselUSD">#REF!</definedName>
    <definedName name="PrixUnitaire">#REF!</definedName>
    <definedName name="PrixUnitaire002">#REF!</definedName>
    <definedName name="PrixUnitaire003">#REF!</definedName>
    <definedName name="project_name">#REF!</definedName>
    <definedName name="ProjectManagement" hidden="1">{"COST",#N/A,FALSE,"SYNTHESE";"MARGIN",#N/A,FALSE,"SYNTHESE";"LOT_COM",#N/A,FALSE,"SYNTHESE"}</definedName>
    <definedName name="PROJTIT">#REF!</definedName>
    <definedName name="prolinks_075fbedc0a1a4c19bf15b7b9504ad7fa" hidden="1">#REF!</definedName>
    <definedName name="prolinks_1f48be70fb524fc4b43ed58a7efd2015" hidden="1">#REF!</definedName>
    <definedName name="prolinks_6e6e1728453f44d6ba83498103f64237" hidden="1">#REF!</definedName>
    <definedName name="prolinks_75526c524dbc430a91a4ed14a35e33fd" hidden="1">#REF!</definedName>
    <definedName name="prolinks_9c66ac26afe241a3ae76a2e3bf175426" hidden="1">#REF!</definedName>
    <definedName name="Prov_01">#REF!</definedName>
    <definedName name="PsicPrice">#REF!</definedName>
    <definedName name="PsocDerat">#REF!</definedName>
    <definedName name="PsophoRange">#REF!</definedName>
    <definedName name="PUB_UserID" hidden="1">"MAYERX"</definedName>
    <definedName name="Puissance">#REF!</definedName>
    <definedName name="PV">#REF!</definedName>
    <definedName name="PV_FTM_01">#REF!</definedName>
    <definedName name="PV_source">#REF!</definedName>
    <definedName name="Px_Capex">#REF!</definedName>
    <definedName name="q" hidden="1">#REF!</definedName>
    <definedName name="qqwww" hidden="1">#REF!</definedName>
    <definedName name="qsdfsdqf" hidden="1">#REF!</definedName>
    <definedName name="QSEZ" hidden="1">{"COST",#N/A,FALSE,"SYNTHESE";"MARGIN",#N/A,FALSE,"SYNTHESE";"LOT_COM",#N/A,FALSE,"SYNTHESE"}</definedName>
    <definedName name="QSZ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Quantite">#REF!</definedName>
    <definedName name="Quantite002">#REF!</definedName>
    <definedName name="Quantite003">#REF!</definedName>
    <definedName name="qwdqwd" hidden="1">{#N/A,#N/A,FALSE,"Umsatz";#N/A,#N/A,FALSE,"Base V.02";#N/A,#N/A,FALSE,"Charts"}</definedName>
    <definedName name="qwdqwd_1" hidden="1">{#N/A,#N/A,FALSE,"Umsatz";#N/A,#N/A,FALSE,"Base V.02";#N/A,#N/A,FALSE,"Charts"}</definedName>
    <definedName name="qwdqwd_2" hidden="1">{#N/A,#N/A,FALSE,"Umsatz";#N/A,#N/A,FALSE,"Base V.02";#N/A,#N/A,FALSE,"Charts"}</definedName>
    <definedName name="range_cfo">#REF!</definedName>
    <definedName name="raoul">#REF!</definedName>
    <definedName name="re" hidden="1">#REF!</definedName>
    <definedName name="ReadEEPROM">#REF!</definedName>
    <definedName name="rectif_cores">#REF!</definedName>
    <definedName name="rectifier">#REF!</definedName>
    <definedName name="RECTOT">#REF!</definedName>
    <definedName name="Redevances">#REF!</definedName>
    <definedName name="Reference">#REF!</definedName>
    <definedName name="Region">#REF!</definedName>
    <definedName name="Relay_4VLS">#REF!</definedName>
    <definedName name="rembsc">#REF!</definedName>
    <definedName name="rembts">#REF!</definedName>
    <definedName name="remise2000">#REF!</definedName>
    <definedName name="remise2001">#REF!</definedName>
    <definedName name="remise99">#REF!</definedName>
    <definedName name="res" hidden="1">#REF!</definedName>
    <definedName name="ResolSysteme">#REF!</definedName>
    <definedName name="Retail" hidden="1">#REF!</definedName>
    <definedName name="rez" hidden="1">{"COST",#N/A,FALSE,"SYNTHESE";"MARGIN",#N/A,FALSE,"SYNTHESE";"LOT_COM",#N/A,FALSE,"SYNTHESE"}</definedName>
    <definedName name="RFBSS">#REF!,#REF!,#REF!,#REF!,#REF!,#REF!,#REF!,#REF!,#REF!,#REF!,#REF!,#REF!,#REF!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oot_Cause1">#REF!</definedName>
    <definedName name="Root_Cause1_">#REF!</definedName>
    <definedName name="Root_Cause2">#REF!</definedName>
    <definedName name="Root_Cause3">#REF!</definedName>
    <definedName name="Rotf" hidden="1">#REF!</definedName>
    <definedName name="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rrr" hidden="1">{"COST",#N/A,FALSE,"SYNTHESE";"MARGIN",#N/A,FALSE,"SYNTHESE";"LOT_COM",#N/A,FALSE,"SYNTHESE"}</definedName>
    <definedName name="RS485_Comm">#REF!</definedName>
    <definedName name="RS485ComPort">#REF!</definedName>
    <definedName name="RS485ReceiverAddr">#REF!</definedName>
    <definedName name="RS485TransmitterAddr">#REF!</definedName>
    <definedName name="rtff" hidden="1">#REF!</definedName>
    <definedName name="rtt" hidden="1">{#N/A,#N/A,TRUE,"Config1";#N/A,#N/A,TRUE,"Config2";#N/A,#N/A,TRUE,"Config3";#N/A,#N/A,TRUE,"Config4";#N/A,#N/A,TRUE,"Config5";#N/A,#N/A,TRUE,"Config6";#N/A,#N/A,TRUE,"Config7"}</definedName>
    <definedName name="rtuoo" hidden="1">#REF!</definedName>
    <definedName name="RunSelfTest">#REF!</definedName>
    <definedName name="s">!#REF!</definedName>
    <definedName name="SAPBEXdnldView" hidden="1">"421I86WPLFEEO7VPH8KNW0RVB"</definedName>
    <definedName name="SAPBEXsysID" hidden="1">"B46"</definedName>
    <definedName name="SAPFuncF4Help" hidden="1">Main.SAPF4Help()</definedName>
    <definedName name="sawe" hidden="1">#REF!</definedName>
    <definedName name="SC">#REF!</definedName>
    <definedName name="Scenario">#REF!</definedName>
    <definedName name="ScopeChan_Io1">#REF!</definedName>
    <definedName name="ScopeChan_Vaux">#REF!</definedName>
    <definedName name="ScopeChan_Vo1">#REF!</definedName>
    <definedName name="SD">#REF!</definedName>
    <definedName name="sdd" hidden="1">#REF!</definedName>
    <definedName name="SDDSQ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" hidden="1">{"UKGAAP balance sheet",#N/A,FALSE,"Balance Sheet"}</definedName>
    <definedName name="sencount" hidden="1">1</definedName>
    <definedName name="sheha" hidden="1">#REF!</definedName>
    <definedName name="shortc2">#REF!</definedName>
    <definedName name="ShortedOutput">#REF!</definedName>
    <definedName name="ShortHiccup">#REF!</definedName>
    <definedName name="ShuntValue_Ii">#REF!</definedName>
    <definedName name="ShuntValue_Io1">#REF!</definedName>
    <definedName name="Site_Purpose">#REF!</definedName>
    <definedName name="site_status">#REF!</definedName>
    <definedName name="SiteID">#REF!</definedName>
    <definedName name="SiteName">#REF!</definedName>
    <definedName name="soc_range">#REF!</definedName>
    <definedName name="sol_list">#REF!</definedName>
    <definedName name="solar_module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</definedName>
    <definedName name="solver_typ" hidden="1">1</definedName>
    <definedName name="solver_val" hidden="1">0</definedName>
    <definedName name="Sommaire_BTS">#REF!</definedName>
    <definedName name="spares">#REF!</definedName>
    <definedName name="SPBCTIN">#REF!</definedName>
    <definedName name="SPBIL1">#REF!</definedName>
    <definedName name="SPBIL2">#REF!</definedName>
    <definedName name="SPBINRTU">#REF!</definedName>
    <definedName name="SPBREC">#REF!</definedName>
    <definedName name="SPBTD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TVAS1">#REF!</definedName>
    <definedName name="SPOTVAS2">#REF!</definedName>
    <definedName name="SPRESAL">#REF!</definedName>
    <definedName name="SPSMIM1">#REF!</definedName>
    <definedName name="SPSMIM2">#REF!</definedName>
    <definedName name="SPSPARE1">#REF!</definedName>
    <definedName name="SPSPARE2">#REF!</definedName>
    <definedName name="SPTVASCIT">#REF!</definedName>
    <definedName name="SPTVASSEL">#REF!</definedName>
    <definedName name="SPVM1">#REF!</definedName>
    <definedName name="SPVM2">#REF!</definedName>
    <definedName name="ss" hidden="1">{"COST",#N/A,FALSE,"SYNTHESE";"MARGIN",#N/A,FALSE,"SYNTHESE";"LOT_COM",#N/A,FALSE,"SYNTHESE"}</definedName>
    <definedName name="sss" hidden="1">#REF!</definedName>
    <definedName name="status">#REF!</definedName>
    <definedName name="strings">#REF!</definedName>
    <definedName name="Structure_type">#REF!</definedName>
    <definedName name="SUBNR1">#REF!</definedName>
    <definedName name="SUBNR2">#REF!</definedName>
    <definedName name="summary" hidden="1">#REF!</definedName>
    <definedName name="SUPNSS">#REF!</definedName>
    <definedName name="Supplier">#REF!</definedName>
    <definedName name="Synth">#REF!</definedName>
    <definedName name="Synthèsesuivimodernisationw46">#REF!</definedName>
    <definedName name="t">!#REF!</definedName>
    <definedName name="TB">#REF!</definedName>
    <definedName name="Téléphone1">#REF!</definedName>
    <definedName name="TEMP" hidden="1">{#N/A,#N/A,FALSE,"F_Plan";#N/A,#N/A,FALSE,"Parameter"}</definedName>
    <definedName name="TEMP_1" hidden="1">{#N/A,#N/A,FALSE,"F_Plan";#N/A,#N/A,FALSE,"Parameter"}</definedName>
    <definedName name="TEMP_2" hidden="1">{#N/A,#N/A,FALSE,"F_Plan";#N/A,#N/A,FALSE,"Parameter"}</definedName>
    <definedName name="Temp1">#REF!</definedName>
    <definedName name="Temp2" hidden="1">#REF!</definedName>
    <definedName name="Temp3" hidden="1">#REF!</definedName>
    <definedName name="Temp4">#REF!</definedName>
    <definedName name="Temp5">#REF!</definedName>
    <definedName name="Temp6">#REF!</definedName>
    <definedName name="ten_DC">#REF!</definedName>
    <definedName name="Test" hidden="1">#REF!</definedName>
    <definedName name="test1" hidden="1">{#N/A,#N/A,FALSE,"Umsatz";#N/A,#N/A,FALSE,"Base V.02";#N/A,#N/A,FALSE,"Charts"}</definedName>
    <definedName name="test1_1" hidden="1">{#N/A,#N/A,FALSE,"Umsatz";#N/A,#N/A,FALSE,"Base V.02";#N/A,#N/A,FALSE,"Charts"}</definedName>
    <definedName name="test1_2" hidden="1">{#N/A,#N/A,FALSE,"Umsatz";#N/A,#N/A,FALSE,"Base V.02";#N/A,#N/A,FALSE,"Charts"}</definedName>
    <definedName name="test2" hidden="1">{#N/A,#N/A,FALSE,"F_Plan";#N/A,#N/A,FALSE,"Parameter"}</definedName>
    <definedName name="test2_1" hidden="1">{#N/A,#N/A,FALSE,"F_Plan";#N/A,#N/A,FALSE,"Parameter"}</definedName>
    <definedName name="test2_2" hidden="1">{#N/A,#N/A,FALSE,"F_Plan";#N/A,#N/A,FALSE,"Parameter"}</definedName>
    <definedName name="TestOverTemp">#REF!</definedName>
    <definedName name="TextRefCopyRangeCount" hidden="1">4</definedName>
    <definedName name="tfff" hidden="1">#REF!</definedName>
    <definedName name="thcing">#REF!</definedName>
    <definedName name="to_whom">#REF!</definedName>
    <definedName name="tot_cost">#REF!</definedName>
    <definedName name="total">#REF!</definedName>
    <definedName name="Tower">#REF!</definedName>
    <definedName name="TPROD">#REF!</definedName>
    <definedName name="TRI_Calcul">#REF!</definedName>
    <definedName name="TRI_Target_Equity">#REF!</definedName>
    <definedName name="TRI_Target_Indemnites">#REF!</definedName>
    <definedName name="TRI_Target_Projet">#REF!</definedName>
    <definedName name="TRXNR">#REF!</definedName>
    <definedName name="TurnOnOff">#REF!</definedName>
    <definedName name="TVA">#REF!</definedName>
    <definedName name="type_nrj">#REF!</definedName>
    <definedName name="typo_case">#REF!</definedName>
    <definedName name="typology">#REF!</definedName>
    <definedName name="TYPOS">#REF!</definedName>
    <definedName name="UF_copy">#REF!</definedName>
    <definedName name="UnderVoltage">#REF!</definedName>
    <definedName name="USD">#REF!</definedName>
    <definedName name="USDtoLEones">#REF!</definedName>
    <definedName name="VALDOL">#REF!</definedName>
    <definedName name="Vauxnom">#REF!</definedName>
    <definedName name="vbb" hidden="1">#REF!</definedName>
    <definedName name="VGFCD" hidden="1">{#N/A,#N/A,TRUE,"Config1";#N/A,#N/A,TRUE,"Config2";#N/A,#N/A,TRUE,"Config3";#N/A,#N/A,TRUE,"Config4";#N/A,#N/A,TRUE,"Config5";#N/A,#N/A,TRUE,"Config6";#N/A,#N/A,TRUE,"Config7"}</definedName>
    <definedName name="ViAmin">#REF!</definedName>
    <definedName name="ViBmin">#REF!</definedName>
    <definedName name="ViBrownOut">#REF!</definedName>
    <definedName name="ViCmin">#REF!</definedName>
    <definedName name="ViDipSag">#REF!</definedName>
    <definedName name="Ville">#REF!</definedName>
    <definedName name="Vimax">#REF!</definedName>
    <definedName name="Vinom">#REF!</definedName>
    <definedName name="ViStep">#REF!</definedName>
    <definedName name="Viuvoff">#REF!</definedName>
    <definedName name="Viuvon">#REF!</definedName>
    <definedName name="Vo1ilim10">#REF!</definedName>
    <definedName name="Vo1ilim100">#REF!</definedName>
    <definedName name="Vo1nom">#REF!</definedName>
    <definedName name="Vo1offsetmax">#REF!</definedName>
    <definedName name="Vo1offsetmin">#REF!</definedName>
    <definedName name="Vo1plim">#REF!</definedName>
    <definedName name="Vo1rangemax">#REF!</definedName>
    <definedName name="Vo1rangemin">#REF!</definedName>
    <definedName name="Vo1setmax">#REF!</definedName>
    <definedName name="Vo1setmin">#REF!</definedName>
    <definedName name="Vo1SetpointAcc">#REF!</definedName>
    <definedName name="VoRBTol">#REF!</definedName>
    <definedName name="VVµ">#REF!</definedName>
    <definedName name="w">#REF!</definedName>
    <definedName name="Weight_Value">#REF!</definedName>
    <definedName name="wrn.Alle._.Risiken._.der._.Kategorie._.1." hidden="1">{"A 1.2",#N/A,FALSE,"Kat. 1";"A 1.1",#N/A,FALSE,"Kat. 1";"A 1_3",#N/A,FALSE,"Kat. 1"}</definedName>
    <definedName name="wrn.apt1." hidden="1">{#N/A,#N/A,FALSE,"Summary"}</definedName>
    <definedName name="wrn.apt1._1" hidden="1">{#N/A,#N/A,FALSE,"Summary"}</definedName>
    <definedName name="wrn.apt1._2" hidden="1">{#N/A,#N/A,FALSE,"Summary"}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DEV_SYNTHESE." hidden="1">{"COST",#N/A,FALSE,"SYNTHESE";"MARGIN",#N/A,FALSE,"SYNTHESE";"LOT_COM",#N/A,FALSE,"SYNTHESE"}</definedName>
    <definedName name="wrn.Flash._.report?." hidden="1">{#N/A,#N/A,TRUE,"Flash";#N/A,#N/A,TRUE,"regional report"}</definedName>
    <definedName name="wrn.Import._.figures." hidden="1">{"reports",#N/A,FALSE,"Balance Sheet"}</definedName>
    <definedName name="wrn.msc._.sw._.feat._.summary." hidden="1">{"msc sw feat summary",#N/A,FALSE,"MSC SW Features v. 1.1."}</definedName>
    <definedName name="wrn.msc._.sw._.feat._.summary._1" hidden="1">{"msc sw feat summary",#N/A,FALSE,"MSC SW Features v. 1.1."}</definedName>
    <definedName name="wrn.msc._.sw._.feat._.summary._2" hidden="1">{"msc sw feat summary",#N/A,FALSE,"MSC SW Features v. 1.1."}</definedName>
    <definedName name="wrn.plstatement." hidden="1">{#N/A,#N/A,FALSE,"Profit &amp; Loss statement"}</definedName>
    <definedName name="wrn.plstatement._1" hidden="1">{#N/A,#N/A,FALSE,"Profit &amp; Loss statement"}</definedName>
    <definedName name="wrn.plstatement._2" hidden="1">{#N/A,#N/A,FALSE,"Profit &amp; Loss statement"}</definedName>
    <definedName name="wrn.Sensitivity." hidden="1">{#N/A,#N/A,FALSE,"Sensitivity"}</definedName>
    <definedName name="wrn.Übersicht._.Kategorie._.1." hidden="1">{"Übersicht 1",#N/A,FALSE,"Kat. 1"}</definedName>
    <definedName name="wrn.UK._.GAAP._.BS." hidden="1">{"UKGAAP balance sheet",#N/A,FALSE,"Balance Sheet"}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w" hidden="1">{#N/A,#N/A,FALSE,"F_Plan";#N/A,#N/A,FALSE,"Parameter"}</definedName>
    <definedName name="WX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XC" hidden="1">{"COST",#N/A,FALSE,"SYNTHESE";"MARGIN",#N/A,FALSE,"SYNTHESE";"LOT_COM",#N/A,FALSE,"SYNTHESE"}</definedName>
    <definedName name="WXQS" hidden="1">{#N/A,#N/A,TRUE,"Config1";#N/A,#N/A,TRUE,"Config2";#N/A,#N/A,TRUE,"Config3";#N/A,#N/A,TRUE,"Config4";#N/A,#N/A,TRUE,"Config5";#N/A,#N/A,TRUE,"Config6";#N/A,#N/A,TRUE,"Config7"}</definedName>
    <definedName name="WXXSQ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x">!#REF!</definedName>
    <definedName name="XAF">#REF!</definedName>
    <definedName name="XRefColumnsCount" hidden="1">1</definedName>
    <definedName name="XRefCopyRangeCount" hidden="1">2</definedName>
    <definedName name="XRefPasteRangeCount" hidden="1">1</definedName>
    <definedName name="xyz" hidden="1">{"COST",#N/A,FALSE,"SYNTHESE";"MARGIN",#N/A,FALSE,"SYNTHESE";"LOT_COM",#N/A,FALSE,"SYNTHESE"}</definedName>
    <definedName name="y" hidden="1">#REF!</definedName>
    <definedName name="year">#REF!</definedName>
    <definedName name="yearlyA">#REF!</definedName>
    <definedName name="years">#REF!</definedName>
    <definedName name="yr1leave">#REF!</definedName>
    <definedName name="yr2leave">#REF!</definedName>
    <definedName name="yr3leave">#REF!</definedName>
    <definedName name="yr4leave">#REF!</definedName>
    <definedName name="yr5leave">#REF!</definedName>
    <definedName name="yr6leave">#REF!</definedName>
    <definedName name="yr7leave">#REF!</definedName>
    <definedName name="yyyy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e">#REF!</definedName>
    <definedName name="zerzerzerzrr" hidden="1">#REF!</definedName>
    <definedName name="_xlnm.Print_Area">#REF!</definedName>
    <definedName name="ZoneLivraison">#REF!</definedName>
    <definedName name="zz" hidden="1">{"COST",#N/A,FALSE,"SYNTHESE";"MARGIN",#N/A,FALSE,"SYNTHESE";"LOT_COM",#N/A,FALSE,"SYNTHESE"}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473" i="1" l="1"/>
  <c r="V473" i="1"/>
  <c r="Y473" i="1" s="1"/>
  <c r="T473" i="1"/>
  <c r="AI472" i="1"/>
  <c r="V472" i="1"/>
  <c r="Y472" i="1" s="1"/>
  <c r="T472" i="1"/>
  <c r="AI471" i="1"/>
  <c r="V471" i="1"/>
  <c r="Y471" i="1" s="1"/>
  <c r="T471" i="1"/>
  <c r="G471" i="1"/>
  <c r="F471" i="1"/>
  <c r="AI470" i="1"/>
  <c r="V470" i="1"/>
  <c r="Y470" i="1" s="1"/>
  <c r="T470" i="1"/>
  <c r="AI469" i="1"/>
  <c r="V469" i="1"/>
  <c r="Y469" i="1" s="1"/>
  <c r="T469" i="1"/>
  <c r="G469" i="1"/>
  <c r="F469" i="1"/>
  <c r="AI468" i="1"/>
  <c r="V468" i="1"/>
  <c r="Y468" i="1" s="1"/>
  <c r="T468" i="1"/>
  <c r="G468" i="1"/>
  <c r="F468" i="1"/>
  <c r="AI467" i="1"/>
  <c r="V467" i="1"/>
  <c r="Y467" i="1" s="1"/>
  <c r="T467" i="1"/>
  <c r="G467" i="1"/>
  <c r="F467" i="1"/>
  <c r="AI466" i="1"/>
  <c r="V466" i="1"/>
  <c r="Y466" i="1" s="1"/>
  <c r="T466" i="1"/>
  <c r="G466" i="1"/>
  <c r="F466" i="1"/>
  <c r="AI465" i="1"/>
  <c r="V465" i="1"/>
  <c r="Y465" i="1" s="1"/>
  <c r="T465" i="1"/>
  <c r="G465" i="1"/>
  <c r="F465" i="1"/>
  <c r="AI464" i="1"/>
  <c r="V464" i="1"/>
  <c r="Y464" i="1" s="1"/>
  <c r="T464" i="1"/>
  <c r="G464" i="1"/>
  <c r="F464" i="1"/>
  <c r="AI463" i="1"/>
  <c r="V463" i="1"/>
  <c r="Y463" i="1" s="1"/>
  <c r="T463" i="1"/>
  <c r="G463" i="1"/>
  <c r="F463" i="1"/>
  <c r="AI462" i="1"/>
  <c r="V462" i="1"/>
  <c r="Y462" i="1" s="1"/>
  <c r="T462" i="1"/>
  <c r="G462" i="1"/>
  <c r="F462" i="1"/>
  <c r="AI461" i="1"/>
  <c r="V461" i="1"/>
  <c r="Y461" i="1" s="1"/>
  <c r="T461" i="1"/>
  <c r="G461" i="1"/>
  <c r="F461" i="1"/>
  <c r="AI460" i="1"/>
  <c r="V460" i="1"/>
  <c r="Y460" i="1" s="1"/>
  <c r="T460" i="1"/>
  <c r="G460" i="1"/>
  <c r="F460" i="1"/>
  <c r="AI459" i="1"/>
  <c r="V459" i="1"/>
  <c r="Y459" i="1" s="1"/>
  <c r="T459" i="1"/>
  <c r="G459" i="1"/>
  <c r="F459" i="1"/>
  <c r="AI458" i="1"/>
  <c r="V458" i="1"/>
  <c r="Y458" i="1" s="1"/>
  <c r="T458" i="1"/>
  <c r="G458" i="1"/>
  <c r="F458" i="1"/>
  <c r="AI457" i="1"/>
  <c r="V457" i="1"/>
  <c r="Y457" i="1" s="1"/>
  <c r="T457" i="1"/>
  <c r="G457" i="1"/>
  <c r="F457" i="1"/>
  <c r="AI456" i="1"/>
  <c r="V456" i="1"/>
  <c r="Y456" i="1" s="1"/>
  <c r="T456" i="1"/>
  <c r="G456" i="1"/>
  <c r="F456" i="1"/>
  <c r="AI455" i="1"/>
  <c r="V455" i="1"/>
  <c r="Y455" i="1" s="1"/>
  <c r="T455" i="1"/>
  <c r="G455" i="1"/>
  <c r="F455" i="1"/>
  <c r="AI454" i="1"/>
  <c r="V454" i="1"/>
  <c r="Y454" i="1" s="1"/>
  <c r="T454" i="1"/>
  <c r="G454" i="1"/>
  <c r="F454" i="1"/>
  <c r="AI453" i="1"/>
  <c r="V453" i="1"/>
  <c r="Y453" i="1" s="1"/>
  <c r="T453" i="1"/>
  <c r="G453" i="1"/>
  <c r="F453" i="1"/>
  <c r="AI452" i="1"/>
  <c r="V452" i="1"/>
  <c r="Y452" i="1" s="1"/>
  <c r="T452" i="1"/>
  <c r="G452" i="1"/>
  <c r="F452" i="1"/>
  <c r="AI451" i="1"/>
  <c r="V451" i="1"/>
  <c r="Y451" i="1" s="1"/>
  <c r="T451" i="1"/>
  <c r="G451" i="1"/>
  <c r="F451" i="1"/>
  <c r="AI450" i="1"/>
  <c r="V450" i="1"/>
  <c r="Y450" i="1" s="1"/>
  <c r="T450" i="1"/>
  <c r="G450" i="1"/>
  <c r="F450" i="1"/>
  <c r="AI449" i="1"/>
  <c r="V449" i="1"/>
  <c r="Y449" i="1" s="1"/>
  <c r="T449" i="1"/>
  <c r="G449" i="1"/>
  <c r="F449" i="1"/>
  <c r="AI448" i="1"/>
  <c r="V448" i="1"/>
  <c r="Y448" i="1" s="1"/>
  <c r="T448" i="1"/>
  <c r="G448" i="1"/>
  <c r="F448" i="1"/>
  <c r="AI447" i="1"/>
  <c r="V447" i="1"/>
  <c r="Y447" i="1" s="1"/>
  <c r="T447" i="1"/>
  <c r="G447" i="1"/>
  <c r="F447" i="1"/>
  <c r="AI446" i="1"/>
  <c r="V446" i="1"/>
  <c r="Y446" i="1" s="1"/>
  <c r="T446" i="1"/>
  <c r="G446" i="1"/>
  <c r="F446" i="1"/>
  <c r="AI445" i="1"/>
  <c r="V445" i="1"/>
  <c r="Y445" i="1" s="1"/>
  <c r="T445" i="1"/>
  <c r="G445" i="1"/>
  <c r="F445" i="1"/>
  <c r="AI444" i="1"/>
  <c r="V444" i="1"/>
  <c r="Y444" i="1" s="1"/>
  <c r="T444" i="1"/>
  <c r="G444" i="1"/>
  <c r="F444" i="1"/>
  <c r="AI443" i="1"/>
  <c r="V443" i="1"/>
  <c r="Y443" i="1" s="1"/>
  <c r="T443" i="1"/>
  <c r="G443" i="1"/>
  <c r="F443" i="1"/>
  <c r="AI442" i="1"/>
  <c r="V442" i="1"/>
  <c r="Y442" i="1" s="1"/>
  <c r="T442" i="1"/>
  <c r="G442" i="1"/>
  <c r="F442" i="1"/>
  <c r="AI441" i="1"/>
  <c r="V441" i="1"/>
  <c r="Y441" i="1" s="1"/>
  <c r="T441" i="1"/>
  <c r="G441" i="1"/>
  <c r="F441" i="1"/>
  <c r="AI440" i="1"/>
  <c r="V440" i="1"/>
  <c r="Y440" i="1" s="1"/>
  <c r="T440" i="1"/>
  <c r="G440" i="1"/>
  <c r="F440" i="1"/>
  <c r="AI439" i="1"/>
  <c r="V439" i="1"/>
  <c r="Y439" i="1" s="1"/>
  <c r="T439" i="1"/>
  <c r="G439" i="1"/>
  <c r="F439" i="1"/>
  <c r="AI438" i="1"/>
  <c r="V438" i="1"/>
  <c r="Y438" i="1" s="1"/>
  <c r="T438" i="1"/>
  <c r="G438" i="1"/>
  <c r="F438" i="1"/>
  <c r="AI437" i="1"/>
  <c r="V437" i="1"/>
  <c r="Y437" i="1" s="1"/>
  <c r="T437" i="1"/>
  <c r="G437" i="1"/>
  <c r="F437" i="1"/>
  <c r="AI436" i="1"/>
  <c r="V436" i="1"/>
  <c r="Y436" i="1" s="1"/>
  <c r="T436" i="1"/>
  <c r="G436" i="1"/>
  <c r="F436" i="1"/>
  <c r="AI435" i="1"/>
  <c r="V435" i="1"/>
  <c r="Y435" i="1" s="1"/>
  <c r="T435" i="1"/>
  <c r="G435" i="1"/>
  <c r="F435" i="1"/>
  <c r="AI434" i="1"/>
  <c r="V434" i="1"/>
  <c r="Y434" i="1" s="1"/>
  <c r="T434" i="1"/>
  <c r="G434" i="1"/>
  <c r="F434" i="1"/>
  <c r="AI433" i="1"/>
  <c r="V433" i="1"/>
  <c r="Y433" i="1" s="1"/>
  <c r="T433" i="1"/>
  <c r="G433" i="1"/>
  <c r="F433" i="1"/>
  <c r="AI432" i="1"/>
  <c r="V432" i="1"/>
  <c r="Y432" i="1" s="1"/>
  <c r="T432" i="1"/>
  <c r="G432" i="1"/>
  <c r="F432" i="1"/>
  <c r="AI431" i="1"/>
  <c r="V431" i="1"/>
  <c r="Y431" i="1" s="1"/>
  <c r="T431" i="1"/>
  <c r="G431" i="1"/>
  <c r="F431" i="1"/>
  <c r="AI430" i="1"/>
  <c r="V430" i="1"/>
  <c r="Y430" i="1" s="1"/>
  <c r="T430" i="1"/>
  <c r="G430" i="1"/>
  <c r="F430" i="1"/>
  <c r="AI429" i="1"/>
  <c r="V429" i="1"/>
  <c r="Y429" i="1" s="1"/>
  <c r="T429" i="1"/>
  <c r="G429" i="1"/>
  <c r="F429" i="1"/>
  <c r="AI428" i="1"/>
  <c r="V428" i="1"/>
  <c r="Y428" i="1" s="1"/>
  <c r="T428" i="1"/>
  <c r="G428" i="1"/>
  <c r="F428" i="1"/>
  <c r="AI427" i="1"/>
  <c r="V427" i="1"/>
  <c r="Y427" i="1" s="1"/>
  <c r="T427" i="1"/>
  <c r="G427" i="1"/>
  <c r="F427" i="1"/>
  <c r="AI426" i="1"/>
  <c r="V426" i="1"/>
  <c r="Y426" i="1" s="1"/>
  <c r="T426" i="1"/>
  <c r="G426" i="1"/>
  <c r="F426" i="1"/>
  <c r="AI425" i="1"/>
  <c r="V425" i="1"/>
  <c r="Y425" i="1" s="1"/>
  <c r="T425" i="1"/>
  <c r="G425" i="1"/>
  <c r="F425" i="1"/>
  <c r="AI424" i="1"/>
  <c r="V424" i="1"/>
  <c r="Y424" i="1" s="1"/>
  <c r="T424" i="1"/>
  <c r="G424" i="1"/>
  <c r="F424" i="1"/>
  <c r="AI423" i="1"/>
  <c r="V423" i="1"/>
  <c r="Y423" i="1" s="1"/>
  <c r="T423" i="1"/>
  <c r="G423" i="1"/>
  <c r="F423" i="1"/>
  <c r="AI422" i="1"/>
  <c r="V422" i="1"/>
  <c r="Y422" i="1" s="1"/>
  <c r="T422" i="1"/>
  <c r="G422" i="1"/>
  <c r="F422" i="1"/>
  <c r="AI421" i="1"/>
  <c r="V421" i="1"/>
  <c r="Y421" i="1" s="1"/>
  <c r="T421" i="1"/>
  <c r="G421" i="1"/>
  <c r="F421" i="1"/>
  <c r="AI420" i="1"/>
  <c r="V420" i="1"/>
  <c r="Y420" i="1" s="1"/>
  <c r="T420" i="1"/>
  <c r="G420" i="1"/>
  <c r="F420" i="1"/>
  <c r="AI419" i="1"/>
  <c r="V419" i="1"/>
  <c r="Y419" i="1" s="1"/>
  <c r="T419" i="1"/>
  <c r="G419" i="1"/>
  <c r="F419" i="1"/>
  <c r="AI418" i="1"/>
  <c r="V418" i="1"/>
  <c r="Y418" i="1" s="1"/>
  <c r="T418" i="1"/>
  <c r="G418" i="1"/>
  <c r="F418" i="1"/>
  <c r="AI417" i="1"/>
  <c r="V417" i="1"/>
  <c r="Y417" i="1" s="1"/>
  <c r="T417" i="1"/>
  <c r="G417" i="1"/>
  <c r="F417" i="1"/>
  <c r="AI416" i="1"/>
  <c r="V416" i="1"/>
  <c r="Y416" i="1" s="1"/>
  <c r="T416" i="1"/>
  <c r="G416" i="1"/>
  <c r="F416" i="1"/>
  <c r="AI415" i="1"/>
  <c r="V415" i="1"/>
  <c r="Y415" i="1" s="1"/>
  <c r="T415" i="1"/>
  <c r="G415" i="1"/>
  <c r="F415" i="1"/>
  <c r="AI414" i="1"/>
  <c r="V414" i="1"/>
  <c r="Y414" i="1" s="1"/>
  <c r="T414" i="1"/>
  <c r="G414" i="1"/>
  <c r="F414" i="1"/>
  <c r="AI413" i="1"/>
  <c r="V413" i="1"/>
  <c r="Y413" i="1" s="1"/>
  <c r="T413" i="1"/>
  <c r="G413" i="1"/>
  <c r="F413" i="1"/>
  <c r="AI412" i="1"/>
  <c r="V412" i="1"/>
  <c r="Y412" i="1" s="1"/>
  <c r="T412" i="1"/>
  <c r="G412" i="1"/>
  <c r="F412" i="1"/>
  <c r="AI411" i="1"/>
  <c r="V411" i="1"/>
  <c r="Y411" i="1" s="1"/>
  <c r="T411" i="1"/>
  <c r="G411" i="1"/>
  <c r="F411" i="1"/>
  <c r="AI410" i="1"/>
  <c r="V410" i="1"/>
  <c r="Y410" i="1" s="1"/>
  <c r="T410" i="1"/>
  <c r="G410" i="1"/>
  <c r="F410" i="1"/>
  <c r="AI409" i="1"/>
  <c r="V409" i="1"/>
  <c r="Y409" i="1" s="1"/>
  <c r="T409" i="1"/>
  <c r="G409" i="1"/>
  <c r="F409" i="1"/>
  <c r="AI408" i="1"/>
  <c r="V408" i="1"/>
  <c r="Y408" i="1" s="1"/>
  <c r="T408" i="1"/>
  <c r="G408" i="1"/>
  <c r="F408" i="1"/>
  <c r="AI407" i="1"/>
  <c r="V407" i="1"/>
  <c r="Y407" i="1" s="1"/>
  <c r="T407" i="1"/>
  <c r="G407" i="1"/>
  <c r="F407" i="1"/>
  <c r="AI406" i="1"/>
  <c r="V406" i="1"/>
  <c r="Y406" i="1" s="1"/>
  <c r="T406" i="1"/>
  <c r="G406" i="1"/>
  <c r="F406" i="1"/>
  <c r="AI405" i="1"/>
  <c r="V405" i="1"/>
  <c r="Y405" i="1" s="1"/>
  <c r="T405" i="1"/>
  <c r="G405" i="1"/>
  <c r="F405" i="1"/>
  <c r="AI404" i="1"/>
  <c r="V404" i="1"/>
  <c r="Y404" i="1" s="1"/>
  <c r="T404" i="1"/>
  <c r="G404" i="1"/>
  <c r="F404" i="1"/>
  <c r="AI403" i="1"/>
  <c r="V403" i="1"/>
  <c r="Y403" i="1" s="1"/>
  <c r="T403" i="1"/>
  <c r="G403" i="1"/>
  <c r="F403" i="1"/>
  <c r="AI402" i="1"/>
  <c r="V402" i="1"/>
  <c r="Y402" i="1" s="1"/>
  <c r="T402" i="1"/>
  <c r="G402" i="1"/>
  <c r="F402" i="1"/>
  <c r="AI401" i="1"/>
  <c r="V401" i="1"/>
  <c r="Y401" i="1" s="1"/>
  <c r="T401" i="1"/>
  <c r="G401" i="1"/>
  <c r="F401" i="1"/>
  <c r="AI400" i="1"/>
  <c r="V400" i="1"/>
  <c r="Y400" i="1" s="1"/>
  <c r="T400" i="1"/>
  <c r="G400" i="1"/>
  <c r="F400" i="1"/>
  <c r="AI399" i="1"/>
  <c r="V399" i="1"/>
  <c r="Y399" i="1" s="1"/>
  <c r="T399" i="1"/>
  <c r="G399" i="1"/>
  <c r="F399" i="1"/>
  <c r="AI398" i="1"/>
  <c r="V398" i="1"/>
  <c r="Y398" i="1" s="1"/>
  <c r="T398" i="1"/>
  <c r="G398" i="1"/>
  <c r="F398" i="1"/>
  <c r="AI397" i="1"/>
  <c r="V397" i="1"/>
  <c r="Y397" i="1" s="1"/>
  <c r="T397" i="1"/>
  <c r="G397" i="1"/>
  <c r="F397" i="1"/>
  <c r="AI396" i="1"/>
  <c r="V396" i="1"/>
  <c r="Y396" i="1" s="1"/>
  <c r="T396" i="1"/>
  <c r="G396" i="1"/>
  <c r="F396" i="1"/>
  <c r="AI395" i="1"/>
  <c r="V395" i="1"/>
  <c r="Y395" i="1" s="1"/>
  <c r="T395" i="1"/>
  <c r="G395" i="1"/>
  <c r="F395" i="1"/>
  <c r="AI394" i="1"/>
  <c r="V394" i="1"/>
  <c r="Y394" i="1" s="1"/>
  <c r="T394" i="1"/>
  <c r="G394" i="1"/>
  <c r="F394" i="1"/>
  <c r="AI393" i="1"/>
  <c r="V393" i="1"/>
  <c r="Y393" i="1" s="1"/>
  <c r="T393" i="1"/>
  <c r="G393" i="1"/>
  <c r="F393" i="1"/>
  <c r="AI392" i="1"/>
  <c r="V392" i="1"/>
  <c r="Y392" i="1" s="1"/>
  <c r="T392" i="1"/>
  <c r="G392" i="1"/>
  <c r="F392" i="1"/>
  <c r="AI391" i="1"/>
  <c r="V391" i="1"/>
  <c r="Y391" i="1" s="1"/>
  <c r="T391" i="1"/>
  <c r="G391" i="1"/>
  <c r="F391" i="1"/>
  <c r="AI390" i="1"/>
  <c r="V390" i="1"/>
  <c r="Y390" i="1" s="1"/>
  <c r="T390" i="1"/>
  <c r="G390" i="1"/>
  <c r="F390" i="1"/>
  <c r="AI389" i="1"/>
  <c r="V389" i="1"/>
  <c r="Y389" i="1" s="1"/>
  <c r="T389" i="1"/>
  <c r="G389" i="1"/>
  <c r="F389" i="1"/>
  <c r="AI388" i="1"/>
  <c r="V388" i="1"/>
  <c r="Y388" i="1" s="1"/>
  <c r="T388" i="1"/>
  <c r="G388" i="1"/>
  <c r="F388" i="1"/>
  <c r="AI387" i="1"/>
  <c r="V387" i="1"/>
  <c r="Y387" i="1" s="1"/>
  <c r="T387" i="1"/>
  <c r="G387" i="1"/>
  <c r="F387" i="1"/>
  <c r="AI386" i="1"/>
  <c r="V386" i="1"/>
  <c r="Y386" i="1" s="1"/>
  <c r="T386" i="1"/>
  <c r="G386" i="1"/>
  <c r="F386" i="1"/>
  <c r="AI385" i="1"/>
  <c r="V385" i="1"/>
  <c r="Y385" i="1" s="1"/>
  <c r="T385" i="1"/>
  <c r="G385" i="1"/>
  <c r="F385" i="1"/>
  <c r="AI384" i="1"/>
  <c r="V384" i="1"/>
  <c r="Y384" i="1" s="1"/>
  <c r="T384" i="1"/>
  <c r="G384" i="1"/>
  <c r="F384" i="1"/>
  <c r="AI383" i="1"/>
  <c r="V383" i="1"/>
  <c r="Y383" i="1" s="1"/>
  <c r="T383" i="1"/>
  <c r="G383" i="1"/>
  <c r="F383" i="1"/>
  <c r="AI382" i="1"/>
  <c r="V382" i="1"/>
  <c r="Y382" i="1" s="1"/>
  <c r="T382" i="1"/>
  <c r="G382" i="1"/>
  <c r="F382" i="1"/>
  <c r="AI381" i="1"/>
  <c r="V381" i="1"/>
  <c r="Y381" i="1" s="1"/>
  <c r="T381" i="1"/>
  <c r="G381" i="1"/>
  <c r="F381" i="1"/>
  <c r="AI380" i="1"/>
  <c r="V380" i="1"/>
  <c r="Y380" i="1" s="1"/>
  <c r="T380" i="1"/>
  <c r="G380" i="1"/>
  <c r="F380" i="1"/>
  <c r="AI379" i="1"/>
  <c r="V379" i="1"/>
  <c r="Y379" i="1" s="1"/>
  <c r="T379" i="1"/>
  <c r="G379" i="1"/>
  <c r="F379" i="1"/>
  <c r="AI378" i="1"/>
  <c r="V378" i="1"/>
  <c r="Y378" i="1" s="1"/>
  <c r="T378" i="1"/>
  <c r="G378" i="1"/>
  <c r="F378" i="1"/>
  <c r="AI377" i="1"/>
  <c r="V377" i="1"/>
  <c r="Y377" i="1" s="1"/>
  <c r="T377" i="1"/>
  <c r="G377" i="1"/>
  <c r="F377" i="1"/>
  <c r="AI376" i="1"/>
  <c r="V376" i="1"/>
  <c r="Y376" i="1" s="1"/>
  <c r="T376" i="1"/>
  <c r="G376" i="1"/>
  <c r="F376" i="1"/>
  <c r="AI375" i="1"/>
  <c r="V375" i="1"/>
  <c r="Y375" i="1" s="1"/>
  <c r="T375" i="1"/>
  <c r="G375" i="1"/>
  <c r="F375" i="1"/>
  <c r="AI374" i="1"/>
  <c r="V374" i="1"/>
  <c r="Y374" i="1" s="1"/>
  <c r="T374" i="1"/>
  <c r="G374" i="1"/>
  <c r="F374" i="1"/>
  <c r="AI373" i="1"/>
  <c r="V373" i="1"/>
  <c r="Y373" i="1" s="1"/>
  <c r="T373" i="1"/>
  <c r="G373" i="1"/>
  <c r="F373" i="1"/>
  <c r="AI372" i="1"/>
  <c r="V372" i="1"/>
  <c r="Y372" i="1" s="1"/>
  <c r="T372" i="1"/>
  <c r="G372" i="1"/>
  <c r="F372" i="1"/>
  <c r="AI371" i="1"/>
  <c r="V371" i="1"/>
  <c r="Y371" i="1" s="1"/>
  <c r="T371" i="1"/>
  <c r="G371" i="1"/>
  <c r="F371" i="1"/>
  <c r="AI370" i="1"/>
  <c r="V370" i="1"/>
  <c r="Y370" i="1" s="1"/>
  <c r="T370" i="1"/>
  <c r="G370" i="1"/>
  <c r="F370" i="1"/>
  <c r="AI369" i="1"/>
  <c r="V369" i="1"/>
  <c r="Y369" i="1" s="1"/>
  <c r="T369" i="1"/>
  <c r="G369" i="1"/>
  <c r="F369" i="1"/>
  <c r="AI368" i="1"/>
  <c r="V368" i="1"/>
  <c r="Y368" i="1" s="1"/>
  <c r="T368" i="1"/>
  <c r="G368" i="1"/>
  <c r="F368" i="1"/>
  <c r="AI367" i="1"/>
  <c r="V367" i="1"/>
  <c r="Y367" i="1" s="1"/>
  <c r="T367" i="1"/>
  <c r="G367" i="1"/>
  <c r="F367" i="1"/>
  <c r="AI366" i="1"/>
  <c r="V366" i="1"/>
  <c r="Y366" i="1" s="1"/>
  <c r="T366" i="1"/>
  <c r="G366" i="1"/>
  <c r="F366" i="1"/>
  <c r="AI365" i="1"/>
  <c r="V365" i="1"/>
  <c r="Y365" i="1" s="1"/>
  <c r="T365" i="1"/>
  <c r="G365" i="1"/>
  <c r="F365" i="1"/>
  <c r="AI364" i="1"/>
  <c r="V364" i="1"/>
  <c r="Y364" i="1" s="1"/>
  <c r="T364" i="1"/>
  <c r="G364" i="1"/>
  <c r="F364" i="1"/>
  <c r="AI363" i="1"/>
  <c r="V363" i="1"/>
  <c r="Y363" i="1" s="1"/>
  <c r="T363" i="1"/>
  <c r="G363" i="1"/>
  <c r="F363" i="1"/>
  <c r="AI362" i="1"/>
  <c r="V362" i="1"/>
  <c r="Y362" i="1" s="1"/>
  <c r="T362" i="1"/>
  <c r="G362" i="1"/>
  <c r="F362" i="1"/>
  <c r="AI361" i="1"/>
  <c r="V361" i="1"/>
  <c r="Y361" i="1" s="1"/>
  <c r="T361" i="1"/>
  <c r="G361" i="1"/>
  <c r="F361" i="1"/>
  <c r="AI360" i="1"/>
  <c r="V360" i="1"/>
  <c r="Y360" i="1" s="1"/>
  <c r="T360" i="1"/>
  <c r="G360" i="1"/>
  <c r="F360" i="1"/>
  <c r="AI359" i="1"/>
  <c r="V359" i="1"/>
  <c r="Y359" i="1" s="1"/>
  <c r="T359" i="1"/>
  <c r="G359" i="1"/>
  <c r="F359" i="1"/>
  <c r="AI358" i="1"/>
  <c r="V358" i="1"/>
  <c r="Y358" i="1" s="1"/>
  <c r="T358" i="1"/>
  <c r="G358" i="1"/>
  <c r="F358" i="1"/>
  <c r="AI357" i="1"/>
  <c r="V357" i="1"/>
  <c r="Y357" i="1" s="1"/>
  <c r="T357" i="1"/>
  <c r="G357" i="1"/>
  <c r="F357" i="1"/>
  <c r="AI356" i="1"/>
  <c r="V356" i="1"/>
  <c r="Y356" i="1" s="1"/>
  <c r="T356" i="1"/>
  <c r="G356" i="1"/>
  <c r="F356" i="1"/>
  <c r="AI355" i="1"/>
  <c r="V355" i="1"/>
  <c r="Y355" i="1" s="1"/>
  <c r="T355" i="1"/>
  <c r="G355" i="1"/>
  <c r="F355" i="1"/>
  <c r="AI354" i="1"/>
  <c r="V354" i="1"/>
  <c r="Y354" i="1" s="1"/>
  <c r="T354" i="1"/>
  <c r="G354" i="1"/>
  <c r="F354" i="1"/>
  <c r="AI353" i="1"/>
  <c r="V353" i="1"/>
  <c r="Y353" i="1" s="1"/>
  <c r="T353" i="1"/>
  <c r="G353" i="1"/>
  <c r="F353" i="1"/>
  <c r="AI352" i="1"/>
  <c r="V352" i="1"/>
  <c r="Y352" i="1" s="1"/>
  <c r="T352" i="1"/>
  <c r="G352" i="1"/>
  <c r="F352" i="1"/>
  <c r="AI351" i="1"/>
  <c r="V351" i="1"/>
  <c r="Y351" i="1" s="1"/>
  <c r="T351" i="1"/>
  <c r="G351" i="1"/>
  <c r="F351" i="1"/>
  <c r="AI350" i="1"/>
  <c r="V350" i="1"/>
  <c r="Y350" i="1" s="1"/>
  <c r="T350" i="1"/>
  <c r="G350" i="1"/>
  <c r="F350" i="1"/>
  <c r="AI349" i="1"/>
  <c r="V349" i="1"/>
  <c r="Y349" i="1" s="1"/>
  <c r="T349" i="1"/>
  <c r="G349" i="1"/>
  <c r="F349" i="1"/>
  <c r="AI348" i="1"/>
  <c r="V348" i="1"/>
  <c r="Y348" i="1" s="1"/>
  <c r="T348" i="1"/>
  <c r="G348" i="1"/>
  <c r="F348" i="1"/>
  <c r="AI347" i="1"/>
  <c r="V347" i="1"/>
  <c r="Y347" i="1" s="1"/>
  <c r="T347" i="1"/>
  <c r="G347" i="1"/>
  <c r="F347" i="1"/>
  <c r="AI346" i="1"/>
  <c r="V346" i="1"/>
  <c r="Y346" i="1" s="1"/>
  <c r="T346" i="1"/>
  <c r="G346" i="1"/>
  <c r="F346" i="1"/>
  <c r="AI345" i="1"/>
  <c r="V345" i="1"/>
  <c r="Y345" i="1" s="1"/>
  <c r="T345" i="1"/>
  <c r="G345" i="1"/>
  <c r="F345" i="1"/>
  <c r="AI344" i="1"/>
  <c r="V344" i="1"/>
  <c r="Y344" i="1" s="1"/>
  <c r="T344" i="1"/>
  <c r="G344" i="1"/>
  <c r="F344" i="1"/>
  <c r="AI343" i="1"/>
  <c r="V343" i="1"/>
  <c r="Y343" i="1" s="1"/>
  <c r="T343" i="1"/>
  <c r="G343" i="1"/>
  <c r="F343" i="1"/>
  <c r="AI342" i="1"/>
  <c r="V342" i="1"/>
  <c r="Y342" i="1" s="1"/>
  <c r="T342" i="1"/>
  <c r="G342" i="1"/>
  <c r="F342" i="1"/>
  <c r="AI341" i="1"/>
  <c r="V341" i="1"/>
  <c r="Y341" i="1" s="1"/>
  <c r="T341" i="1"/>
  <c r="G341" i="1"/>
  <c r="F341" i="1"/>
  <c r="AI340" i="1"/>
  <c r="V340" i="1"/>
  <c r="Y340" i="1" s="1"/>
  <c r="T340" i="1"/>
  <c r="G340" i="1"/>
  <c r="F340" i="1"/>
  <c r="AI339" i="1"/>
  <c r="V339" i="1"/>
  <c r="Y339" i="1" s="1"/>
  <c r="T339" i="1"/>
  <c r="G339" i="1"/>
  <c r="F339" i="1"/>
  <c r="AI338" i="1"/>
  <c r="V338" i="1"/>
  <c r="Y338" i="1" s="1"/>
  <c r="T338" i="1"/>
  <c r="G338" i="1"/>
  <c r="F338" i="1"/>
  <c r="AI337" i="1"/>
  <c r="V337" i="1"/>
  <c r="Y337" i="1" s="1"/>
  <c r="T337" i="1"/>
  <c r="G337" i="1"/>
  <c r="F337" i="1"/>
  <c r="AI336" i="1"/>
  <c r="V336" i="1"/>
  <c r="Y336" i="1" s="1"/>
  <c r="T336" i="1"/>
  <c r="G336" i="1"/>
  <c r="F336" i="1"/>
  <c r="AI335" i="1"/>
  <c r="V335" i="1"/>
  <c r="Y335" i="1" s="1"/>
  <c r="T335" i="1"/>
  <c r="G335" i="1"/>
  <c r="F335" i="1"/>
  <c r="AI334" i="1"/>
  <c r="V334" i="1"/>
  <c r="Y334" i="1" s="1"/>
  <c r="T334" i="1"/>
  <c r="G334" i="1"/>
  <c r="F334" i="1"/>
  <c r="AI333" i="1"/>
  <c r="V333" i="1"/>
  <c r="Y333" i="1" s="1"/>
  <c r="T333" i="1"/>
  <c r="G333" i="1"/>
  <c r="F333" i="1"/>
  <c r="AI332" i="1"/>
  <c r="V332" i="1"/>
  <c r="Y332" i="1" s="1"/>
  <c r="T332" i="1"/>
  <c r="G332" i="1"/>
  <c r="F332" i="1"/>
  <c r="AI331" i="1"/>
  <c r="V331" i="1"/>
  <c r="Y331" i="1" s="1"/>
  <c r="T331" i="1"/>
  <c r="G331" i="1"/>
  <c r="F331" i="1"/>
  <c r="AI330" i="1"/>
  <c r="V330" i="1"/>
  <c r="Y330" i="1" s="1"/>
  <c r="T330" i="1"/>
  <c r="G330" i="1"/>
  <c r="F330" i="1"/>
  <c r="AI329" i="1"/>
  <c r="V329" i="1"/>
  <c r="Y329" i="1" s="1"/>
  <c r="T329" i="1"/>
  <c r="G329" i="1"/>
  <c r="F329" i="1"/>
  <c r="AI328" i="1"/>
  <c r="V328" i="1"/>
  <c r="Y328" i="1" s="1"/>
  <c r="T328" i="1"/>
  <c r="G328" i="1"/>
  <c r="F328" i="1"/>
  <c r="AI327" i="1"/>
  <c r="V327" i="1"/>
  <c r="Y327" i="1" s="1"/>
  <c r="T327" i="1"/>
  <c r="G327" i="1"/>
  <c r="F327" i="1"/>
  <c r="AI326" i="1"/>
  <c r="V326" i="1"/>
  <c r="Y326" i="1" s="1"/>
  <c r="T326" i="1"/>
  <c r="G326" i="1"/>
  <c r="F326" i="1"/>
  <c r="AI325" i="1"/>
  <c r="V325" i="1"/>
  <c r="Y325" i="1" s="1"/>
  <c r="T325" i="1"/>
  <c r="G325" i="1"/>
  <c r="F325" i="1"/>
  <c r="AI324" i="1"/>
  <c r="V324" i="1"/>
  <c r="Y324" i="1" s="1"/>
  <c r="T324" i="1"/>
  <c r="G324" i="1"/>
  <c r="F324" i="1"/>
  <c r="AI323" i="1"/>
  <c r="V323" i="1"/>
  <c r="Y323" i="1" s="1"/>
  <c r="T323" i="1"/>
  <c r="G323" i="1"/>
  <c r="F323" i="1"/>
  <c r="AI322" i="1"/>
  <c r="V322" i="1"/>
  <c r="Y322" i="1" s="1"/>
  <c r="T322" i="1"/>
  <c r="G322" i="1"/>
  <c r="F322" i="1"/>
  <c r="AI321" i="1"/>
  <c r="V321" i="1"/>
  <c r="Y321" i="1" s="1"/>
  <c r="T321" i="1"/>
  <c r="G321" i="1"/>
  <c r="F321" i="1"/>
  <c r="AI320" i="1"/>
  <c r="V320" i="1"/>
  <c r="Y320" i="1" s="1"/>
  <c r="T320" i="1"/>
  <c r="G320" i="1"/>
  <c r="F320" i="1"/>
  <c r="AI319" i="1"/>
  <c r="V319" i="1"/>
  <c r="Y319" i="1" s="1"/>
  <c r="T319" i="1"/>
  <c r="G319" i="1"/>
  <c r="F319" i="1"/>
  <c r="AI318" i="1"/>
  <c r="V318" i="1"/>
  <c r="Y318" i="1" s="1"/>
  <c r="T318" i="1"/>
  <c r="G318" i="1"/>
  <c r="F318" i="1"/>
  <c r="AI317" i="1"/>
  <c r="V317" i="1"/>
  <c r="Y317" i="1" s="1"/>
  <c r="T317" i="1"/>
  <c r="G317" i="1"/>
  <c r="F317" i="1"/>
  <c r="AI316" i="1"/>
  <c r="V316" i="1"/>
  <c r="Y316" i="1" s="1"/>
  <c r="T316" i="1"/>
  <c r="G316" i="1"/>
  <c r="F316" i="1"/>
  <c r="AI315" i="1"/>
  <c r="V315" i="1"/>
  <c r="Y315" i="1" s="1"/>
  <c r="T315" i="1"/>
  <c r="G315" i="1"/>
  <c r="F315" i="1"/>
  <c r="AI314" i="1"/>
  <c r="V314" i="1"/>
  <c r="Y314" i="1" s="1"/>
  <c r="T314" i="1"/>
  <c r="G314" i="1"/>
  <c r="F314" i="1"/>
  <c r="AI313" i="1"/>
  <c r="V313" i="1"/>
  <c r="Y313" i="1" s="1"/>
  <c r="T313" i="1"/>
  <c r="G313" i="1"/>
  <c r="F313" i="1"/>
  <c r="AI312" i="1"/>
  <c r="V312" i="1"/>
  <c r="Y312" i="1" s="1"/>
  <c r="T312" i="1"/>
  <c r="G312" i="1"/>
  <c r="F312" i="1"/>
  <c r="AI311" i="1"/>
  <c r="V311" i="1"/>
  <c r="Y311" i="1" s="1"/>
  <c r="T311" i="1"/>
  <c r="G311" i="1"/>
  <c r="F311" i="1"/>
  <c r="AI310" i="1"/>
  <c r="V310" i="1"/>
  <c r="Y310" i="1" s="1"/>
  <c r="T310" i="1"/>
  <c r="G310" i="1"/>
  <c r="F310" i="1"/>
  <c r="AI309" i="1"/>
  <c r="V309" i="1"/>
  <c r="Y309" i="1" s="1"/>
  <c r="T309" i="1"/>
  <c r="G309" i="1"/>
  <c r="F309" i="1"/>
  <c r="AI308" i="1"/>
  <c r="V308" i="1"/>
  <c r="Y308" i="1" s="1"/>
  <c r="T308" i="1"/>
  <c r="G308" i="1"/>
  <c r="F308" i="1"/>
  <c r="AI307" i="1"/>
  <c r="V307" i="1"/>
  <c r="Y307" i="1" s="1"/>
  <c r="T307" i="1"/>
  <c r="G307" i="1"/>
  <c r="F307" i="1"/>
  <c r="AI306" i="1"/>
  <c r="V306" i="1"/>
  <c r="Y306" i="1" s="1"/>
  <c r="T306" i="1"/>
  <c r="G306" i="1"/>
  <c r="F306" i="1"/>
  <c r="AI305" i="1"/>
  <c r="V305" i="1"/>
  <c r="Y305" i="1" s="1"/>
  <c r="T305" i="1"/>
  <c r="G305" i="1"/>
  <c r="F305" i="1"/>
  <c r="AI304" i="1"/>
  <c r="V304" i="1"/>
  <c r="Y304" i="1" s="1"/>
  <c r="T304" i="1"/>
  <c r="G304" i="1"/>
  <c r="F304" i="1"/>
  <c r="AI303" i="1"/>
  <c r="V303" i="1"/>
  <c r="Y303" i="1" s="1"/>
  <c r="T303" i="1"/>
  <c r="G303" i="1"/>
  <c r="F303" i="1"/>
  <c r="AI302" i="1"/>
  <c r="V302" i="1"/>
  <c r="Y302" i="1" s="1"/>
  <c r="T302" i="1"/>
  <c r="G302" i="1"/>
  <c r="F302" i="1"/>
  <c r="AI301" i="1"/>
  <c r="V301" i="1"/>
  <c r="Y301" i="1" s="1"/>
  <c r="T301" i="1"/>
  <c r="G301" i="1"/>
  <c r="F301" i="1"/>
  <c r="AI300" i="1"/>
  <c r="V300" i="1"/>
  <c r="Y300" i="1" s="1"/>
  <c r="T300" i="1"/>
  <c r="G300" i="1"/>
  <c r="F300" i="1"/>
  <c r="AI299" i="1"/>
  <c r="V299" i="1"/>
  <c r="Y299" i="1" s="1"/>
  <c r="T299" i="1"/>
  <c r="G299" i="1"/>
  <c r="F299" i="1"/>
  <c r="AI298" i="1"/>
  <c r="V298" i="1"/>
  <c r="Y298" i="1" s="1"/>
  <c r="T298" i="1"/>
  <c r="G298" i="1"/>
  <c r="F298" i="1"/>
  <c r="AI297" i="1"/>
  <c r="V297" i="1"/>
  <c r="Y297" i="1" s="1"/>
  <c r="T297" i="1"/>
  <c r="G297" i="1"/>
  <c r="F297" i="1"/>
  <c r="AI296" i="1"/>
  <c r="V296" i="1"/>
  <c r="Y296" i="1" s="1"/>
  <c r="T296" i="1"/>
  <c r="G296" i="1"/>
  <c r="F296" i="1"/>
  <c r="AI295" i="1"/>
  <c r="V295" i="1"/>
  <c r="Y295" i="1" s="1"/>
  <c r="T295" i="1"/>
  <c r="G295" i="1"/>
  <c r="F295" i="1"/>
  <c r="AI294" i="1"/>
  <c r="V294" i="1"/>
  <c r="Y294" i="1" s="1"/>
  <c r="T294" i="1"/>
  <c r="G294" i="1"/>
  <c r="F294" i="1"/>
  <c r="AI293" i="1"/>
  <c r="V293" i="1"/>
  <c r="Y293" i="1" s="1"/>
  <c r="T293" i="1"/>
  <c r="G293" i="1"/>
  <c r="F293" i="1"/>
  <c r="AI292" i="1"/>
  <c r="V292" i="1"/>
  <c r="Y292" i="1" s="1"/>
  <c r="T292" i="1"/>
  <c r="G292" i="1"/>
  <c r="F292" i="1"/>
  <c r="AI291" i="1"/>
  <c r="V291" i="1"/>
  <c r="Y291" i="1" s="1"/>
  <c r="T291" i="1"/>
  <c r="G291" i="1"/>
  <c r="F291" i="1"/>
  <c r="AI290" i="1"/>
  <c r="V290" i="1"/>
  <c r="Y290" i="1" s="1"/>
  <c r="T290" i="1"/>
  <c r="G290" i="1"/>
  <c r="F290" i="1"/>
  <c r="AI289" i="1"/>
  <c r="V289" i="1"/>
  <c r="Y289" i="1" s="1"/>
  <c r="T289" i="1"/>
  <c r="G289" i="1"/>
  <c r="F289" i="1"/>
  <c r="AI288" i="1"/>
  <c r="V288" i="1"/>
  <c r="Y288" i="1" s="1"/>
  <c r="T288" i="1"/>
  <c r="G288" i="1"/>
  <c r="F288" i="1"/>
  <c r="AI287" i="1"/>
  <c r="V287" i="1"/>
  <c r="Y287" i="1" s="1"/>
  <c r="T287" i="1"/>
  <c r="G287" i="1"/>
  <c r="F287" i="1"/>
  <c r="AI286" i="1"/>
  <c r="V286" i="1"/>
  <c r="Y286" i="1" s="1"/>
  <c r="T286" i="1"/>
  <c r="G286" i="1"/>
  <c r="F286" i="1"/>
  <c r="AI285" i="1"/>
  <c r="V285" i="1"/>
  <c r="Y285" i="1" s="1"/>
  <c r="T285" i="1"/>
  <c r="G285" i="1"/>
  <c r="F285" i="1"/>
  <c r="AI284" i="1"/>
  <c r="V284" i="1"/>
  <c r="Y284" i="1" s="1"/>
  <c r="T284" i="1"/>
  <c r="G284" i="1"/>
  <c r="F284" i="1"/>
  <c r="AI283" i="1"/>
  <c r="V283" i="1"/>
  <c r="Y283" i="1" s="1"/>
  <c r="T283" i="1"/>
  <c r="G283" i="1"/>
  <c r="F283" i="1"/>
  <c r="AI282" i="1"/>
  <c r="V282" i="1"/>
  <c r="Y282" i="1" s="1"/>
  <c r="T282" i="1"/>
  <c r="G282" i="1"/>
  <c r="F282" i="1"/>
  <c r="AI281" i="1"/>
  <c r="V281" i="1"/>
  <c r="Y281" i="1" s="1"/>
  <c r="T281" i="1"/>
  <c r="G281" i="1"/>
  <c r="F281" i="1"/>
  <c r="AI280" i="1"/>
  <c r="V280" i="1"/>
  <c r="Y280" i="1" s="1"/>
  <c r="T280" i="1"/>
  <c r="G280" i="1"/>
  <c r="F280" i="1"/>
  <c r="AI279" i="1"/>
  <c r="V279" i="1"/>
  <c r="Y279" i="1" s="1"/>
  <c r="T279" i="1"/>
  <c r="G279" i="1"/>
  <c r="F279" i="1"/>
  <c r="AI278" i="1"/>
  <c r="V278" i="1"/>
  <c r="Y278" i="1" s="1"/>
  <c r="T278" i="1"/>
  <c r="G278" i="1"/>
  <c r="F278" i="1"/>
  <c r="AI277" i="1"/>
  <c r="V277" i="1"/>
  <c r="Y277" i="1" s="1"/>
  <c r="T277" i="1"/>
  <c r="G277" i="1"/>
  <c r="F277" i="1"/>
  <c r="AI276" i="1"/>
  <c r="V276" i="1"/>
  <c r="Y276" i="1" s="1"/>
  <c r="T276" i="1"/>
  <c r="G276" i="1"/>
  <c r="F276" i="1"/>
  <c r="AI275" i="1"/>
  <c r="V275" i="1"/>
  <c r="Y275" i="1" s="1"/>
  <c r="T275" i="1"/>
  <c r="G275" i="1"/>
  <c r="F275" i="1"/>
  <c r="AI274" i="1"/>
  <c r="V274" i="1"/>
  <c r="Y274" i="1" s="1"/>
  <c r="T274" i="1"/>
  <c r="G274" i="1"/>
  <c r="F274" i="1"/>
  <c r="AI273" i="1"/>
  <c r="V273" i="1"/>
  <c r="Y273" i="1" s="1"/>
  <c r="T273" i="1"/>
  <c r="G273" i="1"/>
  <c r="F273" i="1"/>
  <c r="AI272" i="1"/>
  <c r="V272" i="1"/>
  <c r="Y272" i="1" s="1"/>
  <c r="T272" i="1"/>
  <c r="G272" i="1"/>
  <c r="F272" i="1"/>
  <c r="AI271" i="1"/>
  <c r="V271" i="1"/>
  <c r="Y271" i="1" s="1"/>
  <c r="T271" i="1"/>
  <c r="G271" i="1"/>
  <c r="F271" i="1"/>
  <c r="AI270" i="1"/>
  <c r="V270" i="1"/>
  <c r="Y270" i="1" s="1"/>
  <c r="T270" i="1"/>
  <c r="G270" i="1"/>
  <c r="F270" i="1"/>
  <c r="AI269" i="1"/>
  <c r="V269" i="1"/>
  <c r="Y269" i="1" s="1"/>
  <c r="T269" i="1"/>
  <c r="G269" i="1"/>
  <c r="F269" i="1"/>
  <c r="AI268" i="1"/>
  <c r="V268" i="1"/>
  <c r="Y268" i="1" s="1"/>
  <c r="T268" i="1"/>
  <c r="G268" i="1"/>
  <c r="F268" i="1"/>
  <c r="AI267" i="1"/>
  <c r="V267" i="1"/>
  <c r="Y267" i="1" s="1"/>
  <c r="T267" i="1"/>
  <c r="G267" i="1"/>
  <c r="F267" i="1"/>
  <c r="AI266" i="1"/>
  <c r="V266" i="1"/>
  <c r="Y266" i="1" s="1"/>
  <c r="T266" i="1"/>
  <c r="G266" i="1"/>
  <c r="F266" i="1"/>
  <c r="AI265" i="1"/>
  <c r="V265" i="1"/>
  <c r="Y265" i="1" s="1"/>
  <c r="T265" i="1"/>
  <c r="G265" i="1"/>
  <c r="F265" i="1"/>
  <c r="AI264" i="1"/>
  <c r="V264" i="1"/>
  <c r="Y264" i="1" s="1"/>
  <c r="T264" i="1"/>
  <c r="G264" i="1"/>
  <c r="F264" i="1"/>
  <c r="AI263" i="1"/>
  <c r="V263" i="1"/>
  <c r="Y263" i="1" s="1"/>
  <c r="T263" i="1"/>
  <c r="G263" i="1"/>
  <c r="F263" i="1"/>
  <c r="AI262" i="1"/>
  <c r="V262" i="1"/>
  <c r="Y262" i="1" s="1"/>
  <c r="T262" i="1"/>
  <c r="G262" i="1"/>
  <c r="F262" i="1"/>
  <c r="AI261" i="1"/>
  <c r="V261" i="1"/>
  <c r="Y261" i="1" s="1"/>
  <c r="T261" i="1"/>
  <c r="G261" i="1"/>
  <c r="F261" i="1"/>
  <c r="AI260" i="1"/>
  <c r="V260" i="1"/>
  <c r="Y260" i="1" s="1"/>
  <c r="T260" i="1"/>
  <c r="G260" i="1"/>
  <c r="F260" i="1"/>
  <c r="AI259" i="1"/>
  <c r="V259" i="1"/>
  <c r="Y259" i="1" s="1"/>
  <c r="T259" i="1"/>
  <c r="G259" i="1"/>
  <c r="F259" i="1"/>
  <c r="AI258" i="1"/>
  <c r="V258" i="1"/>
  <c r="Y258" i="1" s="1"/>
  <c r="T258" i="1"/>
  <c r="G258" i="1"/>
  <c r="F258" i="1"/>
  <c r="AI257" i="1"/>
  <c r="V257" i="1"/>
  <c r="Y257" i="1" s="1"/>
  <c r="T257" i="1"/>
  <c r="G257" i="1"/>
  <c r="F257" i="1"/>
  <c r="AI256" i="1"/>
  <c r="V256" i="1"/>
  <c r="Y256" i="1" s="1"/>
  <c r="T256" i="1"/>
  <c r="G256" i="1"/>
  <c r="F256" i="1"/>
  <c r="AI255" i="1"/>
  <c r="V255" i="1"/>
  <c r="Y255" i="1" s="1"/>
  <c r="T255" i="1"/>
  <c r="G255" i="1"/>
  <c r="F255" i="1"/>
  <c r="AI254" i="1"/>
  <c r="V254" i="1"/>
  <c r="Y254" i="1" s="1"/>
  <c r="T254" i="1"/>
  <c r="G254" i="1"/>
  <c r="F254" i="1"/>
  <c r="AI253" i="1"/>
  <c r="V253" i="1"/>
  <c r="Y253" i="1" s="1"/>
  <c r="T253" i="1"/>
  <c r="G253" i="1"/>
  <c r="F253" i="1"/>
  <c r="AI252" i="1"/>
  <c r="V252" i="1"/>
  <c r="Y252" i="1" s="1"/>
  <c r="T252" i="1"/>
  <c r="G252" i="1"/>
  <c r="F252" i="1"/>
  <c r="AI251" i="1"/>
  <c r="V251" i="1"/>
  <c r="Y251" i="1" s="1"/>
  <c r="T251" i="1"/>
  <c r="G251" i="1"/>
  <c r="F251" i="1"/>
  <c r="AI250" i="1"/>
  <c r="V250" i="1"/>
  <c r="Y250" i="1" s="1"/>
  <c r="T250" i="1"/>
  <c r="G250" i="1"/>
  <c r="F250" i="1"/>
  <c r="AI249" i="1"/>
  <c r="V249" i="1"/>
  <c r="Y249" i="1" s="1"/>
  <c r="T249" i="1"/>
  <c r="G249" i="1"/>
  <c r="F249" i="1"/>
  <c r="AI248" i="1"/>
  <c r="V248" i="1"/>
  <c r="Y248" i="1" s="1"/>
  <c r="T248" i="1"/>
  <c r="G248" i="1"/>
  <c r="F248" i="1"/>
  <c r="AI247" i="1"/>
  <c r="V247" i="1"/>
  <c r="Y247" i="1" s="1"/>
  <c r="T247" i="1"/>
  <c r="G247" i="1"/>
  <c r="F247" i="1"/>
  <c r="AI246" i="1"/>
  <c r="V246" i="1"/>
  <c r="Y246" i="1" s="1"/>
  <c r="T246" i="1"/>
  <c r="G246" i="1"/>
  <c r="F246" i="1"/>
  <c r="AI245" i="1"/>
  <c r="V245" i="1"/>
  <c r="Y245" i="1" s="1"/>
  <c r="T245" i="1"/>
  <c r="G245" i="1"/>
  <c r="F245" i="1"/>
  <c r="AI244" i="1"/>
  <c r="V244" i="1"/>
  <c r="Y244" i="1" s="1"/>
  <c r="T244" i="1"/>
  <c r="G244" i="1"/>
  <c r="F244" i="1"/>
  <c r="AI243" i="1"/>
  <c r="V243" i="1"/>
  <c r="Y243" i="1" s="1"/>
  <c r="T243" i="1"/>
  <c r="G243" i="1"/>
  <c r="F243" i="1"/>
  <c r="AI242" i="1"/>
  <c r="V242" i="1"/>
  <c r="Y242" i="1" s="1"/>
  <c r="T242" i="1"/>
  <c r="G242" i="1"/>
  <c r="F242" i="1"/>
  <c r="AI241" i="1"/>
  <c r="V241" i="1"/>
  <c r="Y241" i="1" s="1"/>
  <c r="T241" i="1"/>
  <c r="G241" i="1"/>
  <c r="F241" i="1"/>
  <c r="AI240" i="1"/>
  <c r="V240" i="1"/>
  <c r="Y240" i="1" s="1"/>
  <c r="T240" i="1"/>
  <c r="G240" i="1"/>
  <c r="F240" i="1"/>
  <c r="AI239" i="1"/>
  <c r="V239" i="1"/>
  <c r="Y239" i="1" s="1"/>
  <c r="T239" i="1"/>
  <c r="G239" i="1"/>
  <c r="F239" i="1"/>
  <c r="AI238" i="1"/>
  <c r="V238" i="1"/>
  <c r="Y238" i="1" s="1"/>
  <c r="T238" i="1"/>
  <c r="G238" i="1"/>
  <c r="F238" i="1"/>
  <c r="AI237" i="1"/>
  <c r="V237" i="1"/>
  <c r="Y237" i="1" s="1"/>
  <c r="T237" i="1"/>
  <c r="G237" i="1"/>
  <c r="F237" i="1"/>
  <c r="AI236" i="1"/>
  <c r="V236" i="1"/>
  <c r="Y236" i="1" s="1"/>
  <c r="T236" i="1"/>
  <c r="G236" i="1"/>
  <c r="F236" i="1"/>
  <c r="AI235" i="1"/>
  <c r="V235" i="1"/>
  <c r="Y235" i="1" s="1"/>
  <c r="T235" i="1"/>
  <c r="G235" i="1"/>
  <c r="F235" i="1"/>
  <c r="AI234" i="1"/>
  <c r="V234" i="1"/>
  <c r="Y234" i="1" s="1"/>
  <c r="T234" i="1"/>
  <c r="G234" i="1"/>
  <c r="F234" i="1"/>
  <c r="AI233" i="1"/>
  <c r="V233" i="1"/>
  <c r="Y233" i="1" s="1"/>
  <c r="T233" i="1"/>
  <c r="G233" i="1"/>
  <c r="F233" i="1"/>
  <c r="AI232" i="1"/>
  <c r="V232" i="1"/>
  <c r="Y232" i="1" s="1"/>
  <c r="T232" i="1"/>
  <c r="G232" i="1"/>
  <c r="F232" i="1"/>
  <c r="AI231" i="1"/>
  <c r="V231" i="1"/>
  <c r="Y231" i="1" s="1"/>
  <c r="T231" i="1"/>
  <c r="G231" i="1"/>
  <c r="F231" i="1"/>
  <c r="AI230" i="1"/>
  <c r="V230" i="1"/>
  <c r="Y230" i="1" s="1"/>
  <c r="T230" i="1"/>
  <c r="G230" i="1"/>
  <c r="F230" i="1"/>
  <c r="AI229" i="1"/>
  <c r="V229" i="1"/>
  <c r="Y229" i="1" s="1"/>
  <c r="T229" i="1"/>
  <c r="G229" i="1"/>
  <c r="F229" i="1"/>
  <c r="AI228" i="1"/>
  <c r="V228" i="1"/>
  <c r="Y228" i="1" s="1"/>
  <c r="T228" i="1"/>
  <c r="G228" i="1"/>
  <c r="F228" i="1"/>
  <c r="AI227" i="1"/>
  <c r="V227" i="1"/>
  <c r="Y227" i="1" s="1"/>
  <c r="T227" i="1"/>
  <c r="G227" i="1"/>
  <c r="F227" i="1"/>
  <c r="AI226" i="1"/>
  <c r="V226" i="1"/>
  <c r="Y226" i="1" s="1"/>
  <c r="T226" i="1"/>
  <c r="G226" i="1"/>
  <c r="F226" i="1"/>
  <c r="AI225" i="1"/>
  <c r="V225" i="1"/>
  <c r="Y225" i="1" s="1"/>
  <c r="T225" i="1"/>
  <c r="G225" i="1"/>
  <c r="F225" i="1"/>
  <c r="AI224" i="1"/>
  <c r="V224" i="1"/>
  <c r="Y224" i="1" s="1"/>
  <c r="T224" i="1"/>
  <c r="G224" i="1"/>
  <c r="F224" i="1"/>
  <c r="AI223" i="1"/>
  <c r="V223" i="1"/>
  <c r="Y223" i="1" s="1"/>
  <c r="T223" i="1"/>
  <c r="G223" i="1"/>
  <c r="F223" i="1"/>
  <c r="AI222" i="1"/>
  <c r="V222" i="1"/>
  <c r="Y222" i="1" s="1"/>
  <c r="T222" i="1"/>
  <c r="G222" i="1"/>
  <c r="F222" i="1"/>
  <c r="AI221" i="1"/>
  <c r="V221" i="1"/>
  <c r="Y221" i="1" s="1"/>
  <c r="T221" i="1"/>
  <c r="G221" i="1"/>
  <c r="F221" i="1"/>
  <c r="AI220" i="1"/>
  <c r="V220" i="1"/>
  <c r="Y220" i="1" s="1"/>
  <c r="T220" i="1"/>
  <c r="G220" i="1"/>
  <c r="F220" i="1"/>
  <c r="AI219" i="1"/>
  <c r="V219" i="1"/>
  <c r="Y219" i="1" s="1"/>
  <c r="T219" i="1"/>
  <c r="G219" i="1"/>
  <c r="F219" i="1"/>
  <c r="AI218" i="1"/>
  <c r="V218" i="1"/>
  <c r="Y218" i="1" s="1"/>
  <c r="T218" i="1"/>
  <c r="G218" i="1"/>
  <c r="F218" i="1"/>
  <c r="AI217" i="1"/>
  <c r="V217" i="1"/>
  <c r="Y217" i="1" s="1"/>
  <c r="T217" i="1"/>
  <c r="G217" i="1"/>
  <c r="F217" i="1"/>
  <c r="AI216" i="1"/>
  <c r="V216" i="1"/>
  <c r="Y216" i="1" s="1"/>
  <c r="T216" i="1"/>
  <c r="G216" i="1"/>
  <c r="F216" i="1"/>
  <c r="AI215" i="1"/>
  <c r="V215" i="1"/>
  <c r="Y215" i="1" s="1"/>
  <c r="T215" i="1"/>
  <c r="G215" i="1"/>
  <c r="F215" i="1"/>
  <c r="AI214" i="1"/>
  <c r="V214" i="1"/>
  <c r="Y214" i="1" s="1"/>
  <c r="T214" i="1"/>
  <c r="G214" i="1"/>
  <c r="F214" i="1"/>
  <c r="AI213" i="1"/>
  <c r="V213" i="1"/>
  <c r="Y213" i="1" s="1"/>
  <c r="T213" i="1"/>
  <c r="G213" i="1"/>
  <c r="F213" i="1"/>
  <c r="AI212" i="1"/>
  <c r="V212" i="1"/>
  <c r="Y212" i="1" s="1"/>
  <c r="T212" i="1"/>
  <c r="G212" i="1"/>
  <c r="F212" i="1"/>
  <c r="AI211" i="1"/>
  <c r="V211" i="1"/>
  <c r="Y211" i="1" s="1"/>
  <c r="T211" i="1"/>
  <c r="G211" i="1"/>
  <c r="F211" i="1"/>
  <c r="AI210" i="1"/>
  <c r="V210" i="1"/>
  <c r="Y210" i="1" s="1"/>
  <c r="T210" i="1"/>
  <c r="G210" i="1"/>
  <c r="F210" i="1"/>
  <c r="AI209" i="1"/>
  <c r="V209" i="1"/>
  <c r="Y209" i="1" s="1"/>
  <c r="T209" i="1"/>
  <c r="G209" i="1"/>
  <c r="F209" i="1"/>
  <c r="AI208" i="1"/>
  <c r="V208" i="1"/>
  <c r="Y208" i="1" s="1"/>
  <c r="T208" i="1"/>
  <c r="G208" i="1"/>
  <c r="F208" i="1"/>
  <c r="AI207" i="1"/>
  <c r="V207" i="1"/>
  <c r="Y207" i="1" s="1"/>
  <c r="T207" i="1"/>
  <c r="G207" i="1"/>
  <c r="F207" i="1"/>
  <c r="AI206" i="1"/>
  <c r="V206" i="1"/>
  <c r="Y206" i="1" s="1"/>
  <c r="T206" i="1"/>
  <c r="G206" i="1"/>
  <c r="F206" i="1"/>
  <c r="AI205" i="1"/>
  <c r="V205" i="1"/>
  <c r="Y205" i="1" s="1"/>
  <c r="T205" i="1"/>
  <c r="G205" i="1"/>
  <c r="F205" i="1"/>
  <c r="AI204" i="1"/>
  <c r="V204" i="1"/>
  <c r="Y204" i="1" s="1"/>
  <c r="T204" i="1"/>
  <c r="G204" i="1"/>
  <c r="F204" i="1"/>
  <c r="AI203" i="1"/>
  <c r="V203" i="1"/>
  <c r="Y203" i="1" s="1"/>
  <c r="T203" i="1"/>
  <c r="G203" i="1"/>
  <c r="F203" i="1"/>
  <c r="AI202" i="1"/>
  <c r="V202" i="1"/>
  <c r="Y202" i="1" s="1"/>
  <c r="T202" i="1"/>
  <c r="G202" i="1"/>
  <c r="F202" i="1"/>
  <c r="AI201" i="1"/>
  <c r="V201" i="1"/>
  <c r="Y201" i="1" s="1"/>
  <c r="T201" i="1"/>
  <c r="G201" i="1"/>
  <c r="F201" i="1"/>
  <c r="AI200" i="1"/>
  <c r="V200" i="1"/>
  <c r="Y200" i="1" s="1"/>
  <c r="T200" i="1"/>
  <c r="G200" i="1"/>
  <c r="F200" i="1"/>
  <c r="AI199" i="1"/>
  <c r="V199" i="1"/>
  <c r="Y199" i="1" s="1"/>
  <c r="T199" i="1"/>
  <c r="G199" i="1"/>
  <c r="F199" i="1"/>
  <c r="AI198" i="1"/>
  <c r="V198" i="1"/>
  <c r="Y198" i="1" s="1"/>
  <c r="T198" i="1"/>
  <c r="G198" i="1"/>
  <c r="F198" i="1"/>
  <c r="AI197" i="1"/>
  <c r="V197" i="1"/>
  <c r="Y197" i="1" s="1"/>
  <c r="T197" i="1"/>
  <c r="G197" i="1"/>
  <c r="F197" i="1"/>
  <c r="AI196" i="1"/>
  <c r="V196" i="1"/>
  <c r="Y196" i="1" s="1"/>
  <c r="T196" i="1"/>
  <c r="G196" i="1"/>
  <c r="F196" i="1"/>
  <c r="AI195" i="1"/>
  <c r="V195" i="1"/>
  <c r="Y195" i="1" s="1"/>
  <c r="T195" i="1"/>
  <c r="G195" i="1"/>
  <c r="F195" i="1"/>
  <c r="AI194" i="1"/>
  <c r="V194" i="1"/>
  <c r="Y194" i="1" s="1"/>
  <c r="T194" i="1"/>
  <c r="G194" i="1"/>
  <c r="F194" i="1"/>
  <c r="AI193" i="1"/>
  <c r="V193" i="1"/>
  <c r="Y193" i="1" s="1"/>
  <c r="T193" i="1"/>
  <c r="G193" i="1"/>
  <c r="F193" i="1"/>
  <c r="AI192" i="1"/>
  <c r="V192" i="1"/>
  <c r="Y192" i="1" s="1"/>
  <c r="T192" i="1"/>
  <c r="G192" i="1"/>
  <c r="F192" i="1"/>
  <c r="AI191" i="1"/>
  <c r="V191" i="1"/>
  <c r="Y191" i="1" s="1"/>
  <c r="T191" i="1"/>
  <c r="G191" i="1"/>
  <c r="F191" i="1"/>
  <c r="AI190" i="1"/>
  <c r="V190" i="1"/>
  <c r="Y190" i="1" s="1"/>
  <c r="T190" i="1"/>
  <c r="G190" i="1"/>
  <c r="F190" i="1"/>
  <c r="AI189" i="1"/>
  <c r="V189" i="1"/>
  <c r="Y189" i="1" s="1"/>
  <c r="T189" i="1"/>
  <c r="G189" i="1"/>
  <c r="F189" i="1"/>
  <c r="AI188" i="1"/>
  <c r="V188" i="1"/>
  <c r="Y188" i="1" s="1"/>
  <c r="T188" i="1"/>
  <c r="G188" i="1"/>
  <c r="F188" i="1"/>
  <c r="AI187" i="1"/>
  <c r="V187" i="1"/>
  <c r="Y187" i="1" s="1"/>
  <c r="T187" i="1"/>
  <c r="G187" i="1"/>
  <c r="F187" i="1"/>
  <c r="AI186" i="1"/>
  <c r="V186" i="1"/>
  <c r="Y186" i="1" s="1"/>
  <c r="T186" i="1"/>
  <c r="G186" i="1"/>
  <c r="F186" i="1"/>
  <c r="AI185" i="1"/>
  <c r="V185" i="1"/>
  <c r="Y185" i="1" s="1"/>
  <c r="T185" i="1"/>
  <c r="G185" i="1"/>
  <c r="F185" i="1"/>
  <c r="AI184" i="1"/>
  <c r="V184" i="1"/>
  <c r="Y184" i="1" s="1"/>
  <c r="T184" i="1"/>
  <c r="G184" i="1"/>
  <c r="F184" i="1"/>
  <c r="AI183" i="1"/>
  <c r="V183" i="1"/>
  <c r="Y183" i="1" s="1"/>
  <c r="T183" i="1"/>
  <c r="G183" i="1"/>
  <c r="F183" i="1"/>
  <c r="AI182" i="1"/>
  <c r="V182" i="1"/>
  <c r="Y182" i="1" s="1"/>
  <c r="T182" i="1"/>
  <c r="G182" i="1"/>
  <c r="F182" i="1"/>
  <c r="AI181" i="1"/>
  <c r="V181" i="1"/>
  <c r="Y181" i="1" s="1"/>
  <c r="T181" i="1"/>
  <c r="G181" i="1"/>
  <c r="F181" i="1"/>
  <c r="AI180" i="1"/>
  <c r="V180" i="1"/>
  <c r="Y180" i="1" s="1"/>
  <c r="T180" i="1"/>
  <c r="G180" i="1"/>
  <c r="F180" i="1"/>
  <c r="AI179" i="1"/>
  <c r="V179" i="1"/>
  <c r="Y179" i="1" s="1"/>
  <c r="T179" i="1"/>
  <c r="G179" i="1"/>
  <c r="F179" i="1"/>
  <c r="AI178" i="1"/>
  <c r="V178" i="1"/>
  <c r="Y178" i="1" s="1"/>
  <c r="T178" i="1"/>
  <c r="G178" i="1"/>
  <c r="F178" i="1"/>
  <c r="AI177" i="1"/>
  <c r="V177" i="1"/>
  <c r="Y177" i="1" s="1"/>
  <c r="T177" i="1"/>
  <c r="G177" i="1"/>
  <c r="F177" i="1"/>
  <c r="AI176" i="1"/>
  <c r="V176" i="1"/>
  <c r="Y176" i="1" s="1"/>
  <c r="T176" i="1"/>
  <c r="G176" i="1"/>
  <c r="F176" i="1"/>
  <c r="AI175" i="1"/>
  <c r="V175" i="1"/>
  <c r="Y175" i="1" s="1"/>
  <c r="T175" i="1"/>
  <c r="G175" i="1"/>
  <c r="F175" i="1"/>
  <c r="AI174" i="1"/>
  <c r="V174" i="1"/>
  <c r="Y174" i="1" s="1"/>
  <c r="T174" i="1"/>
  <c r="G174" i="1"/>
  <c r="F174" i="1"/>
  <c r="AI173" i="1"/>
  <c r="V173" i="1"/>
  <c r="Y173" i="1" s="1"/>
  <c r="T173" i="1"/>
  <c r="G173" i="1"/>
  <c r="F173" i="1"/>
  <c r="AI172" i="1"/>
  <c r="V172" i="1"/>
  <c r="Y172" i="1" s="1"/>
  <c r="T172" i="1"/>
  <c r="G172" i="1"/>
  <c r="F172" i="1"/>
  <c r="AI171" i="1"/>
  <c r="V171" i="1"/>
  <c r="Y171" i="1" s="1"/>
  <c r="T171" i="1"/>
  <c r="G171" i="1"/>
  <c r="F171" i="1"/>
  <c r="AI170" i="1"/>
  <c r="V170" i="1"/>
  <c r="Y170" i="1" s="1"/>
  <c r="T170" i="1"/>
  <c r="G170" i="1"/>
  <c r="F170" i="1"/>
  <c r="AI169" i="1"/>
  <c r="V169" i="1"/>
  <c r="Y169" i="1" s="1"/>
  <c r="T169" i="1"/>
  <c r="G169" i="1"/>
  <c r="F169" i="1"/>
  <c r="AI168" i="1"/>
  <c r="V168" i="1"/>
  <c r="Y168" i="1" s="1"/>
  <c r="T168" i="1"/>
  <c r="G168" i="1"/>
  <c r="F168" i="1"/>
  <c r="AI167" i="1"/>
  <c r="V167" i="1"/>
  <c r="Y167" i="1" s="1"/>
  <c r="T167" i="1"/>
  <c r="G167" i="1"/>
  <c r="F167" i="1"/>
  <c r="AI166" i="1"/>
  <c r="V166" i="1"/>
  <c r="Y166" i="1" s="1"/>
  <c r="T166" i="1"/>
  <c r="G166" i="1"/>
  <c r="F166" i="1"/>
  <c r="AI165" i="1"/>
  <c r="V165" i="1"/>
  <c r="Y165" i="1" s="1"/>
  <c r="T165" i="1"/>
  <c r="G165" i="1"/>
  <c r="F165" i="1"/>
  <c r="AI164" i="1"/>
  <c r="V164" i="1"/>
  <c r="Y164" i="1" s="1"/>
  <c r="T164" i="1"/>
  <c r="G164" i="1"/>
  <c r="F164" i="1"/>
  <c r="AI163" i="1"/>
  <c r="V163" i="1"/>
  <c r="Y163" i="1" s="1"/>
  <c r="T163" i="1"/>
  <c r="G163" i="1"/>
  <c r="F163" i="1"/>
  <c r="AI162" i="1"/>
  <c r="V162" i="1"/>
  <c r="Y162" i="1" s="1"/>
  <c r="T162" i="1"/>
  <c r="G162" i="1"/>
  <c r="F162" i="1"/>
  <c r="AI161" i="1"/>
  <c r="V161" i="1"/>
  <c r="Y161" i="1" s="1"/>
  <c r="T161" i="1"/>
  <c r="G161" i="1"/>
  <c r="F161" i="1"/>
  <c r="AI160" i="1"/>
  <c r="V160" i="1"/>
  <c r="Y160" i="1" s="1"/>
  <c r="T160" i="1"/>
  <c r="G160" i="1"/>
  <c r="F160" i="1"/>
  <c r="AI159" i="1"/>
  <c r="V159" i="1"/>
  <c r="Y159" i="1" s="1"/>
  <c r="T159" i="1"/>
  <c r="G159" i="1"/>
  <c r="F159" i="1"/>
  <c r="AI158" i="1"/>
  <c r="V158" i="1"/>
  <c r="Y158" i="1" s="1"/>
  <c r="T158" i="1"/>
  <c r="G158" i="1"/>
  <c r="F158" i="1"/>
  <c r="AI157" i="1"/>
  <c r="V157" i="1"/>
  <c r="Y157" i="1" s="1"/>
  <c r="T157" i="1"/>
  <c r="G157" i="1"/>
  <c r="F157" i="1"/>
  <c r="AI156" i="1"/>
  <c r="V156" i="1"/>
  <c r="Y156" i="1" s="1"/>
  <c r="T156" i="1"/>
  <c r="G156" i="1"/>
  <c r="F156" i="1"/>
  <c r="AI155" i="1"/>
  <c r="V155" i="1"/>
  <c r="Y155" i="1" s="1"/>
  <c r="T155" i="1"/>
  <c r="G155" i="1"/>
  <c r="F155" i="1"/>
  <c r="AI154" i="1"/>
  <c r="V154" i="1"/>
  <c r="Y154" i="1" s="1"/>
  <c r="T154" i="1"/>
  <c r="G154" i="1"/>
  <c r="F154" i="1"/>
  <c r="AI153" i="1"/>
  <c r="V153" i="1"/>
  <c r="Y153" i="1" s="1"/>
  <c r="T153" i="1"/>
  <c r="G153" i="1"/>
  <c r="F153" i="1"/>
  <c r="AI152" i="1"/>
  <c r="V152" i="1"/>
  <c r="Y152" i="1" s="1"/>
  <c r="T152" i="1"/>
  <c r="G152" i="1"/>
  <c r="F152" i="1"/>
  <c r="AI151" i="1"/>
  <c r="V151" i="1"/>
  <c r="Y151" i="1" s="1"/>
  <c r="T151" i="1"/>
  <c r="G151" i="1"/>
  <c r="F151" i="1"/>
  <c r="AI150" i="1"/>
  <c r="V150" i="1"/>
  <c r="Y150" i="1" s="1"/>
  <c r="T150" i="1"/>
  <c r="G150" i="1"/>
  <c r="F150" i="1"/>
  <c r="AI149" i="1"/>
  <c r="V149" i="1"/>
  <c r="Y149" i="1" s="1"/>
  <c r="T149" i="1"/>
  <c r="G149" i="1"/>
  <c r="F149" i="1"/>
  <c r="AI148" i="1"/>
  <c r="V148" i="1"/>
  <c r="Y148" i="1" s="1"/>
  <c r="T148" i="1"/>
  <c r="G148" i="1"/>
  <c r="F148" i="1"/>
  <c r="AI147" i="1"/>
  <c r="V147" i="1"/>
  <c r="Y147" i="1" s="1"/>
  <c r="T147" i="1"/>
  <c r="G147" i="1"/>
  <c r="F147" i="1"/>
  <c r="AI146" i="1"/>
  <c r="V146" i="1"/>
  <c r="Y146" i="1" s="1"/>
  <c r="T146" i="1"/>
  <c r="G146" i="1"/>
  <c r="F146" i="1"/>
  <c r="AI145" i="1"/>
  <c r="V145" i="1"/>
  <c r="Y145" i="1" s="1"/>
  <c r="T145" i="1"/>
  <c r="G145" i="1"/>
  <c r="F145" i="1"/>
  <c r="AI144" i="1"/>
  <c r="V144" i="1"/>
  <c r="Y144" i="1" s="1"/>
  <c r="T144" i="1"/>
  <c r="G144" i="1"/>
  <c r="F144" i="1"/>
  <c r="AI143" i="1"/>
  <c r="V143" i="1"/>
  <c r="Y143" i="1" s="1"/>
  <c r="T143" i="1"/>
  <c r="G143" i="1"/>
  <c r="F143" i="1"/>
  <c r="AI142" i="1"/>
  <c r="V142" i="1"/>
  <c r="Y142" i="1" s="1"/>
  <c r="T142" i="1"/>
  <c r="G142" i="1"/>
  <c r="F142" i="1"/>
  <c r="AI141" i="1"/>
  <c r="V141" i="1"/>
  <c r="Y141" i="1" s="1"/>
  <c r="T141" i="1"/>
  <c r="G141" i="1"/>
  <c r="F141" i="1"/>
  <c r="AI140" i="1"/>
  <c r="V140" i="1"/>
  <c r="Y140" i="1" s="1"/>
  <c r="T140" i="1"/>
  <c r="G140" i="1"/>
  <c r="F140" i="1"/>
  <c r="AI139" i="1"/>
  <c r="V139" i="1"/>
  <c r="Y139" i="1" s="1"/>
  <c r="T139" i="1"/>
  <c r="G139" i="1"/>
  <c r="F139" i="1"/>
  <c r="AI138" i="1"/>
  <c r="V138" i="1"/>
  <c r="Y138" i="1" s="1"/>
  <c r="T138" i="1"/>
  <c r="G138" i="1"/>
  <c r="F138" i="1"/>
  <c r="AI137" i="1"/>
  <c r="V137" i="1"/>
  <c r="Y137" i="1" s="1"/>
  <c r="T137" i="1"/>
  <c r="G137" i="1"/>
  <c r="F137" i="1"/>
  <c r="AI136" i="1"/>
  <c r="V136" i="1"/>
  <c r="Y136" i="1" s="1"/>
  <c r="T136" i="1"/>
  <c r="G136" i="1"/>
  <c r="F136" i="1"/>
  <c r="AI135" i="1"/>
  <c r="V135" i="1"/>
  <c r="Y135" i="1" s="1"/>
  <c r="T135" i="1"/>
  <c r="G135" i="1"/>
  <c r="F135" i="1"/>
  <c r="AI134" i="1"/>
  <c r="V134" i="1"/>
  <c r="Y134" i="1" s="1"/>
  <c r="T134" i="1"/>
  <c r="G134" i="1"/>
  <c r="F134" i="1"/>
  <c r="AI133" i="1"/>
  <c r="V133" i="1"/>
  <c r="Y133" i="1" s="1"/>
  <c r="T133" i="1"/>
  <c r="G133" i="1"/>
  <c r="F133" i="1"/>
  <c r="AI132" i="1"/>
  <c r="V132" i="1"/>
  <c r="Y132" i="1" s="1"/>
  <c r="T132" i="1"/>
  <c r="G132" i="1"/>
  <c r="F132" i="1"/>
  <c r="AI131" i="1"/>
  <c r="V131" i="1"/>
  <c r="Y131" i="1" s="1"/>
  <c r="T131" i="1"/>
  <c r="G131" i="1"/>
  <c r="F131" i="1"/>
  <c r="AI130" i="1"/>
  <c r="V130" i="1"/>
  <c r="Y130" i="1" s="1"/>
  <c r="T130" i="1"/>
  <c r="G130" i="1"/>
  <c r="F130" i="1"/>
  <c r="AI129" i="1"/>
  <c r="V129" i="1"/>
  <c r="Y129" i="1" s="1"/>
  <c r="T129" i="1"/>
  <c r="G129" i="1"/>
  <c r="F129" i="1"/>
  <c r="AI128" i="1"/>
  <c r="V128" i="1"/>
  <c r="Y128" i="1" s="1"/>
  <c r="T128" i="1"/>
  <c r="G128" i="1"/>
  <c r="F128" i="1"/>
  <c r="AI127" i="1"/>
  <c r="V127" i="1"/>
  <c r="Y127" i="1" s="1"/>
  <c r="T127" i="1"/>
  <c r="G127" i="1"/>
  <c r="F127" i="1"/>
  <c r="AI126" i="1"/>
  <c r="V126" i="1"/>
  <c r="Y126" i="1" s="1"/>
  <c r="T126" i="1"/>
  <c r="G126" i="1"/>
  <c r="F126" i="1"/>
  <c r="AI125" i="1"/>
  <c r="V125" i="1"/>
  <c r="Y125" i="1" s="1"/>
  <c r="T125" i="1"/>
  <c r="G125" i="1"/>
  <c r="F125" i="1"/>
  <c r="AI124" i="1"/>
  <c r="V124" i="1"/>
  <c r="Y124" i="1" s="1"/>
  <c r="T124" i="1"/>
  <c r="G124" i="1"/>
  <c r="F124" i="1"/>
  <c r="AI123" i="1"/>
  <c r="V123" i="1"/>
  <c r="Y123" i="1" s="1"/>
  <c r="T123" i="1"/>
  <c r="G123" i="1"/>
  <c r="F123" i="1"/>
  <c r="AI122" i="1"/>
  <c r="V122" i="1"/>
  <c r="Y122" i="1" s="1"/>
  <c r="T122" i="1"/>
  <c r="G122" i="1"/>
  <c r="F122" i="1"/>
  <c r="AI121" i="1"/>
  <c r="V121" i="1"/>
  <c r="Y121" i="1" s="1"/>
  <c r="T121" i="1"/>
  <c r="G121" i="1"/>
  <c r="F121" i="1"/>
  <c r="AI120" i="1"/>
  <c r="V120" i="1"/>
  <c r="Y120" i="1" s="1"/>
  <c r="T120" i="1"/>
  <c r="G120" i="1"/>
  <c r="F120" i="1"/>
  <c r="AI119" i="1"/>
  <c r="V119" i="1"/>
  <c r="Y119" i="1" s="1"/>
  <c r="T119" i="1"/>
  <c r="G119" i="1"/>
  <c r="F119" i="1"/>
  <c r="AI118" i="1"/>
  <c r="V118" i="1"/>
  <c r="Y118" i="1" s="1"/>
  <c r="T118" i="1"/>
  <c r="G118" i="1"/>
  <c r="F118" i="1"/>
  <c r="AI117" i="1"/>
  <c r="V117" i="1"/>
  <c r="Y117" i="1" s="1"/>
  <c r="T117" i="1"/>
  <c r="G117" i="1"/>
  <c r="F117" i="1"/>
  <c r="AI116" i="1"/>
  <c r="V116" i="1"/>
  <c r="Y116" i="1" s="1"/>
  <c r="T116" i="1"/>
  <c r="G116" i="1"/>
  <c r="F116" i="1"/>
  <c r="AI115" i="1"/>
  <c r="V115" i="1"/>
  <c r="Y115" i="1" s="1"/>
  <c r="T115" i="1"/>
  <c r="G115" i="1"/>
  <c r="F115" i="1"/>
  <c r="AI114" i="1"/>
  <c r="V114" i="1"/>
  <c r="Y114" i="1" s="1"/>
  <c r="T114" i="1"/>
  <c r="G114" i="1"/>
  <c r="F114" i="1"/>
  <c r="AI113" i="1"/>
  <c r="V113" i="1"/>
  <c r="Y113" i="1" s="1"/>
  <c r="T113" i="1"/>
  <c r="G113" i="1"/>
  <c r="F113" i="1"/>
  <c r="AI112" i="1"/>
  <c r="V112" i="1"/>
  <c r="Y112" i="1" s="1"/>
  <c r="T112" i="1"/>
  <c r="G112" i="1"/>
  <c r="F112" i="1"/>
  <c r="AI111" i="1"/>
  <c r="V111" i="1"/>
  <c r="Y111" i="1" s="1"/>
  <c r="T111" i="1"/>
  <c r="G111" i="1"/>
  <c r="F111" i="1"/>
  <c r="AI110" i="1"/>
  <c r="V110" i="1"/>
  <c r="Y110" i="1" s="1"/>
  <c r="T110" i="1"/>
  <c r="G110" i="1"/>
  <c r="F110" i="1"/>
  <c r="AI109" i="1"/>
  <c r="V109" i="1"/>
  <c r="Y109" i="1" s="1"/>
  <c r="T109" i="1"/>
  <c r="G109" i="1"/>
  <c r="F109" i="1"/>
  <c r="AI108" i="1"/>
  <c r="V108" i="1"/>
  <c r="Y108" i="1" s="1"/>
  <c r="T108" i="1"/>
  <c r="G108" i="1"/>
  <c r="F108" i="1"/>
  <c r="AI107" i="1"/>
  <c r="V107" i="1"/>
  <c r="Y107" i="1" s="1"/>
  <c r="T107" i="1"/>
  <c r="G107" i="1"/>
  <c r="F107" i="1"/>
  <c r="AI106" i="1"/>
  <c r="V106" i="1"/>
  <c r="Y106" i="1" s="1"/>
  <c r="T106" i="1"/>
  <c r="G106" i="1"/>
  <c r="F106" i="1"/>
  <c r="AI105" i="1"/>
  <c r="V105" i="1"/>
  <c r="Y105" i="1" s="1"/>
  <c r="T105" i="1"/>
  <c r="G105" i="1"/>
  <c r="F105" i="1"/>
  <c r="AI104" i="1"/>
  <c r="V104" i="1"/>
  <c r="Y104" i="1" s="1"/>
  <c r="T104" i="1"/>
  <c r="G104" i="1"/>
  <c r="F104" i="1"/>
  <c r="AI103" i="1"/>
  <c r="V103" i="1"/>
  <c r="Y103" i="1" s="1"/>
  <c r="T103" i="1"/>
  <c r="G103" i="1"/>
  <c r="F103" i="1"/>
  <c r="AI102" i="1"/>
  <c r="V102" i="1"/>
  <c r="Y102" i="1" s="1"/>
  <c r="T102" i="1"/>
  <c r="G102" i="1"/>
  <c r="F102" i="1"/>
  <c r="AI101" i="1"/>
  <c r="V101" i="1"/>
  <c r="Y101" i="1" s="1"/>
  <c r="T101" i="1"/>
  <c r="G101" i="1"/>
  <c r="F101" i="1"/>
  <c r="AI100" i="1"/>
  <c r="V100" i="1"/>
  <c r="Y100" i="1" s="1"/>
  <c r="T100" i="1"/>
  <c r="G100" i="1"/>
  <c r="F100" i="1"/>
  <c r="AI99" i="1"/>
  <c r="V99" i="1"/>
  <c r="Y99" i="1" s="1"/>
  <c r="T99" i="1"/>
  <c r="G99" i="1"/>
  <c r="F99" i="1"/>
  <c r="AI98" i="1"/>
  <c r="V98" i="1"/>
  <c r="Y98" i="1" s="1"/>
  <c r="T98" i="1"/>
  <c r="G98" i="1"/>
  <c r="F98" i="1"/>
  <c r="AI97" i="1"/>
  <c r="V97" i="1"/>
  <c r="Y97" i="1" s="1"/>
  <c r="T97" i="1"/>
  <c r="G97" i="1"/>
  <c r="F97" i="1"/>
  <c r="AI96" i="1"/>
  <c r="V96" i="1"/>
  <c r="Y96" i="1" s="1"/>
  <c r="T96" i="1"/>
  <c r="G96" i="1"/>
  <c r="F96" i="1"/>
  <c r="AI95" i="1"/>
  <c r="V95" i="1"/>
  <c r="Y95" i="1" s="1"/>
  <c r="T95" i="1"/>
  <c r="G95" i="1"/>
  <c r="F95" i="1"/>
  <c r="AI94" i="1"/>
  <c r="V94" i="1"/>
  <c r="Y94" i="1" s="1"/>
  <c r="T94" i="1"/>
  <c r="G94" i="1"/>
  <c r="F94" i="1"/>
  <c r="AI93" i="1"/>
  <c r="V93" i="1"/>
  <c r="Y93" i="1" s="1"/>
  <c r="T93" i="1"/>
  <c r="G93" i="1"/>
  <c r="F93" i="1"/>
  <c r="AI92" i="1"/>
  <c r="V92" i="1"/>
  <c r="Y92" i="1" s="1"/>
  <c r="T92" i="1"/>
  <c r="G92" i="1"/>
  <c r="F92" i="1"/>
  <c r="AI91" i="1"/>
  <c r="V91" i="1"/>
  <c r="Y91" i="1" s="1"/>
  <c r="T91" i="1"/>
  <c r="G91" i="1"/>
  <c r="F91" i="1"/>
  <c r="AI90" i="1"/>
  <c r="V90" i="1"/>
  <c r="Y90" i="1" s="1"/>
  <c r="T90" i="1"/>
  <c r="G90" i="1"/>
  <c r="F90" i="1"/>
  <c r="AI89" i="1"/>
  <c r="V89" i="1"/>
  <c r="Y89" i="1" s="1"/>
  <c r="T89" i="1"/>
  <c r="G89" i="1"/>
  <c r="F89" i="1"/>
  <c r="AI88" i="1"/>
  <c r="V88" i="1"/>
  <c r="Y88" i="1" s="1"/>
  <c r="T88" i="1"/>
  <c r="G88" i="1"/>
  <c r="F88" i="1"/>
  <c r="AI87" i="1"/>
  <c r="V87" i="1"/>
  <c r="Y87" i="1" s="1"/>
  <c r="T87" i="1"/>
  <c r="G87" i="1"/>
  <c r="F87" i="1"/>
  <c r="AI86" i="1"/>
  <c r="V86" i="1"/>
  <c r="Y86" i="1" s="1"/>
  <c r="T86" i="1"/>
  <c r="G86" i="1"/>
  <c r="F86" i="1"/>
  <c r="AI85" i="1"/>
  <c r="V85" i="1"/>
  <c r="Y85" i="1" s="1"/>
  <c r="T85" i="1"/>
  <c r="G85" i="1"/>
  <c r="F85" i="1"/>
  <c r="AI84" i="1"/>
  <c r="V84" i="1"/>
  <c r="Y84" i="1" s="1"/>
  <c r="T84" i="1"/>
  <c r="G84" i="1"/>
  <c r="F84" i="1"/>
  <c r="AI83" i="1"/>
  <c r="V83" i="1"/>
  <c r="Y83" i="1" s="1"/>
  <c r="T83" i="1"/>
  <c r="G83" i="1"/>
  <c r="F83" i="1"/>
  <c r="AI82" i="1"/>
  <c r="V82" i="1"/>
  <c r="Y82" i="1" s="1"/>
  <c r="T82" i="1"/>
  <c r="G82" i="1"/>
  <c r="F82" i="1"/>
  <c r="AI81" i="1"/>
  <c r="V81" i="1"/>
  <c r="Y81" i="1" s="1"/>
  <c r="T81" i="1"/>
  <c r="G81" i="1"/>
  <c r="F81" i="1"/>
  <c r="AI80" i="1"/>
  <c r="V80" i="1"/>
  <c r="Y80" i="1" s="1"/>
  <c r="T80" i="1"/>
  <c r="G80" i="1"/>
  <c r="F80" i="1"/>
  <c r="AI79" i="1"/>
  <c r="V79" i="1"/>
  <c r="Y79" i="1" s="1"/>
  <c r="T79" i="1"/>
  <c r="G79" i="1"/>
  <c r="F79" i="1"/>
  <c r="AI78" i="1"/>
  <c r="V78" i="1"/>
  <c r="Y78" i="1" s="1"/>
  <c r="T78" i="1"/>
  <c r="G78" i="1"/>
  <c r="F78" i="1"/>
  <c r="AI77" i="1"/>
  <c r="V77" i="1"/>
  <c r="Y77" i="1" s="1"/>
  <c r="T77" i="1"/>
  <c r="G77" i="1"/>
  <c r="F77" i="1"/>
  <c r="AI76" i="1"/>
  <c r="V76" i="1"/>
  <c r="Y76" i="1" s="1"/>
  <c r="T76" i="1"/>
  <c r="G76" i="1"/>
  <c r="F76" i="1"/>
  <c r="AI75" i="1"/>
  <c r="V75" i="1"/>
  <c r="Y75" i="1" s="1"/>
  <c r="T75" i="1"/>
  <c r="G75" i="1"/>
  <c r="F75" i="1"/>
  <c r="AI74" i="1"/>
  <c r="V74" i="1"/>
  <c r="Y74" i="1" s="1"/>
  <c r="T74" i="1"/>
  <c r="G74" i="1"/>
  <c r="F74" i="1"/>
  <c r="AI73" i="1"/>
  <c r="V73" i="1"/>
  <c r="Y73" i="1" s="1"/>
  <c r="T73" i="1"/>
  <c r="G73" i="1"/>
  <c r="F73" i="1"/>
  <c r="AI72" i="1"/>
  <c r="V72" i="1"/>
  <c r="Y72" i="1" s="1"/>
  <c r="T72" i="1"/>
  <c r="G72" i="1"/>
  <c r="F72" i="1"/>
  <c r="AI71" i="1"/>
  <c r="V71" i="1"/>
  <c r="Y71" i="1" s="1"/>
  <c r="T71" i="1"/>
  <c r="G71" i="1"/>
  <c r="F71" i="1"/>
  <c r="AI70" i="1"/>
  <c r="V70" i="1"/>
  <c r="Y70" i="1" s="1"/>
  <c r="T70" i="1"/>
  <c r="G70" i="1"/>
  <c r="F70" i="1"/>
  <c r="AI69" i="1"/>
  <c r="V69" i="1"/>
  <c r="Y69" i="1" s="1"/>
  <c r="T69" i="1"/>
  <c r="G69" i="1"/>
  <c r="F69" i="1"/>
  <c r="AI68" i="1"/>
  <c r="V68" i="1"/>
  <c r="Y68" i="1" s="1"/>
  <c r="T68" i="1"/>
  <c r="G68" i="1"/>
  <c r="F68" i="1"/>
  <c r="AI67" i="1"/>
  <c r="V67" i="1"/>
  <c r="Y67" i="1" s="1"/>
  <c r="T67" i="1"/>
  <c r="G67" i="1"/>
  <c r="F67" i="1"/>
  <c r="AI66" i="1"/>
  <c r="V66" i="1"/>
  <c r="Y66" i="1" s="1"/>
  <c r="T66" i="1"/>
  <c r="G66" i="1"/>
  <c r="F66" i="1"/>
  <c r="AI65" i="1"/>
  <c r="V65" i="1"/>
  <c r="Y65" i="1" s="1"/>
  <c r="T65" i="1"/>
  <c r="G65" i="1"/>
  <c r="F65" i="1"/>
  <c r="AI64" i="1"/>
  <c r="V64" i="1"/>
  <c r="Y64" i="1" s="1"/>
  <c r="T64" i="1"/>
  <c r="G64" i="1"/>
  <c r="F64" i="1"/>
  <c r="AI63" i="1"/>
  <c r="V63" i="1"/>
  <c r="Y63" i="1" s="1"/>
  <c r="T63" i="1"/>
  <c r="G63" i="1"/>
  <c r="F63" i="1"/>
  <c r="AI62" i="1"/>
  <c r="V62" i="1"/>
  <c r="Y62" i="1" s="1"/>
  <c r="T62" i="1"/>
  <c r="G62" i="1"/>
  <c r="F62" i="1"/>
  <c r="AI61" i="1"/>
  <c r="V61" i="1"/>
  <c r="Y61" i="1" s="1"/>
  <c r="T61" i="1"/>
  <c r="G61" i="1"/>
  <c r="F61" i="1"/>
  <c r="AI60" i="1"/>
  <c r="V60" i="1"/>
  <c r="Y60" i="1" s="1"/>
  <c r="T60" i="1"/>
  <c r="G60" i="1"/>
  <c r="F60" i="1"/>
  <c r="AI59" i="1"/>
  <c r="V59" i="1"/>
  <c r="Y59" i="1" s="1"/>
  <c r="T59" i="1"/>
  <c r="G59" i="1"/>
  <c r="F59" i="1"/>
  <c r="AI58" i="1"/>
  <c r="V58" i="1"/>
  <c r="Y58" i="1" s="1"/>
  <c r="T58" i="1"/>
  <c r="G58" i="1"/>
  <c r="F58" i="1"/>
  <c r="AI57" i="1"/>
  <c r="V57" i="1"/>
  <c r="Y57" i="1" s="1"/>
  <c r="T57" i="1"/>
  <c r="G57" i="1"/>
  <c r="F57" i="1"/>
  <c r="AI56" i="1"/>
  <c r="V56" i="1"/>
  <c r="Y56" i="1" s="1"/>
  <c r="T56" i="1"/>
  <c r="G56" i="1"/>
  <c r="F56" i="1"/>
  <c r="AI55" i="1"/>
  <c r="V55" i="1"/>
  <c r="Y55" i="1" s="1"/>
  <c r="T55" i="1"/>
  <c r="G55" i="1"/>
  <c r="F55" i="1"/>
  <c r="AI54" i="1"/>
  <c r="V54" i="1"/>
  <c r="Y54" i="1" s="1"/>
  <c r="T54" i="1"/>
  <c r="G54" i="1"/>
  <c r="F54" i="1"/>
  <c r="AI53" i="1"/>
  <c r="V53" i="1"/>
  <c r="Y53" i="1" s="1"/>
  <c r="T53" i="1"/>
  <c r="G53" i="1"/>
  <c r="F53" i="1"/>
  <c r="AI52" i="1"/>
  <c r="V52" i="1"/>
  <c r="Y52" i="1" s="1"/>
  <c r="T52" i="1"/>
  <c r="G52" i="1"/>
  <c r="F52" i="1"/>
  <c r="AI51" i="1"/>
  <c r="V51" i="1"/>
  <c r="Y51" i="1" s="1"/>
  <c r="T51" i="1"/>
  <c r="G51" i="1"/>
  <c r="F51" i="1"/>
  <c r="AI50" i="1"/>
  <c r="V50" i="1"/>
  <c r="Y50" i="1" s="1"/>
  <c r="T50" i="1"/>
  <c r="G50" i="1"/>
  <c r="F50" i="1"/>
  <c r="AI49" i="1"/>
  <c r="V49" i="1"/>
  <c r="Y49" i="1" s="1"/>
  <c r="T49" i="1"/>
  <c r="G49" i="1"/>
  <c r="F49" i="1"/>
  <c r="AI48" i="1"/>
  <c r="V48" i="1"/>
  <c r="Y48" i="1" s="1"/>
  <c r="T48" i="1"/>
  <c r="G48" i="1"/>
  <c r="F48" i="1"/>
  <c r="AI47" i="1"/>
  <c r="V47" i="1"/>
  <c r="Y47" i="1" s="1"/>
  <c r="T47" i="1"/>
  <c r="G47" i="1"/>
  <c r="F47" i="1"/>
  <c r="AI46" i="1"/>
  <c r="V46" i="1"/>
  <c r="Y46" i="1" s="1"/>
  <c r="T46" i="1"/>
  <c r="G46" i="1"/>
  <c r="F46" i="1"/>
  <c r="AI45" i="1"/>
  <c r="V45" i="1"/>
  <c r="Y45" i="1" s="1"/>
  <c r="T45" i="1"/>
  <c r="G45" i="1"/>
  <c r="F45" i="1"/>
  <c r="AI44" i="1"/>
  <c r="V44" i="1"/>
  <c r="Y44" i="1" s="1"/>
  <c r="T44" i="1"/>
  <c r="G44" i="1"/>
  <c r="F44" i="1"/>
  <c r="AI43" i="1"/>
  <c r="V43" i="1"/>
  <c r="Y43" i="1" s="1"/>
  <c r="T43" i="1"/>
  <c r="G43" i="1"/>
  <c r="F43" i="1"/>
  <c r="AI42" i="1"/>
  <c r="V42" i="1"/>
  <c r="Y42" i="1" s="1"/>
  <c r="T42" i="1"/>
  <c r="G42" i="1"/>
  <c r="F42" i="1"/>
  <c r="AI41" i="1"/>
  <c r="V41" i="1"/>
  <c r="Y41" i="1" s="1"/>
  <c r="T41" i="1"/>
  <c r="G41" i="1"/>
  <c r="F41" i="1"/>
  <c r="AI40" i="1"/>
  <c r="V40" i="1"/>
  <c r="Y40" i="1" s="1"/>
  <c r="T40" i="1"/>
  <c r="G40" i="1"/>
  <c r="F40" i="1"/>
  <c r="AI39" i="1"/>
  <c r="V39" i="1"/>
  <c r="Y39" i="1" s="1"/>
  <c r="T39" i="1"/>
  <c r="G39" i="1"/>
  <c r="F39" i="1"/>
  <c r="AI38" i="1"/>
  <c r="V38" i="1"/>
  <c r="Y38" i="1" s="1"/>
  <c r="T38" i="1"/>
  <c r="G38" i="1"/>
  <c r="F38" i="1"/>
  <c r="AI37" i="1"/>
  <c r="V37" i="1"/>
  <c r="Y37" i="1" s="1"/>
  <c r="T37" i="1"/>
  <c r="G37" i="1"/>
  <c r="F37" i="1"/>
  <c r="AI36" i="1"/>
  <c r="V36" i="1"/>
  <c r="Y36" i="1" s="1"/>
  <c r="T36" i="1"/>
  <c r="G36" i="1"/>
  <c r="F36" i="1"/>
  <c r="AI35" i="1"/>
  <c r="V35" i="1"/>
  <c r="Y35" i="1" s="1"/>
  <c r="T35" i="1"/>
  <c r="G35" i="1"/>
  <c r="F35" i="1"/>
  <c r="AI34" i="1"/>
  <c r="V34" i="1"/>
  <c r="Y34" i="1" s="1"/>
  <c r="T34" i="1"/>
  <c r="G34" i="1"/>
  <c r="F34" i="1"/>
  <c r="AI33" i="1"/>
  <c r="V33" i="1"/>
  <c r="Y33" i="1" s="1"/>
  <c r="T33" i="1"/>
  <c r="G33" i="1"/>
  <c r="F33" i="1"/>
  <c r="AI32" i="1"/>
  <c r="V32" i="1"/>
  <c r="Y32" i="1" s="1"/>
  <c r="T32" i="1"/>
  <c r="G32" i="1"/>
  <c r="F32" i="1"/>
  <c r="AI31" i="1"/>
  <c r="V31" i="1"/>
  <c r="Y31" i="1" s="1"/>
  <c r="T31" i="1"/>
  <c r="G31" i="1"/>
  <c r="F31" i="1"/>
  <c r="AI30" i="1"/>
  <c r="V30" i="1"/>
  <c r="Y30" i="1" s="1"/>
  <c r="T30" i="1"/>
  <c r="G30" i="1"/>
  <c r="F30" i="1"/>
  <c r="AI29" i="1"/>
  <c r="V29" i="1"/>
  <c r="Y29" i="1" s="1"/>
  <c r="T29" i="1"/>
  <c r="G29" i="1"/>
  <c r="F29" i="1"/>
  <c r="AI28" i="1"/>
  <c r="V28" i="1"/>
  <c r="Y28" i="1" s="1"/>
  <c r="T28" i="1"/>
  <c r="G28" i="1"/>
  <c r="F28" i="1"/>
  <c r="AI27" i="1"/>
  <c r="V27" i="1"/>
  <c r="Y27" i="1" s="1"/>
  <c r="T27" i="1"/>
  <c r="G27" i="1"/>
  <c r="F27" i="1"/>
  <c r="AI26" i="1"/>
  <c r="V26" i="1"/>
  <c r="Y26" i="1" s="1"/>
  <c r="T26" i="1"/>
  <c r="G26" i="1"/>
  <c r="F26" i="1"/>
  <c r="AI25" i="1"/>
  <c r="V25" i="1"/>
  <c r="Y25" i="1" s="1"/>
  <c r="T25" i="1"/>
  <c r="G25" i="1"/>
  <c r="F25" i="1"/>
  <c r="AI24" i="1"/>
  <c r="V24" i="1"/>
  <c r="Y24" i="1" s="1"/>
  <c r="T24" i="1"/>
  <c r="G24" i="1"/>
  <c r="F24" i="1"/>
  <c r="AI23" i="1"/>
  <c r="V23" i="1"/>
  <c r="Y23" i="1" s="1"/>
  <c r="T23" i="1"/>
  <c r="G23" i="1"/>
  <c r="F23" i="1"/>
  <c r="AI22" i="1"/>
  <c r="V22" i="1"/>
  <c r="Y22" i="1" s="1"/>
  <c r="T22" i="1"/>
  <c r="G22" i="1"/>
  <c r="F22" i="1"/>
  <c r="AI21" i="1"/>
  <c r="V21" i="1"/>
  <c r="Y21" i="1" s="1"/>
  <c r="T21" i="1"/>
  <c r="G21" i="1"/>
  <c r="F21" i="1"/>
  <c r="AI20" i="1"/>
  <c r="V20" i="1"/>
  <c r="Y20" i="1" s="1"/>
  <c r="T20" i="1"/>
  <c r="G20" i="1"/>
  <c r="F20" i="1"/>
  <c r="AI19" i="1"/>
  <c r="V19" i="1"/>
  <c r="Y19" i="1" s="1"/>
  <c r="T19" i="1"/>
  <c r="G19" i="1"/>
  <c r="F19" i="1"/>
  <c r="AI18" i="1"/>
  <c r="V18" i="1"/>
  <c r="Y18" i="1" s="1"/>
  <c r="T18" i="1"/>
  <c r="G18" i="1"/>
  <c r="F18" i="1"/>
  <c r="AI17" i="1"/>
  <c r="V17" i="1"/>
  <c r="Y17" i="1" s="1"/>
  <c r="T17" i="1"/>
  <c r="G17" i="1"/>
  <c r="F17" i="1"/>
  <c r="AI16" i="1"/>
  <c r="V16" i="1"/>
  <c r="Y16" i="1" s="1"/>
  <c r="T16" i="1"/>
  <c r="G16" i="1"/>
  <c r="F16" i="1"/>
  <c r="AI15" i="1"/>
  <c r="V15" i="1"/>
  <c r="Y15" i="1" s="1"/>
  <c r="T15" i="1"/>
  <c r="G15" i="1"/>
  <c r="F15" i="1"/>
  <c r="AI14" i="1"/>
  <c r="V14" i="1"/>
  <c r="Y14" i="1" s="1"/>
  <c r="T14" i="1"/>
  <c r="G14" i="1"/>
  <c r="F14" i="1"/>
  <c r="AI13" i="1"/>
  <c r="V13" i="1"/>
  <c r="Y13" i="1" s="1"/>
  <c r="T13" i="1"/>
  <c r="G13" i="1"/>
  <c r="F13" i="1"/>
  <c r="AI12" i="1"/>
  <c r="V12" i="1"/>
  <c r="Y12" i="1" s="1"/>
  <c r="T12" i="1"/>
  <c r="G12" i="1"/>
  <c r="F12" i="1"/>
  <c r="AI11" i="1"/>
  <c r="V11" i="1"/>
  <c r="Y11" i="1" s="1"/>
  <c r="T11" i="1"/>
  <c r="G11" i="1"/>
  <c r="F11" i="1"/>
  <c r="AI10" i="1"/>
  <c r="V10" i="1"/>
  <c r="Y10" i="1" s="1"/>
  <c r="T10" i="1"/>
  <c r="G10" i="1"/>
  <c r="F10" i="1"/>
  <c r="AI9" i="1"/>
  <c r="AF9" i="1"/>
  <c r="V9" i="1"/>
  <c r="Y9" i="1" s="1"/>
  <c r="T9" i="1"/>
  <c r="G9" i="1"/>
  <c r="F9" i="1"/>
  <c r="AI8" i="1"/>
  <c r="AF8" i="1"/>
  <c r="V8" i="1"/>
  <c r="Y8" i="1" s="1"/>
  <c r="T8" i="1"/>
  <c r="G8" i="1"/>
  <c r="F8" i="1"/>
  <c r="AI7" i="1"/>
  <c r="AF7" i="1"/>
  <c r="V7" i="1"/>
  <c r="Y7" i="1" s="1"/>
  <c r="T7" i="1"/>
  <c r="G7" i="1"/>
  <c r="F7" i="1"/>
  <c r="AI6" i="1"/>
  <c r="AF6" i="1"/>
  <c r="V6" i="1"/>
  <c r="Y6" i="1" s="1"/>
  <c r="T6" i="1"/>
  <c r="G6" i="1"/>
  <c r="F6" i="1"/>
  <c r="AI5" i="1"/>
  <c r="AF5" i="1"/>
  <c r="V5" i="1"/>
  <c r="Y5" i="1" s="1"/>
  <c r="T5" i="1"/>
  <c r="G5" i="1"/>
  <c r="F5" i="1"/>
  <c r="Z473" i="1" l="1"/>
  <c r="AD473" i="1"/>
  <c r="Z472" i="1"/>
  <c r="AD472" i="1"/>
  <c r="Z471" i="1"/>
  <c r="AD471" i="1"/>
  <c r="Z470" i="1"/>
  <c r="AD470" i="1"/>
  <c r="Z469" i="1"/>
  <c r="AD469" i="1"/>
  <c r="Z468" i="1"/>
  <c r="AD468" i="1"/>
  <c r="Z467" i="1"/>
  <c r="AD467" i="1"/>
  <c r="Z466" i="1"/>
  <c r="AD466" i="1"/>
  <c r="Z465" i="1"/>
  <c r="AD465" i="1"/>
  <c r="Z464" i="1"/>
  <c r="AD464" i="1"/>
  <c r="Z463" i="1"/>
  <c r="AD463" i="1"/>
  <c r="Z462" i="1"/>
  <c r="AD462" i="1"/>
  <c r="Z461" i="1"/>
  <c r="AD461" i="1"/>
  <c r="Z460" i="1"/>
  <c r="AD460" i="1"/>
  <c r="Z459" i="1"/>
  <c r="AD459" i="1"/>
  <c r="Z458" i="1"/>
  <c r="AD458" i="1"/>
  <c r="Z457" i="1"/>
  <c r="AD457" i="1"/>
  <c r="Z456" i="1"/>
  <c r="AD456" i="1"/>
  <c r="Z455" i="1"/>
  <c r="AD455" i="1"/>
  <c r="Z454" i="1"/>
  <c r="AD454" i="1"/>
  <c r="Z453" i="1"/>
  <c r="AD453" i="1"/>
  <c r="Z452" i="1"/>
  <c r="AD452" i="1"/>
  <c r="Z451" i="1"/>
  <c r="AD451" i="1"/>
  <c r="Z450" i="1"/>
  <c r="AD450" i="1"/>
  <c r="Z449" i="1"/>
  <c r="AD449" i="1"/>
  <c r="Z448" i="1"/>
  <c r="AD448" i="1"/>
  <c r="Z447" i="1"/>
  <c r="AD447" i="1"/>
  <c r="Z446" i="1"/>
  <c r="AD446" i="1"/>
  <c r="Z445" i="1"/>
  <c r="AD445" i="1"/>
  <c r="Z444" i="1"/>
  <c r="AD444" i="1"/>
  <c r="Z443" i="1"/>
  <c r="AD443" i="1"/>
  <c r="Z442" i="1"/>
  <c r="AD442" i="1"/>
  <c r="Z441" i="1"/>
  <c r="AD441" i="1"/>
  <c r="Z440" i="1"/>
  <c r="AD440" i="1"/>
  <c r="Z439" i="1"/>
  <c r="AD439" i="1"/>
  <c r="Z438" i="1"/>
  <c r="AD438" i="1"/>
  <c r="Z437" i="1"/>
  <c r="AD437" i="1"/>
  <c r="Z436" i="1"/>
  <c r="AD436" i="1"/>
  <c r="Z435" i="1"/>
  <c r="AD435" i="1"/>
  <c r="Z434" i="1"/>
  <c r="AD434" i="1"/>
  <c r="Z433" i="1"/>
  <c r="AD433" i="1"/>
  <c r="Z432" i="1"/>
  <c r="AD432" i="1"/>
  <c r="Z431" i="1"/>
  <c r="AD431" i="1"/>
  <c r="Z430" i="1"/>
  <c r="AD430" i="1"/>
  <c r="Z429" i="1"/>
  <c r="AD429" i="1"/>
  <c r="Z428" i="1"/>
  <c r="AD428" i="1"/>
  <c r="Z427" i="1"/>
  <c r="AD427" i="1"/>
  <c r="Z426" i="1"/>
  <c r="AD426" i="1"/>
  <c r="Z425" i="1"/>
  <c r="AD425" i="1"/>
  <c r="Z424" i="1"/>
  <c r="AD424" i="1"/>
  <c r="Z423" i="1"/>
  <c r="AD423" i="1"/>
  <c r="Z422" i="1"/>
  <c r="AD422" i="1"/>
  <c r="Z421" i="1"/>
  <c r="AD421" i="1"/>
  <c r="Z420" i="1"/>
  <c r="AD420" i="1"/>
  <c r="Z419" i="1"/>
  <c r="AD419" i="1"/>
  <c r="Z418" i="1"/>
  <c r="AD418" i="1"/>
  <c r="Z417" i="1"/>
  <c r="AD417" i="1"/>
  <c r="Z416" i="1"/>
  <c r="AD416" i="1"/>
  <c r="Z415" i="1"/>
  <c r="AD415" i="1"/>
  <c r="Z414" i="1"/>
  <c r="AD414" i="1"/>
  <c r="Z413" i="1"/>
  <c r="AD413" i="1"/>
  <c r="Z412" i="1"/>
  <c r="AD412" i="1"/>
  <c r="Z411" i="1"/>
  <c r="AD411" i="1"/>
  <c r="Z410" i="1"/>
  <c r="AD410" i="1"/>
  <c r="Z409" i="1"/>
  <c r="AD409" i="1"/>
  <c r="Z408" i="1"/>
  <c r="AD408" i="1"/>
  <c r="Z407" i="1"/>
  <c r="AD407" i="1"/>
  <c r="Z406" i="1"/>
  <c r="AD406" i="1"/>
  <c r="Z405" i="1"/>
  <c r="AD405" i="1"/>
  <c r="Z404" i="1"/>
  <c r="AD404" i="1"/>
  <c r="Z403" i="1"/>
  <c r="AD403" i="1"/>
  <c r="Z402" i="1"/>
  <c r="AD402" i="1"/>
  <c r="Z401" i="1"/>
  <c r="AD401" i="1"/>
  <c r="Z400" i="1"/>
  <c r="AD400" i="1"/>
  <c r="Z399" i="1"/>
  <c r="AD399" i="1"/>
  <c r="Z398" i="1"/>
  <c r="AD398" i="1"/>
  <c r="Z397" i="1"/>
  <c r="AD397" i="1"/>
  <c r="Z396" i="1"/>
  <c r="AD396" i="1"/>
  <c r="Z395" i="1"/>
  <c r="AD395" i="1"/>
  <c r="Z394" i="1"/>
  <c r="AD394" i="1"/>
  <c r="Z393" i="1"/>
  <c r="AD393" i="1"/>
  <c r="Z392" i="1"/>
  <c r="AD392" i="1"/>
  <c r="Z391" i="1"/>
  <c r="AD391" i="1"/>
  <c r="Z390" i="1"/>
  <c r="AD390" i="1"/>
  <c r="Z389" i="1"/>
  <c r="AD389" i="1"/>
  <c r="Z388" i="1"/>
  <c r="AD388" i="1"/>
  <c r="Z387" i="1"/>
  <c r="AD387" i="1"/>
  <c r="Z386" i="1"/>
  <c r="AD386" i="1"/>
  <c r="Z385" i="1"/>
  <c r="AD385" i="1"/>
  <c r="Z384" i="1"/>
  <c r="AD384" i="1"/>
  <c r="Z383" i="1"/>
  <c r="AD383" i="1"/>
  <c r="Z382" i="1"/>
  <c r="AD382" i="1"/>
  <c r="Z381" i="1"/>
  <c r="AD381" i="1"/>
  <c r="Z380" i="1"/>
  <c r="AD380" i="1"/>
  <c r="Z379" i="1"/>
  <c r="AD379" i="1"/>
  <c r="Z378" i="1"/>
  <c r="AD378" i="1"/>
  <c r="Z377" i="1"/>
  <c r="AD377" i="1"/>
  <c r="Z376" i="1"/>
  <c r="AD376" i="1"/>
  <c r="Z375" i="1"/>
  <c r="AD375" i="1"/>
  <c r="Z374" i="1"/>
  <c r="AD374" i="1"/>
  <c r="Z373" i="1"/>
  <c r="AD373" i="1"/>
  <c r="Z372" i="1"/>
  <c r="AD372" i="1"/>
  <c r="Z371" i="1"/>
  <c r="AD371" i="1"/>
  <c r="Z370" i="1"/>
  <c r="AD370" i="1"/>
  <c r="Z369" i="1"/>
  <c r="AD369" i="1"/>
  <c r="Z368" i="1"/>
  <c r="AD368" i="1"/>
  <c r="Z367" i="1"/>
  <c r="AD367" i="1"/>
  <c r="Z366" i="1"/>
  <c r="AD366" i="1"/>
  <c r="Z365" i="1"/>
  <c r="AD365" i="1"/>
  <c r="Z364" i="1"/>
  <c r="AD364" i="1"/>
  <c r="Z363" i="1"/>
  <c r="AD363" i="1"/>
  <c r="Z362" i="1"/>
  <c r="AD362" i="1"/>
  <c r="Z361" i="1"/>
  <c r="AD361" i="1"/>
  <c r="Z360" i="1"/>
  <c r="AD360" i="1"/>
  <c r="Z359" i="1"/>
  <c r="AD359" i="1"/>
  <c r="Z358" i="1"/>
  <c r="AD358" i="1"/>
  <c r="Z357" i="1"/>
  <c r="AD357" i="1"/>
  <c r="Z356" i="1"/>
  <c r="AD356" i="1"/>
  <c r="Z355" i="1"/>
  <c r="AD355" i="1"/>
  <c r="Z354" i="1"/>
  <c r="AD354" i="1"/>
  <c r="Z353" i="1"/>
  <c r="AD353" i="1"/>
  <c r="Z352" i="1"/>
  <c r="AD352" i="1"/>
  <c r="Z351" i="1"/>
  <c r="AD351" i="1"/>
  <c r="Z350" i="1"/>
  <c r="AD350" i="1"/>
  <c r="Z349" i="1"/>
  <c r="AD349" i="1"/>
  <c r="Z348" i="1"/>
  <c r="AD348" i="1"/>
  <c r="Z347" i="1"/>
  <c r="AD347" i="1"/>
  <c r="Z346" i="1"/>
  <c r="AD346" i="1"/>
  <c r="Z345" i="1"/>
  <c r="AD345" i="1"/>
  <c r="Z344" i="1"/>
  <c r="AD344" i="1"/>
  <c r="Z343" i="1"/>
  <c r="AD343" i="1"/>
  <c r="Z342" i="1"/>
  <c r="AD342" i="1"/>
  <c r="Z341" i="1"/>
  <c r="AD341" i="1"/>
  <c r="Z340" i="1"/>
  <c r="AD340" i="1"/>
  <c r="Z339" i="1"/>
  <c r="AD339" i="1"/>
  <c r="Z338" i="1"/>
  <c r="AD338" i="1"/>
  <c r="Z337" i="1"/>
  <c r="AD337" i="1"/>
  <c r="Z336" i="1"/>
  <c r="AD336" i="1"/>
  <c r="Z335" i="1"/>
  <c r="AD335" i="1"/>
  <c r="Z334" i="1"/>
  <c r="AD334" i="1"/>
  <c r="Z333" i="1"/>
  <c r="AD333" i="1"/>
  <c r="Z332" i="1"/>
  <c r="AD332" i="1"/>
  <c r="Z331" i="1"/>
  <c r="AD331" i="1"/>
  <c r="Z330" i="1"/>
  <c r="AD330" i="1"/>
  <c r="Z329" i="1"/>
  <c r="AD329" i="1"/>
  <c r="Z328" i="1"/>
  <c r="AD328" i="1"/>
  <c r="Z327" i="1"/>
  <c r="AD327" i="1"/>
  <c r="Z326" i="1"/>
  <c r="AD326" i="1"/>
  <c r="Z325" i="1"/>
  <c r="AD325" i="1"/>
  <c r="Z324" i="1"/>
  <c r="AD324" i="1"/>
  <c r="Z323" i="1"/>
  <c r="AD323" i="1"/>
  <c r="Z322" i="1"/>
  <c r="AD322" i="1"/>
  <c r="Z321" i="1"/>
  <c r="AD321" i="1"/>
  <c r="Z320" i="1"/>
  <c r="AD320" i="1"/>
  <c r="Z319" i="1"/>
  <c r="AD319" i="1"/>
  <c r="Z318" i="1"/>
  <c r="AD318" i="1"/>
  <c r="Z317" i="1"/>
  <c r="AD317" i="1"/>
  <c r="Z316" i="1"/>
  <c r="AD316" i="1"/>
  <c r="Z315" i="1"/>
  <c r="AD315" i="1"/>
  <c r="Z314" i="1"/>
  <c r="AD314" i="1"/>
  <c r="Z313" i="1"/>
  <c r="AD313" i="1"/>
  <c r="Z312" i="1"/>
  <c r="AD312" i="1"/>
  <c r="Z311" i="1"/>
  <c r="AD311" i="1"/>
  <c r="Z310" i="1"/>
  <c r="AD310" i="1"/>
  <c r="Z309" i="1"/>
  <c r="AD309" i="1"/>
  <c r="Z308" i="1"/>
  <c r="AD308" i="1"/>
  <c r="Z307" i="1"/>
  <c r="AD307" i="1"/>
  <c r="Z306" i="1"/>
  <c r="AD306" i="1"/>
  <c r="Z305" i="1"/>
  <c r="AD305" i="1"/>
  <c r="Z304" i="1"/>
  <c r="AD304" i="1"/>
  <c r="Z303" i="1"/>
  <c r="AD303" i="1"/>
  <c r="Z302" i="1"/>
  <c r="AD302" i="1"/>
  <c r="Z301" i="1"/>
  <c r="AD301" i="1"/>
  <c r="Z300" i="1"/>
  <c r="AD300" i="1"/>
  <c r="Z299" i="1"/>
  <c r="AD299" i="1"/>
  <c r="Z298" i="1"/>
  <c r="AD298" i="1"/>
  <c r="Z297" i="1"/>
  <c r="AD297" i="1"/>
  <c r="Z296" i="1"/>
  <c r="AD296" i="1"/>
  <c r="Z295" i="1"/>
  <c r="AD295" i="1"/>
  <c r="Z294" i="1"/>
  <c r="AD294" i="1"/>
  <c r="Z293" i="1"/>
  <c r="AD293" i="1"/>
  <c r="Z292" i="1"/>
  <c r="AD292" i="1"/>
  <c r="Z291" i="1"/>
  <c r="AD291" i="1"/>
  <c r="Z290" i="1"/>
  <c r="AD290" i="1"/>
  <c r="Z289" i="1"/>
  <c r="AD289" i="1"/>
  <c r="Z288" i="1"/>
  <c r="AD288" i="1"/>
  <c r="Z287" i="1"/>
  <c r="AD287" i="1"/>
  <c r="Z286" i="1"/>
  <c r="AD286" i="1"/>
  <c r="Z285" i="1"/>
  <c r="AD285" i="1"/>
  <c r="Z284" i="1"/>
  <c r="AD284" i="1"/>
  <c r="Z283" i="1"/>
  <c r="AD283" i="1"/>
  <c r="Z282" i="1"/>
  <c r="AD282" i="1"/>
  <c r="Z281" i="1"/>
  <c r="AD281" i="1"/>
  <c r="Z280" i="1"/>
  <c r="AD280" i="1"/>
  <c r="Z279" i="1"/>
  <c r="AD279" i="1"/>
  <c r="Z278" i="1"/>
  <c r="AD278" i="1"/>
  <c r="Z277" i="1"/>
  <c r="AD277" i="1"/>
  <c r="Z276" i="1"/>
  <c r="AD276" i="1"/>
  <c r="Z275" i="1"/>
  <c r="AD275" i="1"/>
  <c r="Z274" i="1"/>
  <c r="AD274" i="1"/>
  <c r="Z273" i="1"/>
  <c r="AD273" i="1"/>
  <c r="Z272" i="1"/>
  <c r="AD272" i="1"/>
  <c r="Z271" i="1"/>
  <c r="AD271" i="1"/>
  <c r="Z270" i="1"/>
  <c r="AD270" i="1"/>
  <c r="Z269" i="1"/>
  <c r="AD269" i="1"/>
  <c r="Z268" i="1"/>
  <c r="AD268" i="1"/>
  <c r="Z267" i="1"/>
  <c r="AD267" i="1"/>
  <c r="Z266" i="1"/>
  <c r="AD266" i="1"/>
  <c r="Z265" i="1"/>
  <c r="AD265" i="1"/>
  <c r="Z264" i="1"/>
  <c r="AD264" i="1"/>
  <c r="Z263" i="1"/>
  <c r="AD263" i="1"/>
  <c r="Z262" i="1"/>
  <c r="AD262" i="1"/>
  <c r="Z261" i="1"/>
  <c r="AD261" i="1"/>
  <c r="Z260" i="1"/>
  <c r="AD260" i="1"/>
  <c r="Z259" i="1"/>
  <c r="AD259" i="1"/>
  <c r="Z258" i="1"/>
  <c r="AD258" i="1"/>
  <c r="Z257" i="1"/>
  <c r="AD257" i="1"/>
  <c r="Z256" i="1"/>
  <c r="AD256" i="1"/>
  <c r="Z255" i="1"/>
  <c r="AD255" i="1"/>
  <c r="Z254" i="1"/>
  <c r="AD254" i="1"/>
  <c r="Z253" i="1"/>
  <c r="AD253" i="1"/>
  <c r="Z252" i="1"/>
  <c r="AD252" i="1"/>
  <c r="Z251" i="1"/>
  <c r="AD251" i="1"/>
  <c r="Z250" i="1"/>
  <c r="AD250" i="1"/>
  <c r="Z249" i="1"/>
  <c r="AD249" i="1"/>
  <c r="Z248" i="1"/>
  <c r="AD248" i="1"/>
  <c r="Z247" i="1"/>
  <c r="AD247" i="1"/>
  <c r="Z246" i="1"/>
  <c r="AD246" i="1"/>
  <c r="Z245" i="1"/>
  <c r="AD245" i="1"/>
  <c r="Z244" i="1"/>
  <c r="AD244" i="1"/>
  <c r="Z243" i="1"/>
  <c r="AD243" i="1"/>
  <c r="Z242" i="1"/>
  <c r="AD242" i="1"/>
  <c r="Z241" i="1"/>
  <c r="AD241" i="1"/>
  <c r="Z240" i="1"/>
  <c r="AD240" i="1"/>
  <c r="Z239" i="1"/>
  <c r="AD239" i="1"/>
  <c r="Z238" i="1"/>
  <c r="AD238" i="1"/>
  <c r="Z237" i="1"/>
  <c r="AD237" i="1"/>
  <c r="Z236" i="1"/>
  <c r="AD236" i="1"/>
  <c r="Z235" i="1"/>
  <c r="AD235" i="1"/>
  <c r="Z234" i="1"/>
  <c r="AD234" i="1"/>
  <c r="Z233" i="1"/>
  <c r="AD233" i="1"/>
  <c r="Z232" i="1"/>
  <c r="AD232" i="1"/>
  <c r="Z231" i="1"/>
  <c r="AD231" i="1"/>
  <c r="Z230" i="1"/>
  <c r="AD230" i="1"/>
  <c r="AD229" i="1"/>
  <c r="Z229" i="1"/>
  <c r="Z228" i="1"/>
  <c r="AD228" i="1"/>
  <c r="Z227" i="1"/>
  <c r="AD227" i="1"/>
  <c r="Z226" i="1"/>
  <c r="AD226" i="1"/>
  <c r="Z225" i="1"/>
  <c r="AD225" i="1"/>
  <c r="Z224" i="1"/>
  <c r="AD224" i="1"/>
  <c r="Z223" i="1"/>
  <c r="AD223" i="1"/>
  <c r="Z222" i="1"/>
  <c r="AD222" i="1"/>
  <c r="Z221" i="1"/>
  <c r="AD221" i="1"/>
  <c r="Z220" i="1"/>
  <c r="AD220" i="1"/>
  <c r="Z219" i="1"/>
  <c r="AD219" i="1"/>
  <c r="Z218" i="1"/>
  <c r="AD218" i="1"/>
  <c r="Z217" i="1"/>
  <c r="AD217" i="1"/>
  <c r="Z216" i="1"/>
  <c r="AD216" i="1"/>
  <c r="Z215" i="1"/>
  <c r="AD215" i="1"/>
  <c r="Z214" i="1"/>
  <c r="AD214" i="1"/>
  <c r="Z213" i="1"/>
  <c r="AD213" i="1"/>
  <c r="Z212" i="1"/>
  <c r="AD212" i="1"/>
  <c r="Z211" i="1"/>
  <c r="AD211" i="1"/>
  <c r="Z210" i="1"/>
  <c r="AD210" i="1"/>
  <c r="Z209" i="1"/>
  <c r="AD209" i="1"/>
  <c r="Z208" i="1"/>
  <c r="AD208" i="1"/>
  <c r="Z207" i="1"/>
  <c r="AD207" i="1"/>
  <c r="Z206" i="1"/>
  <c r="AD206" i="1"/>
  <c r="Z205" i="1"/>
  <c r="AD205" i="1"/>
  <c r="Z204" i="1"/>
  <c r="AD204" i="1"/>
  <c r="Z203" i="1"/>
  <c r="AD203" i="1"/>
  <c r="Z202" i="1"/>
  <c r="AD202" i="1"/>
  <c r="Z201" i="1"/>
  <c r="AD201" i="1"/>
  <c r="Z200" i="1"/>
  <c r="AD200" i="1"/>
  <c r="Z199" i="1"/>
  <c r="AD199" i="1"/>
  <c r="Z198" i="1"/>
  <c r="AD198" i="1"/>
  <c r="Z197" i="1"/>
  <c r="AD197" i="1"/>
  <c r="Z196" i="1"/>
  <c r="AD196" i="1"/>
  <c r="Z195" i="1"/>
  <c r="AD195" i="1"/>
  <c r="Z194" i="1"/>
  <c r="AD194" i="1"/>
  <c r="Z193" i="1"/>
  <c r="AD193" i="1"/>
  <c r="Z192" i="1"/>
  <c r="AD192" i="1"/>
  <c r="Z191" i="1"/>
  <c r="AD191" i="1"/>
  <c r="Z190" i="1"/>
  <c r="AD190" i="1"/>
  <c r="Z189" i="1"/>
  <c r="AD189" i="1"/>
  <c r="Z188" i="1"/>
  <c r="AD188" i="1"/>
  <c r="Z187" i="1"/>
  <c r="AD187" i="1"/>
  <c r="Z186" i="1"/>
  <c r="AD186" i="1"/>
  <c r="Z185" i="1"/>
  <c r="AD185" i="1"/>
  <c r="Z184" i="1"/>
  <c r="AD184" i="1"/>
  <c r="Z183" i="1"/>
  <c r="AD183" i="1"/>
  <c r="Z182" i="1"/>
  <c r="AD182" i="1"/>
  <c r="Z181" i="1"/>
  <c r="AD181" i="1"/>
  <c r="Z180" i="1"/>
  <c r="AD180" i="1"/>
  <c r="Z179" i="1"/>
  <c r="AD179" i="1"/>
  <c r="Z178" i="1"/>
  <c r="AD178" i="1"/>
  <c r="Z177" i="1"/>
  <c r="AD177" i="1"/>
  <c r="Z176" i="1"/>
  <c r="AD176" i="1"/>
  <c r="Z175" i="1"/>
  <c r="AD175" i="1"/>
  <c r="Z174" i="1"/>
  <c r="AD174" i="1"/>
  <c r="Z173" i="1"/>
  <c r="AD173" i="1"/>
  <c r="Z172" i="1"/>
  <c r="AD172" i="1"/>
  <c r="Z171" i="1"/>
  <c r="AD171" i="1"/>
  <c r="Z170" i="1"/>
  <c r="AD170" i="1"/>
  <c r="Z169" i="1"/>
  <c r="AD169" i="1"/>
  <c r="Z168" i="1"/>
  <c r="AD168" i="1"/>
  <c r="Z167" i="1"/>
  <c r="AD167" i="1"/>
  <c r="Z166" i="1"/>
  <c r="AD166" i="1"/>
  <c r="Z165" i="1"/>
  <c r="AD165" i="1"/>
  <c r="Z164" i="1"/>
  <c r="AD164" i="1"/>
  <c r="Z163" i="1"/>
  <c r="AD163" i="1"/>
  <c r="Z162" i="1"/>
  <c r="AD162" i="1"/>
  <c r="Z161" i="1"/>
  <c r="AD161" i="1"/>
  <c r="Z160" i="1"/>
  <c r="AD160" i="1"/>
  <c r="AD159" i="1"/>
  <c r="Z159" i="1"/>
  <c r="Z158" i="1"/>
  <c r="AD158" i="1"/>
  <c r="Z157" i="1"/>
  <c r="AD157" i="1"/>
  <c r="Z156" i="1"/>
  <c r="AD156" i="1"/>
  <c r="Z155" i="1"/>
  <c r="AD155" i="1"/>
  <c r="Z154" i="1"/>
  <c r="AD154" i="1"/>
  <c r="Z153" i="1"/>
  <c r="AD153" i="1"/>
  <c r="Z152" i="1"/>
  <c r="AD152" i="1"/>
  <c r="Z151" i="1"/>
  <c r="AD151" i="1"/>
  <c r="Z150" i="1"/>
  <c r="AD150" i="1"/>
  <c r="Z149" i="1"/>
  <c r="AD149" i="1"/>
  <c r="Z148" i="1"/>
  <c r="AD148" i="1"/>
  <c r="Z147" i="1"/>
  <c r="AD147" i="1"/>
  <c r="Z146" i="1"/>
  <c r="AD146" i="1"/>
  <c r="Z145" i="1"/>
  <c r="AD145" i="1"/>
  <c r="Z144" i="1"/>
  <c r="AD144" i="1"/>
  <c r="AD143" i="1"/>
  <c r="Z143" i="1"/>
  <c r="Z142" i="1"/>
  <c r="AD142" i="1"/>
  <c r="Z141" i="1"/>
  <c r="AD141" i="1"/>
  <c r="Z140" i="1"/>
  <c r="AD140" i="1"/>
  <c r="Z139" i="1"/>
  <c r="AD139" i="1"/>
  <c r="Z138" i="1"/>
  <c r="AD138" i="1"/>
  <c r="Z137" i="1"/>
  <c r="AD137" i="1"/>
  <c r="Z136" i="1"/>
  <c r="AD136" i="1"/>
  <c r="Z135" i="1"/>
  <c r="AD135" i="1"/>
  <c r="Z134" i="1"/>
  <c r="AD134" i="1"/>
  <c r="Z133" i="1"/>
  <c r="AD133" i="1"/>
  <c r="Z132" i="1"/>
  <c r="AD132" i="1"/>
  <c r="Z131" i="1"/>
  <c r="AD131" i="1"/>
  <c r="AD130" i="1"/>
  <c r="Z130" i="1"/>
  <c r="AD129" i="1"/>
  <c r="Z129" i="1"/>
  <c r="Z128" i="1"/>
  <c r="AD128" i="1"/>
  <c r="Z127" i="1"/>
  <c r="AD127" i="1"/>
  <c r="Z126" i="1"/>
  <c r="AD126" i="1"/>
  <c r="Z125" i="1"/>
  <c r="AD125" i="1"/>
  <c r="Z124" i="1"/>
  <c r="AD124" i="1"/>
  <c r="Z123" i="1"/>
  <c r="AD123" i="1"/>
  <c r="Z122" i="1"/>
  <c r="AD122" i="1"/>
  <c r="Z121" i="1"/>
  <c r="AD121" i="1"/>
  <c r="Z120" i="1"/>
  <c r="AD120" i="1"/>
  <c r="AD119" i="1"/>
  <c r="Z119" i="1"/>
  <c r="AD118" i="1"/>
  <c r="Z118" i="1"/>
  <c r="Z117" i="1"/>
  <c r="AD117" i="1"/>
  <c r="Z116" i="1"/>
  <c r="AD116" i="1"/>
  <c r="Z115" i="1"/>
  <c r="AD115" i="1"/>
  <c r="Z114" i="1"/>
  <c r="AD114" i="1"/>
  <c r="Z113" i="1"/>
  <c r="AD113" i="1"/>
  <c r="Z112" i="1"/>
  <c r="AD112" i="1"/>
  <c r="Z111" i="1"/>
  <c r="AD111" i="1"/>
  <c r="Z110" i="1"/>
  <c r="AD110" i="1"/>
  <c r="Z109" i="1"/>
  <c r="AD109" i="1"/>
  <c r="Z108" i="1"/>
  <c r="AD108" i="1"/>
  <c r="Z107" i="1"/>
  <c r="AD107" i="1"/>
  <c r="Z106" i="1"/>
  <c r="AD106" i="1"/>
  <c r="Z105" i="1"/>
  <c r="AD105" i="1"/>
  <c r="Z104" i="1"/>
  <c r="AD104" i="1"/>
  <c r="Z103" i="1"/>
  <c r="AD103" i="1"/>
  <c r="Z102" i="1"/>
  <c r="AD102" i="1"/>
  <c r="Z101" i="1"/>
  <c r="AD101" i="1"/>
  <c r="Z100" i="1"/>
  <c r="AD100" i="1"/>
  <c r="Z99" i="1"/>
  <c r="AD99" i="1"/>
  <c r="Z98" i="1"/>
  <c r="AD98" i="1"/>
  <c r="Z97" i="1"/>
  <c r="AD97" i="1"/>
  <c r="Z96" i="1"/>
  <c r="AD96" i="1"/>
  <c r="Z95" i="1"/>
  <c r="AD95" i="1"/>
  <c r="Z94" i="1"/>
  <c r="AD94" i="1"/>
  <c r="Z93" i="1"/>
  <c r="AD93" i="1"/>
  <c r="Z92" i="1"/>
  <c r="AD92" i="1"/>
  <c r="Z91" i="1"/>
  <c r="AD91" i="1"/>
  <c r="Z90" i="1"/>
  <c r="AD90" i="1"/>
  <c r="Z89" i="1"/>
  <c r="AD89" i="1"/>
  <c r="Z88" i="1"/>
  <c r="AD88" i="1"/>
  <c r="Z87" i="1"/>
  <c r="AD87" i="1"/>
  <c r="Z86" i="1"/>
  <c r="AD86" i="1"/>
  <c r="Z85" i="1"/>
  <c r="AD85" i="1"/>
  <c r="Z84" i="1"/>
  <c r="AD84" i="1"/>
  <c r="Z83" i="1"/>
  <c r="AD83" i="1"/>
  <c r="Z82" i="1"/>
  <c r="AD82" i="1"/>
  <c r="Z81" i="1"/>
  <c r="AD81" i="1"/>
  <c r="Z80" i="1"/>
  <c r="AD80" i="1"/>
  <c r="Z79" i="1"/>
  <c r="AD79" i="1"/>
  <c r="Z78" i="1"/>
  <c r="AD78" i="1"/>
  <c r="Z77" i="1"/>
  <c r="AD77" i="1"/>
  <c r="Z76" i="1"/>
  <c r="AD76" i="1"/>
  <c r="Z75" i="1"/>
  <c r="AD75" i="1"/>
  <c r="Z74" i="1"/>
  <c r="AD74" i="1"/>
  <c r="Z73" i="1"/>
  <c r="AD73" i="1"/>
  <c r="Z72" i="1"/>
  <c r="AD72" i="1"/>
  <c r="Z71" i="1"/>
  <c r="AD71" i="1"/>
  <c r="Z70" i="1"/>
  <c r="AD70" i="1"/>
  <c r="Z69" i="1"/>
  <c r="AD69" i="1"/>
  <c r="Z68" i="1"/>
  <c r="AD68" i="1"/>
  <c r="Z67" i="1"/>
  <c r="AD67" i="1"/>
  <c r="Z66" i="1"/>
  <c r="AD66" i="1"/>
  <c r="Z65" i="1"/>
  <c r="AD65" i="1"/>
  <c r="Z64" i="1"/>
  <c r="AD64" i="1"/>
  <c r="Z63" i="1"/>
  <c r="AD63" i="1"/>
  <c r="Z62" i="1"/>
  <c r="AD62" i="1"/>
  <c r="Z61" i="1"/>
  <c r="AD61" i="1"/>
  <c r="Z60" i="1"/>
  <c r="AD60" i="1"/>
  <c r="Z59" i="1"/>
  <c r="AD59" i="1"/>
  <c r="Z58" i="1"/>
  <c r="AD58" i="1"/>
  <c r="Z57" i="1"/>
  <c r="AD57" i="1"/>
  <c r="Z56" i="1"/>
  <c r="AD56" i="1"/>
  <c r="Z55" i="1"/>
  <c r="AD55" i="1"/>
  <c r="Z54" i="1"/>
  <c r="AD54" i="1"/>
  <c r="Z53" i="1"/>
  <c r="AD53" i="1"/>
  <c r="Z52" i="1"/>
  <c r="AD52" i="1"/>
  <c r="Z51" i="1"/>
  <c r="AD51" i="1"/>
  <c r="Z50" i="1"/>
  <c r="AD50" i="1"/>
  <c r="Z49" i="1"/>
  <c r="AD49" i="1"/>
  <c r="Z48" i="1"/>
  <c r="AD48" i="1"/>
  <c r="Z47" i="1"/>
  <c r="AD47" i="1"/>
  <c r="Z46" i="1"/>
  <c r="AD46" i="1"/>
  <c r="Z45" i="1"/>
  <c r="AD45" i="1"/>
  <c r="Z44" i="1"/>
  <c r="AD44" i="1"/>
  <c r="Z43" i="1"/>
  <c r="AD43" i="1"/>
  <c r="Z42" i="1"/>
  <c r="AD42" i="1"/>
  <c r="Z41" i="1"/>
  <c r="AD41" i="1"/>
  <c r="Z40" i="1"/>
  <c r="AD40" i="1"/>
  <c r="Z39" i="1"/>
  <c r="AD39" i="1"/>
  <c r="Z38" i="1"/>
  <c r="AD38" i="1"/>
  <c r="Z37" i="1"/>
  <c r="AD37" i="1"/>
  <c r="Z36" i="1"/>
  <c r="AD36" i="1"/>
  <c r="Z35" i="1"/>
  <c r="AD35" i="1"/>
  <c r="Z34" i="1"/>
  <c r="AD34" i="1"/>
  <c r="Z33" i="1"/>
  <c r="AD33" i="1"/>
  <c r="Z32" i="1"/>
  <c r="AD32" i="1"/>
  <c r="Z31" i="1"/>
  <c r="AD31" i="1"/>
  <c r="Z30" i="1"/>
  <c r="AD30" i="1"/>
  <c r="Z29" i="1"/>
  <c r="AD29" i="1"/>
  <c r="Z28" i="1"/>
  <c r="AD28" i="1"/>
  <c r="Z27" i="1"/>
  <c r="AD27" i="1"/>
  <c r="Z26" i="1"/>
  <c r="AD26" i="1"/>
  <c r="Z25" i="1"/>
  <c r="AD25" i="1"/>
  <c r="Z24" i="1"/>
  <c r="AD24" i="1"/>
  <c r="Z23" i="1"/>
  <c r="AD23" i="1"/>
  <c r="Z22" i="1"/>
  <c r="AD22" i="1"/>
  <c r="Z21" i="1"/>
  <c r="AD21" i="1"/>
  <c r="Z20" i="1"/>
  <c r="AD20" i="1"/>
  <c r="Z19" i="1"/>
  <c r="AD19" i="1"/>
  <c r="Z18" i="1"/>
  <c r="AD18" i="1"/>
  <c r="Z17" i="1"/>
  <c r="AD17" i="1"/>
  <c r="Z16" i="1"/>
  <c r="AD16" i="1"/>
  <c r="Z15" i="1"/>
  <c r="AD15" i="1"/>
  <c r="Z14" i="1"/>
  <c r="AD14" i="1"/>
  <c r="Z13" i="1"/>
  <c r="AD13" i="1"/>
  <c r="Z12" i="1"/>
  <c r="AD12" i="1"/>
  <c r="Z11" i="1"/>
  <c r="AD11" i="1"/>
  <c r="Z10" i="1"/>
  <c r="AD10" i="1"/>
  <c r="Z9" i="1"/>
  <c r="AD9" i="1"/>
  <c r="Z8" i="1"/>
  <c r="AD8" i="1"/>
  <c r="Z7" i="1"/>
  <c r="AD7" i="1"/>
  <c r="Z6" i="1"/>
  <c r="AD6" i="1"/>
  <c r="Z5" i="1"/>
  <c r="AD5" i="1"/>
</calcChain>
</file>

<file path=xl/sharedStrings.xml><?xml version="1.0" encoding="utf-8"?>
<sst xmlns="http://schemas.openxmlformats.org/spreadsheetml/2006/main" count="4261" uniqueCount="1106">
  <si>
    <t>;</t>
  </si>
  <si>
    <t>Site ID</t>
  </si>
  <si>
    <t>NOM</t>
  </si>
  <si>
    <t>Statut Facturation</t>
  </si>
  <si>
    <t>Batch opérationel</t>
  </si>
  <si>
    <t xml:space="preserve">Ville </t>
  </si>
  <si>
    <t xml:space="preserve">Région O&amp;M </t>
  </si>
  <si>
    <t>Typologie réelle</t>
  </si>
  <si>
    <t>Typo simple</t>
  </si>
  <si>
    <t>Typologie facturée</t>
  </si>
  <si>
    <t>Puissance contractuelle</t>
  </si>
  <si>
    <t>Load réelle DC en KW</t>
  </si>
  <si>
    <t xml:space="preserve">On-Grid / Off-Grid </t>
  </si>
  <si>
    <t>Type de GE</t>
  </si>
  <si>
    <t>Puissance
GE
(KVA)</t>
  </si>
  <si>
    <t>GE fuel conso [L/Month] --&gt;</t>
  </si>
  <si>
    <t>Tension DC en V</t>
  </si>
  <si>
    <t>Current de charge batteries en A</t>
  </si>
  <si>
    <t>Rectifier efficiency</t>
  </si>
  <si>
    <t>GE load percentage en %</t>
  </si>
  <si>
    <t>Specific fuel consumption (SPC) en L/Kwh</t>
  </si>
  <si>
    <t>Cph en L/h</t>
  </si>
  <si>
    <t>Source de donnes</t>
  </si>
  <si>
    <t>Durée de fonctionnement du GE en h</t>
  </si>
  <si>
    <t>Consommation de carburant en L</t>
  </si>
  <si>
    <t>Deltal</t>
  </si>
  <si>
    <t>Niveau de carburant mesuré par le capteur de carburant du FMS.</t>
  </si>
  <si>
    <t>Fuel Added during the month</t>
  </si>
  <si>
    <t>Stock initial ( Opening fuel) for the month N-1</t>
  </si>
  <si>
    <t>Stock restant</t>
  </si>
  <si>
    <t>Closing for the month N+1</t>
  </si>
  <si>
    <t>Fuel Consumption (L)</t>
  </si>
  <si>
    <t>Expected Consumption</t>
  </si>
  <si>
    <t>Actual Consumption</t>
  </si>
  <si>
    <t>Variance</t>
  </si>
  <si>
    <t>Comment</t>
  </si>
  <si>
    <t>THS_0046</t>
  </si>
  <si>
    <t>AUTOROUTE_AIBD</t>
  </si>
  <si>
    <t>Oui</t>
  </si>
  <si>
    <t>2672 sites</t>
  </si>
  <si>
    <t>A_Ax_S6</t>
  </si>
  <si>
    <t>SOLAIRE+GE</t>
  </si>
  <si>
    <t>Off grid</t>
  </si>
  <si>
    <t>CATERPILLAR - DE33E0</t>
  </si>
  <si>
    <t>Large negative variance → possible fuel theft/leak
Large positive variance → wrong meter reading/load issue</t>
  </si>
  <si>
    <t>DKR_0047</t>
  </si>
  <si>
    <t>AUTOROUTE_CICAD01</t>
  </si>
  <si>
    <t>A_Ax_S2</t>
  </si>
  <si>
    <t>SDMO - K22</t>
  </si>
  <si>
    <t>THS_0051</t>
  </si>
  <si>
    <t>AUTOROUTE_KIRENE</t>
  </si>
  <si>
    <t>CATERPILLAR - DE22E3</t>
  </si>
  <si>
    <t>DKR_0053</t>
  </si>
  <si>
    <t>AUTOROUTE_PEAGE01</t>
  </si>
  <si>
    <t>A_Ax_PS</t>
  </si>
  <si>
    <t>FG Wilson P33-3</t>
  </si>
  <si>
    <t>DKR_0059</t>
  </si>
  <si>
    <t>AUTOROUTE_PEAGE08</t>
  </si>
  <si>
    <t>DKR_0060</t>
  </si>
  <si>
    <t>AUTOROUTE_PEAGE09</t>
  </si>
  <si>
    <t>OLYMPIAN - GEP33-3</t>
  </si>
  <si>
    <t>DKR_0061</t>
  </si>
  <si>
    <t>AUTOROUTE_PEAGE10</t>
  </si>
  <si>
    <t>OLYMPIAN - GEP30-1</t>
  </si>
  <si>
    <t>THS_0063</t>
  </si>
  <si>
    <t>AUTOROUTE_THICKY</t>
  </si>
  <si>
    <t>A_Ax_S8</t>
  </si>
  <si>
    <t>FG Wilson P50-3</t>
  </si>
  <si>
    <t>DBL_0068</t>
  </si>
  <si>
    <t>BABA_GARAGE</t>
  </si>
  <si>
    <t>D2_GG S3 GE</t>
  </si>
  <si>
    <t>SECTEUR+SOLAIRE+GE</t>
  </si>
  <si>
    <t>D2_GG S3</t>
  </si>
  <si>
    <t>On grid</t>
  </si>
  <si>
    <t>OLYMPIAN--GEP30-1</t>
  </si>
  <si>
    <t>DBL_0069</t>
  </si>
  <si>
    <t>BACCO_SERERE</t>
  </si>
  <si>
    <t>SDMO GE mobile - K22</t>
  </si>
  <si>
    <t>KLK_0071</t>
  </si>
  <si>
    <t>BACK_SAMBA_DIOR</t>
  </si>
  <si>
    <t>FG Wilson P33-3U</t>
  </si>
  <si>
    <t>MBR_0072</t>
  </si>
  <si>
    <t>BADD</t>
  </si>
  <si>
    <t>ZIG_0079</t>
  </si>
  <si>
    <t>BAGHAGHA</t>
  </si>
  <si>
    <t>SDMO - K33</t>
  </si>
  <si>
    <t>THS_0084</t>
  </si>
  <si>
    <t>BAITY_DIOUF</t>
  </si>
  <si>
    <t>SDMO - T22</t>
  </si>
  <si>
    <t>TMB_0096</t>
  </si>
  <si>
    <t>BALLA</t>
  </si>
  <si>
    <t>OLYMPIAN - GEPX30-1</t>
  </si>
  <si>
    <t>MBR_0097</t>
  </si>
  <si>
    <t>BALLABOUGOU</t>
  </si>
  <si>
    <t>BKL_0098</t>
  </si>
  <si>
    <t>BALOU</t>
  </si>
  <si>
    <t>SDMO--K22</t>
  </si>
  <si>
    <t>KDG_0100</t>
  </si>
  <si>
    <t>BAMBARAYA</t>
  </si>
  <si>
    <t>DBL_0102</t>
  </si>
  <si>
    <t>BAMBEY01</t>
  </si>
  <si>
    <t>CATERPILLAR - DE50E0</t>
  </si>
  <si>
    <t>TMB_0115</t>
  </si>
  <si>
    <t>BANI_ISRAEL</t>
  </si>
  <si>
    <t>KDG_0116</t>
  </si>
  <si>
    <t>BANTAKHO_COUTA</t>
  </si>
  <si>
    <t>A_Ax_S10</t>
  </si>
  <si>
    <t>TMB_0119</t>
  </si>
  <si>
    <t>BANTANTINTI</t>
  </si>
  <si>
    <t>KLD_0120</t>
  </si>
  <si>
    <t>BANTANTO</t>
  </si>
  <si>
    <t>OLYMPIAN - GEP22-4</t>
  </si>
  <si>
    <t>ZIG_0148</t>
  </si>
  <si>
    <t>BEMET_BIDJINI</t>
  </si>
  <si>
    <t>ZIG_0157</t>
  </si>
  <si>
    <t>BIGNONA01</t>
  </si>
  <si>
    <t>SDMO - J66K</t>
  </si>
  <si>
    <t>STL_0167</t>
  </si>
  <si>
    <t>BISNABE_P_Y</t>
  </si>
  <si>
    <t>ORG_0176</t>
  </si>
  <si>
    <t>BOGUEL_BELLY_EDY</t>
  </si>
  <si>
    <t>ORG_0182</t>
  </si>
  <si>
    <t>BOKIDIAWE</t>
  </si>
  <si>
    <t>OLYMPIAN - GEP22-2</t>
  </si>
  <si>
    <t>ZIG_0192</t>
  </si>
  <si>
    <t>BOUCOTTE_OUOLOF</t>
  </si>
  <si>
    <t>STL_0195</t>
  </si>
  <si>
    <t>BOUDY_SAKHO</t>
  </si>
  <si>
    <t>KLD_0203</t>
  </si>
  <si>
    <t>BOUNKILING</t>
  </si>
  <si>
    <t>STL_0206</t>
  </si>
  <si>
    <t>BOUSSOURA_LO</t>
  </si>
  <si>
    <t>KDG_0212</t>
  </si>
  <si>
    <t>BRANSAN</t>
  </si>
  <si>
    <t>A_Ax_S4</t>
  </si>
  <si>
    <t>ZIG_0236</t>
  </si>
  <si>
    <t>CAP_SKIRING01</t>
  </si>
  <si>
    <t>TMB_0266</t>
  </si>
  <si>
    <t>CISSE_COUNDA</t>
  </si>
  <si>
    <t>OLYMPIAN - GEP18-6</t>
  </si>
  <si>
    <t>DKR_0297</t>
  </si>
  <si>
    <t>CITE_SAPCO02</t>
  </si>
  <si>
    <t>D2_GG GE</t>
  </si>
  <si>
    <t>SECTEUR+GE</t>
  </si>
  <si>
    <t>SDMO - J110</t>
  </si>
  <si>
    <t>KLD_0317</t>
  </si>
  <si>
    <t>COUMBACARA</t>
  </si>
  <si>
    <t>A_Ax_S3</t>
  </si>
  <si>
    <t>KLK_0325</t>
  </si>
  <si>
    <t>DAGA_DAOUR</t>
  </si>
  <si>
    <t>NDM_0326</t>
  </si>
  <si>
    <t>DAGANA</t>
  </si>
  <si>
    <t>DBL_0329</t>
  </si>
  <si>
    <t>DAHRA01</t>
  </si>
  <si>
    <t>SDMO - J88</t>
  </si>
  <si>
    <t>KDG_0336</t>
  </si>
  <si>
    <t>DAKATELI</t>
  </si>
  <si>
    <t>KDG_0347</t>
  </si>
  <si>
    <t>DALOTO</t>
  </si>
  <si>
    <t>KDG_0348</t>
  </si>
  <si>
    <t>DAMBALA_SEKHOTO</t>
  </si>
  <si>
    <t>DBL_0368</t>
  </si>
  <si>
    <t>DAROU_MARNANE</t>
  </si>
  <si>
    <t>OLYMPIAN - GEP30</t>
  </si>
  <si>
    <t>TMB_0390</t>
  </si>
  <si>
    <t>DAROU_SALAM_MANDA</t>
  </si>
  <si>
    <t>A_Ax_S7</t>
  </si>
  <si>
    <t>DBL_0408</t>
  </si>
  <si>
    <t>DAROU_TANZIL06</t>
  </si>
  <si>
    <t>ZIG_0447</t>
  </si>
  <si>
    <t>DIACOUNDA_DIOLENE</t>
  </si>
  <si>
    <t>TMB_0461</t>
  </si>
  <si>
    <t>DIALACOTO</t>
  </si>
  <si>
    <t>OLYMPIAN - GEP22-6</t>
  </si>
  <si>
    <t>THS_0472</t>
  </si>
  <si>
    <t>DIAMA_THIENDOU</t>
  </si>
  <si>
    <t>KLD_0479</t>
  </si>
  <si>
    <t>DIAMBATI</t>
  </si>
  <si>
    <t>DKR_0484</t>
  </si>
  <si>
    <t>DIAMNIADIO_CENTRAL</t>
  </si>
  <si>
    <t>D2_GG S1 GE</t>
  </si>
  <si>
    <t>KLK_0497</t>
  </si>
  <si>
    <t>DIANKE_SOUF</t>
  </si>
  <si>
    <t>ZIG_0512</t>
  </si>
  <si>
    <t>DIATTACOUNDA</t>
  </si>
  <si>
    <t>BKL_0516</t>
  </si>
  <si>
    <t>DIAWARA01</t>
  </si>
  <si>
    <t>TMB_0525</t>
  </si>
  <si>
    <t>DIENOUDIALA</t>
  </si>
  <si>
    <t>TMB_0526</t>
  </si>
  <si>
    <t>DIENOUDIALA_FH</t>
  </si>
  <si>
    <t>D2_PS</t>
  </si>
  <si>
    <t>D2_S4</t>
  </si>
  <si>
    <t>OLYMPIAN - GEP22</t>
  </si>
  <si>
    <t>KLD_0530</t>
  </si>
  <si>
    <t>DIGANTE</t>
  </si>
  <si>
    <t>SDMO - J66</t>
  </si>
  <si>
    <t>MBR_0536</t>
  </si>
  <si>
    <t>DIOFIOR</t>
  </si>
  <si>
    <t>KLK_0540</t>
  </si>
  <si>
    <t>DIOKOUL</t>
  </si>
  <si>
    <t>KLK_0541</t>
  </si>
  <si>
    <t>DIOKOUL_MBELBOUCK</t>
  </si>
  <si>
    <t>MBR_0544</t>
  </si>
  <si>
    <t>DIONEWAR</t>
  </si>
  <si>
    <t>D2_S8</t>
  </si>
  <si>
    <t>PA50</t>
  </si>
  <si>
    <t>ZIG_0568</t>
  </si>
  <si>
    <t>DJONDJI</t>
  </si>
  <si>
    <t>A_Ax_S5</t>
  </si>
  <si>
    <t>NDM_0570</t>
  </si>
  <si>
    <t>DODEL</t>
  </si>
  <si>
    <t>KLD_0574</t>
  </si>
  <si>
    <t>DOUBIROU</t>
  </si>
  <si>
    <t>TMB_0578</t>
  </si>
  <si>
    <t>DOUGUE</t>
  </si>
  <si>
    <t>KDG_0587</t>
  </si>
  <si>
    <t>DOUTA</t>
  </si>
  <si>
    <t>KDG_0595</t>
  </si>
  <si>
    <t>ELIMALO</t>
  </si>
  <si>
    <t>NDM_0615</t>
  </si>
  <si>
    <t>FANAYE_DIERY</t>
  </si>
  <si>
    <t>SDMO--J66</t>
  </si>
  <si>
    <t>TMB_0632</t>
  </si>
  <si>
    <t>FASS_NDIMBELANE</t>
  </si>
  <si>
    <t>KLK_0664</t>
  </si>
  <si>
    <t>GAINTH_PEULH</t>
  </si>
  <si>
    <t>SDMO - J33</t>
  </si>
  <si>
    <t>ORG_0665</t>
  </si>
  <si>
    <t>GALOYA</t>
  </si>
  <si>
    <t>KLK_0667</t>
  </si>
  <si>
    <t>GAMBOUL_THIEDO</t>
  </si>
  <si>
    <t>KLK_0668</t>
  </si>
  <si>
    <t>GAMMA</t>
  </si>
  <si>
    <t>KLK_0670</t>
  </si>
  <si>
    <t>GANDIAYE</t>
  </si>
  <si>
    <t>BKL_0675</t>
  </si>
  <si>
    <t>GANGUEL_MAKA</t>
  </si>
  <si>
    <t>BKL_0681</t>
  </si>
  <si>
    <t>GATHIARY</t>
  </si>
  <si>
    <t>DKR_0696</t>
  </si>
  <si>
    <t>GD_YOFF06</t>
  </si>
  <si>
    <t>E1_E2_GG GE</t>
  </si>
  <si>
    <t>DKR_0698</t>
  </si>
  <si>
    <t>GDW01</t>
  </si>
  <si>
    <t>SDMO - J200</t>
  </si>
  <si>
    <t>STL_0716</t>
  </si>
  <si>
    <t>GNITH</t>
  </si>
  <si>
    <t>BKL_0725</t>
  </si>
  <si>
    <t>GOLMY</t>
  </si>
  <si>
    <t>DBL_0728</t>
  </si>
  <si>
    <t>GOSSAS</t>
  </si>
  <si>
    <t>OLYMPIAN - GEP50-5</t>
  </si>
  <si>
    <t>TMB_0730</t>
  </si>
  <si>
    <t>GOUDIRY</t>
  </si>
  <si>
    <t>TMB_0731</t>
  </si>
  <si>
    <t>GOUDIRY02</t>
  </si>
  <si>
    <t>A_Ax_GG</t>
  </si>
  <si>
    <t>A_Ax_GG GE</t>
  </si>
  <si>
    <t>FG Wilson P22-1</t>
  </si>
  <si>
    <t>ZIG_0732</t>
  </si>
  <si>
    <t>GOUDOMP</t>
  </si>
  <si>
    <t>ORG_0733</t>
  </si>
  <si>
    <t>GOUDOUBE_NDOUDBE</t>
  </si>
  <si>
    <t>STL_0754</t>
  </si>
  <si>
    <t>GUEOUL</t>
  </si>
  <si>
    <t>KLK_0763</t>
  </si>
  <si>
    <t>GUINGUINEO</t>
  </si>
  <si>
    <t>TMB_0774</t>
  </si>
  <si>
    <t>HAMDALLAYE_TESSANG</t>
  </si>
  <si>
    <t>KDG_0802</t>
  </si>
  <si>
    <t>HOREFOLO</t>
  </si>
  <si>
    <t>MBR_0819</t>
  </si>
  <si>
    <t>JOAL01</t>
  </si>
  <si>
    <t>KLK_0832</t>
  </si>
  <si>
    <t>KAFFRINE01</t>
  </si>
  <si>
    <t>ZIG_0843</t>
  </si>
  <si>
    <t>KAGUITTE</t>
  </si>
  <si>
    <t>THS_0849</t>
  </si>
  <si>
    <t>KAM_DIACK</t>
  </si>
  <si>
    <t>KLD_0857</t>
  </si>
  <si>
    <t>KANDIA</t>
  </si>
  <si>
    <t>ORG_0862</t>
  </si>
  <si>
    <t>KANEL</t>
  </si>
  <si>
    <t>KLK_0870</t>
  </si>
  <si>
    <t>KARANG_POSTE</t>
  </si>
  <si>
    <t>KLD_0873</t>
  </si>
  <si>
    <t>KAROUMBOU</t>
  </si>
  <si>
    <t>THS_0876</t>
  </si>
  <si>
    <t>KAYAR01</t>
  </si>
  <si>
    <t>STL_0879</t>
  </si>
  <si>
    <t>KEBEMER_AGENCE</t>
  </si>
  <si>
    <t>E1_E2_GG S1 GE</t>
  </si>
  <si>
    <t>STL_0880</t>
  </si>
  <si>
    <t>KEBEMER01</t>
  </si>
  <si>
    <t>KDG_0884</t>
  </si>
  <si>
    <t>KEDOUGOU01</t>
  </si>
  <si>
    <t>FG Wilson P110-3</t>
  </si>
  <si>
    <t>KDG_0890</t>
  </si>
  <si>
    <t>KEDOUGOU07</t>
  </si>
  <si>
    <t>THS_0892</t>
  </si>
  <si>
    <t>KELLE</t>
  </si>
  <si>
    <t>BKL_0893</t>
  </si>
  <si>
    <t>KENIEBA</t>
  </si>
  <si>
    <t>THS_0902</t>
  </si>
  <si>
    <t>KEUR_ASS02</t>
  </si>
  <si>
    <t>SDMO - T16K</t>
  </si>
  <si>
    <t>KLK_0903</t>
  </si>
  <si>
    <t>KEUR_AYIP_GUEYE</t>
  </si>
  <si>
    <t>KLK_0908</t>
  </si>
  <si>
    <t>KEUR_BIRANE_KHOREDIA</t>
  </si>
  <si>
    <t>THS_0964</t>
  </si>
  <si>
    <t>KEUR_MBAYE_SENEBA</t>
  </si>
  <si>
    <t>PRAMAC - GBW22</t>
  </si>
  <si>
    <t>STL_0967</t>
  </si>
  <si>
    <t>KEUR_MOMAR_SARR</t>
  </si>
  <si>
    <t>STL_0968</t>
  </si>
  <si>
    <t>KEUR_MOR_ABDOU_SEYE</t>
  </si>
  <si>
    <t>KLK_0980</t>
  </si>
  <si>
    <t>KEUR_SAMBA_NDIAYE</t>
  </si>
  <si>
    <t>KDG_0998</t>
  </si>
  <si>
    <t>KHARAKHAYNI</t>
  </si>
  <si>
    <t>DBL_1000</t>
  </si>
  <si>
    <t>KHELCOM</t>
  </si>
  <si>
    <t>SDMO - T22K</t>
  </si>
  <si>
    <t>STL_1002</t>
  </si>
  <si>
    <t>KHEUNE</t>
  </si>
  <si>
    <t>THS_1006</t>
  </si>
  <si>
    <t>KHOMBOLE</t>
  </si>
  <si>
    <t>KDG_1008</t>
  </si>
  <si>
    <t>KHOSSANTO</t>
  </si>
  <si>
    <t>BKL_1012</t>
  </si>
  <si>
    <t>KIDIRA01</t>
  </si>
  <si>
    <t>MBR_1018</t>
  </si>
  <si>
    <t>KINIAMBOUR_I</t>
  </si>
  <si>
    <t>THS_1019</t>
  </si>
  <si>
    <t>KIRENE</t>
  </si>
  <si>
    <t>KLK_1023</t>
  </si>
  <si>
    <t>KLK01_FH</t>
  </si>
  <si>
    <t>KLD_1072</t>
  </si>
  <si>
    <t>KOLDA01</t>
  </si>
  <si>
    <t>SDMO | OLYMPIAN - J110K</t>
  </si>
  <si>
    <t>DBL_1092</t>
  </si>
  <si>
    <t>KOLOBANE</t>
  </si>
  <si>
    <t>KDG_1094</t>
  </si>
  <si>
    <t>KONDOKHOU</t>
  </si>
  <si>
    <t>TMB_1111</t>
  </si>
  <si>
    <t>KOUMPENTOUM</t>
  </si>
  <si>
    <t>BKL_1113</t>
  </si>
  <si>
    <t>KOUNGHANY</t>
  </si>
  <si>
    <t xml:space="preserve">D2_GG S1 </t>
  </si>
  <si>
    <t>KLK_1115</t>
  </si>
  <si>
    <t>KOUNGHEUL01</t>
  </si>
  <si>
    <t>KLD_1118</t>
  </si>
  <si>
    <t>KOUNKANE</t>
  </si>
  <si>
    <t>D2_GG S2 GE</t>
  </si>
  <si>
    <t>THS_1122</t>
  </si>
  <si>
    <t>KOURE_DIAL</t>
  </si>
  <si>
    <t>DBL_1135</t>
  </si>
  <si>
    <t>LAGBAR_OUOLOF</t>
  </si>
  <si>
    <t>DBL_1166</t>
  </si>
  <si>
    <t>LINGUERE01</t>
  </si>
  <si>
    <t>SDMO - J165K</t>
  </si>
  <si>
    <t>KLD_1171</t>
  </si>
  <si>
    <t>LINKERING</t>
  </si>
  <si>
    <t>KLD_1172</t>
  </si>
  <si>
    <t>LINKERINGTO</t>
  </si>
  <si>
    <t>NDM_1177</t>
  </si>
  <si>
    <t>LOUBOUDU_DOUE</t>
  </si>
  <si>
    <t>STL_1179</t>
  </si>
  <si>
    <t>LOUGA01</t>
  </si>
  <si>
    <t>STL_1180</t>
  </si>
  <si>
    <t>LOUGA02</t>
  </si>
  <si>
    <t>KDG_1208</t>
  </si>
  <si>
    <t>MADINA_BAFFE</t>
  </si>
  <si>
    <t>KLK_1226</t>
  </si>
  <si>
    <t>MAKAN_DRAME</t>
  </si>
  <si>
    <t>KDG_1228</t>
  </si>
  <si>
    <t>MAKO</t>
  </si>
  <si>
    <t>TMB_1229</t>
  </si>
  <si>
    <t>MAKO_FH</t>
  </si>
  <si>
    <t>PRAMAC - GSW35</t>
  </si>
  <si>
    <t>KDG_1250</t>
  </si>
  <si>
    <t>MAMAKHONO</t>
  </si>
  <si>
    <t>KLD_1259</t>
  </si>
  <si>
    <t>MAMPATIM</t>
  </si>
  <si>
    <t>KLD_1261</t>
  </si>
  <si>
    <t>MANCONOMBA</t>
  </si>
  <si>
    <t>KLD_1270</t>
  </si>
  <si>
    <t>MANSABANG</t>
  </si>
  <si>
    <t>MBR_1272</t>
  </si>
  <si>
    <t>MAR_FAFACO</t>
  </si>
  <si>
    <t>THS_1301</t>
  </si>
  <si>
    <t>MBABOU</t>
  </si>
  <si>
    <t>DBL_1332</t>
  </si>
  <si>
    <t>MBAR_FORAGE</t>
  </si>
  <si>
    <t>KLK_1353</t>
  </si>
  <si>
    <t>MBIRKILANE</t>
  </si>
  <si>
    <t>MBR_1356</t>
  </si>
  <si>
    <t>MBODIENE</t>
  </si>
  <si>
    <t>NDM_1362</t>
  </si>
  <si>
    <t>MBOROBE</t>
  </si>
  <si>
    <t>NDM_1367</t>
  </si>
  <si>
    <t>MBOUMBA</t>
  </si>
  <si>
    <t>STL_1369</t>
  </si>
  <si>
    <t>MBOUNDOUM_BARRAGE</t>
  </si>
  <si>
    <t>MBR_1371</t>
  </si>
  <si>
    <t>MBOUR01</t>
  </si>
  <si>
    <t>MBR_1372</t>
  </si>
  <si>
    <t>MBOUR02</t>
  </si>
  <si>
    <t>SDMO - J88K</t>
  </si>
  <si>
    <t>KLK_1422</t>
  </si>
  <si>
    <t>MEDINA_THIECKENE</t>
  </si>
  <si>
    <t>THS_1435</t>
  </si>
  <si>
    <t>MEKHE01</t>
  </si>
  <si>
    <t>TMB_1459</t>
  </si>
  <si>
    <t>MISSIRAH</t>
  </si>
  <si>
    <t>KDG_1460</t>
  </si>
  <si>
    <t>MISSIRAH_DANTILA</t>
  </si>
  <si>
    <t>THS_1471</t>
  </si>
  <si>
    <t>MONT_ROLLAND</t>
  </si>
  <si>
    <t>BKL_1474</t>
  </si>
  <si>
    <t>MOUDERY</t>
  </si>
  <si>
    <t>STL_1482</t>
  </si>
  <si>
    <t>MPAL</t>
  </si>
  <si>
    <t>STL_1493</t>
  </si>
  <si>
    <t>NAYOBE</t>
  </si>
  <si>
    <t>KLK_1495</t>
  </si>
  <si>
    <t>NDAKHAR_PEULH</t>
  </si>
  <si>
    <t>STL_1505</t>
  </si>
  <si>
    <t>NDAME_MOR_FADEMBA</t>
  </si>
  <si>
    <t>KLK_1522</t>
  </si>
  <si>
    <t>NDIAFFATE_ESCALE</t>
  </si>
  <si>
    <t>MBR_1523</t>
  </si>
  <si>
    <t>NDIAGANIAO</t>
  </si>
  <si>
    <t>A_Ax_GG S3</t>
  </si>
  <si>
    <t>A_Ax_GG S3 GE</t>
  </si>
  <si>
    <t>STL_1524</t>
  </si>
  <si>
    <t>NDIAGNE</t>
  </si>
  <si>
    <t>OLYMPIAN--GEP18-6</t>
  </si>
  <si>
    <t>DBL_1530</t>
  </si>
  <si>
    <t>NDIAKHATE</t>
  </si>
  <si>
    <t>KLD_1533</t>
  </si>
  <si>
    <t>NDIAMACOUTA</t>
  </si>
  <si>
    <t>DKR_1540</t>
  </si>
  <si>
    <t>NDIASS01_CENTRAL</t>
  </si>
  <si>
    <t>CATERPILLAR - GEP18-4</t>
  </si>
  <si>
    <t>KLK_1551</t>
  </si>
  <si>
    <t>NDIBA_NDIAYENE</t>
  </si>
  <si>
    <t>KLK_1567</t>
  </si>
  <si>
    <t>NDIOBENE_GALLO</t>
  </si>
  <si>
    <t>MBR_1572</t>
  </si>
  <si>
    <t>NDIOL_MANGANE</t>
  </si>
  <si>
    <t>MBR_1574</t>
  </si>
  <si>
    <t>NDIONGOLOR</t>
  </si>
  <si>
    <t>BKL_1576</t>
  </si>
  <si>
    <t>NDIOTT</t>
  </si>
  <si>
    <t>NDM_1578</t>
  </si>
  <si>
    <t>NDIOUM</t>
  </si>
  <si>
    <t>KLK_1584</t>
  </si>
  <si>
    <t>NDOFFANE</t>
  </si>
  <si>
    <t>KLD_1591</t>
  </si>
  <si>
    <t>NDORNA</t>
  </si>
  <si>
    <t>THS_1605</t>
  </si>
  <si>
    <t>NGAKHAM</t>
  </si>
  <si>
    <t>STL_1607</t>
  </si>
  <si>
    <t>NGALLELE</t>
  </si>
  <si>
    <t>KLK_1608</t>
  </si>
  <si>
    <t>NGANDA</t>
  </si>
  <si>
    <t>KLK_1615</t>
  </si>
  <si>
    <t>NGAYENE</t>
  </si>
  <si>
    <t>STL_1619</t>
  </si>
  <si>
    <t>NGOMENE</t>
  </si>
  <si>
    <t>DKR_1628</t>
  </si>
  <si>
    <t>NGOROM</t>
  </si>
  <si>
    <t>KLK_1634</t>
  </si>
  <si>
    <t>NGOUYE_DIARAF</t>
  </si>
  <si>
    <t>DKR_1649</t>
  </si>
  <si>
    <t>NIAGUE</t>
  </si>
  <si>
    <t>KLK_1651</t>
  </si>
  <si>
    <t>NIAHENE</t>
  </si>
  <si>
    <t>MBR_1652</t>
  </si>
  <si>
    <t>NIAKHAR</t>
  </si>
  <si>
    <t>THS_1653</t>
  </si>
  <si>
    <t>NIAKHENE_DAROU</t>
  </si>
  <si>
    <t>STL_1671</t>
  </si>
  <si>
    <t>NIASSANTE</t>
  </si>
  <si>
    <t>STL_1682</t>
  </si>
  <si>
    <t>NIOMRE</t>
  </si>
  <si>
    <t>KLK_1684</t>
  </si>
  <si>
    <t>NIORO01</t>
  </si>
  <si>
    <t>DKR_1688</t>
  </si>
  <si>
    <t>NORD_FOIRE02_REMP</t>
  </si>
  <si>
    <t>SDMO - J110K</t>
  </si>
  <si>
    <t>ORG_1703</t>
  </si>
  <si>
    <t>OREFONDE</t>
  </si>
  <si>
    <t>D2_GG S0 GE</t>
  </si>
  <si>
    <t>DBL_1707</t>
  </si>
  <si>
    <t>OUADIOUR</t>
  </si>
  <si>
    <t>ZIG_1749</t>
  </si>
  <si>
    <t>OUSSOUYE</t>
  </si>
  <si>
    <t>KLK_1752</t>
  </si>
  <si>
    <t>PAFFA</t>
  </si>
  <si>
    <t>KLK_1772</t>
  </si>
  <si>
    <t>PASSY</t>
  </si>
  <si>
    <t>CATERPILLAR - DE20E3</t>
  </si>
  <si>
    <t>KLD_1775</t>
  </si>
  <si>
    <t>PATA</t>
  </si>
  <si>
    <t>THS_1791</t>
  </si>
  <si>
    <t>PEKESSE</t>
  </si>
  <si>
    <t>THS_1803</t>
  </si>
  <si>
    <t>PIRE</t>
  </si>
  <si>
    <t>NDM_1814</t>
  </si>
  <si>
    <t>PODOR</t>
  </si>
  <si>
    <t>THS_1836</t>
  </si>
  <si>
    <t>POUT</t>
  </si>
  <si>
    <t>KDG_1855</t>
  </si>
  <si>
    <t>RANDGOLD</t>
  </si>
  <si>
    <t>ORG_1856</t>
  </si>
  <si>
    <t>RANEROU</t>
  </si>
  <si>
    <t>D2_GG S2</t>
  </si>
  <si>
    <t>CATERPILLAR--DE33E0</t>
  </si>
  <si>
    <t>STL_1881</t>
  </si>
  <si>
    <t>ROSS_BETHIO01</t>
  </si>
  <si>
    <t>CUMMINS - C33D5</t>
  </si>
  <si>
    <t>STL_1883</t>
  </si>
  <si>
    <t>ROSSO01</t>
  </si>
  <si>
    <t>DKR_1893</t>
  </si>
  <si>
    <t>RUF01</t>
  </si>
  <si>
    <t>CATERPILLAR - DE88E0</t>
  </si>
  <si>
    <t>DKR_1927</t>
  </si>
  <si>
    <t>SABLUX</t>
  </si>
  <si>
    <t>SDMO - J300K</t>
  </si>
  <si>
    <t>DKR_1933</t>
  </si>
  <si>
    <t>SACRE_COEUR01</t>
  </si>
  <si>
    <t>E1_E2_GG S3 GE</t>
  </si>
  <si>
    <t>SDMO - V275C2</t>
  </si>
  <si>
    <t>DBL_1939</t>
  </si>
  <si>
    <t>SADIO</t>
  </si>
  <si>
    <t>STL_1941</t>
  </si>
  <si>
    <t>SAGATTA</t>
  </si>
  <si>
    <t>STL_1946</t>
  </si>
  <si>
    <t>SAKAL</t>
  </si>
  <si>
    <t>MBR_1958</t>
  </si>
  <si>
    <t>SALY03</t>
  </si>
  <si>
    <t>DBL_1975</t>
  </si>
  <si>
    <t>SAMBE</t>
  </si>
  <si>
    <t>KDG_1977</t>
  </si>
  <si>
    <t>SAMECOUTA</t>
  </si>
  <si>
    <t>PRAMAC - GBW15P</t>
  </si>
  <si>
    <t>TMB_1991</t>
  </si>
  <si>
    <t>SANKAGNE</t>
  </si>
  <si>
    <t>KLK_1995</t>
  </si>
  <si>
    <t>SANTHIE_GAL_NGONE</t>
  </si>
  <si>
    <t>KDG_2002</t>
  </si>
  <si>
    <t>SARAYA</t>
  </si>
  <si>
    <t>A_Ax_GG S1 GE</t>
  </si>
  <si>
    <t>ORG_2020</t>
  </si>
  <si>
    <t>SARE_LIOU</t>
  </si>
  <si>
    <t>DBL_2027</t>
  </si>
  <si>
    <t>SARE_SARA</t>
  </si>
  <si>
    <t>OLYMPIAN--GEP33-3</t>
  </si>
  <si>
    <t>KLD_2035</t>
  </si>
  <si>
    <t>SARE_YOBA</t>
  </si>
  <si>
    <t>DKR_2042</t>
  </si>
  <si>
    <t>SEA_PLAZA</t>
  </si>
  <si>
    <t>CUMMINS - C150D5</t>
  </si>
  <si>
    <t>DKR_2045</t>
  </si>
  <si>
    <t>SEBIKHOTANE02</t>
  </si>
  <si>
    <t>KLD_2049</t>
  </si>
  <si>
    <t>SEDHIOU</t>
  </si>
  <si>
    <t>ORG_2055</t>
  </si>
  <si>
    <t>SEDO_SEBBE</t>
  </si>
  <si>
    <t>ZIG_2058</t>
  </si>
  <si>
    <t>SELETY</t>
  </si>
  <si>
    <t>ORG_2060</t>
  </si>
  <si>
    <t>SEMME01</t>
  </si>
  <si>
    <t>STL_2066</t>
  </si>
  <si>
    <t>SENHUILE</t>
  </si>
  <si>
    <t>TMB_2068</t>
  </si>
  <si>
    <t>SEOUDJI</t>
  </si>
  <si>
    <t>THS_2080</t>
  </si>
  <si>
    <t>SINDIA01</t>
  </si>
  <si>
    <t>ORG_2102</t>
  </si>
  <si>
    <t>SINTHIOU_GARBA</t>
  </si>
  <si>
    <t>KLK_2116</t>
  </si>
  <si>
    <t>SIWOL</t>
  </si>
  <si>
    <t>DBL_2123</t>
  </si>
  <si>
    <t>SOKANO</t>
  </si>
  <si>
    <t>MBR_2127</t>
  </si>
  <si>
    <t>SOMONE01</t>
  </si>
  <si>
    <t>DKR_2134</t>
  </si>
  <si>
    <t>SONATEL_SIEGE_DAS</t>
  </si>
  <si>
    <t>SDMO--T1250</t>
  </si>
  <si>
    <t>MBR_2140</t>
  </si>
  <si>
    <t>SOUM</t>
  </si>
  <si>
    <t>MBR_2148</t>
  </si>
  <si>
    <t>SOUSSANE_SANDIARA</t>
  </si>
  <si>
    <t>KLD_2195</t>
  </si>
  <si>
    <t>TABAWAL_MADY</t>
  </si>
  <si>
    <t>KLK_2202</t>
  </si>
  <si>
    <t>TAIBA_NIANGHENE</t>
  </si>
  <si>
    <t>DBL_2206</t>
  </si>
  <si>
    <t>TAIF</t>
  </si>
  <si>
    <t>TMB_2220</t>
  </si>
  <si>
    <t>TAMBA05</t>
  </si>
  <si>
    <t>A_Ax_GG S0 GE</t>
  </si>
  <si>
    <t>KLD_2236</t>
  </si>
  <si>
    <t>TANAFF</t>
  </si>
  <si>
    <t>MBR_2240</t>
  </si>
  <si>
    <t>TATAGUINE_BAMBARA</t>
  </si>
  <si>
    <t>ZIG_2247</t>
  </si>
  <si>
    <t>TENDIMANE</t>
  </si>
  <si>
    <t>THS_2250</t>
  </si>
  <si>
    <t>TER_AIBD</t>
  </si>
  <si>
    <t>MBR_2259</t>
  </si>
  <si>
    <t>THIADIAYE</t>
  </si>
  <si>
    <t>STL_2266</t>
  </si>
  <si>
    <t>THIAMENE</t>
  </si>
  <si>
    <t>DBL_2291</t>
  </si>
  <si>
    <t>THIAWENE_NDICKOU</t>
  </si>
  <si>
    <t>KLK_2292</t>
  </si>
  <si>
    <t>THICATTDIERY</t>
  </si>
  <si>
    <t>NDM_2294</t>
  </si>
  <si>
    <t>THIE_LAO</t>
  </si>
  <si>
    <t>DBL_2295</t>
  </si>
  <si>
    <t>THIEL</t>
  </si>
  <si>
    <t>DBL_2300</t>
  </si>
  <si>
    <t>THIENDIEGNE</t>
  </si>
  <si>
    <t>NDM_2306</t>
  </si>
  <si>
    <t>THIEWLE</t>
  </si>
  <si>
    <t>NDM_2308</t>
  </si>
  <si>
    <t>THILE_BOUBACAR2</t>
  </si>
  <si>
    <t>ORG_2312</t>
  </si>
  <si>
    <t>THILOGNE</t>
  </si>
  <si>
    <t>ORG_2313</t>
  </si>
  <si>
    <t>THILOGNE_CGFO</t>
  </si>
  <si>
    <t>ZIG_2315</t>
  </si>
  <si>
    <t>THIOBON</t>
  </si>
  <si>
    <t>DBL_2318</t>
  </si>
  <si>
    <t>THIOLOM_TENEFOUL</t>
  </si>
  <si>
    <t>DBL_2323</t>
  </si>
  <si>
    <t>THIONOKH_SANGUE</t>
  </si>
  <si>
    <t>NDM_2328</t>
  </si>
  <si>
    <t>THIOUBALEL</t>
  </si>
  <si>
    <t>THS_2337</t>
  </si>
  <si>
    <t>THS08_AR</t>
  </si>
  <si>
    <t>E1_E2_GG S0 GE</t>
  </si>
  <si>
    <t>STL_2384</t>
  </si>
  <si>
    <t>TIGUET</t>
  </si>
  <si>
    <t>KDG_2385</t>
  </si>
  <si>
    <t>TINKOTO</t>
  </si>
  <si>
    <t>KDG_2386</t>
  </si>
  <si>
    <t>TINKOTO_TANDA</t>
  </si>
  <si>
    <t xml:space="preserve">A_Ax_GG S3 GE </t>
  </si>
  <si>
    <t>THS_2388</t>
  </si>
  <si>
    <t>TIVAOUANE_FH</t>
  </si>
  <si>
    <t>KDG_2398</t>
  </si>
  <si>
    <t>TOMBORONKOTO</t>
  </si>
  <si>
    <t>KLK_2446</t>
  </si>
  <si>
    <t>TOUBA_SALOUM</t>
  </si>
  <si>
    <t>DBL_2450</t>
  </si>
  <si>
    <t>TOUBA_SAMALY</t>
  </si>
  <si>
    <t>THS_2454</t>
  </si>
  <si>
    <t>TOUBA_TOUL</t>
  </si>
  <si>
    <t>STL_2467</t>
  </si>
  <si>
    <t>TOUBE_FALL</t>
  </si>
  <si>
    <t>DBL_2527</t>
  </si>
  <si>
    <t>VELINGARA_OUOLOF</t>
  </si>
  <si>
    <t>KLD_2528</t>
  </si>
  <si>
    <t>VELINGARA01</t>
  </si>
  <si>
    <t>NDM_2547</t>
  </si>
  <si>
    <t>WINDOU_THINGOLY</t>
  </si>
  <si>
    <t>STL_2551</t>
  </si>
  <si>
    <t>YAMANE</t>
  </si>
  <si>
    <t>KLD_2558</t>
  </si>
  <si>
    <t>YEDOULAYE_LAMSAR</t>
  </si>
  <si>
    <t>DKR_2559</t>
  </si>
  <si>
    <t>YENNE01</t>
  </si>
  <si>
    <t>DKR_2562</t>
  </si>
  <si>
    <t>YEUMBEUL01</t>
  </si>
  <si>
    <t>STL_2573</t>
  </si>
  <si>
    <t>YODI_DAO</t>
  </si>
  <si>
    <t>GENERAC - 0</t>
  </si>
  <si>
    <t>DKR_2574</t>
  </si>
  <si>
    <t>YOFF_CENTRAL</t>
  </si>
  <si>
    <t>DBL_2592</t>
  </si>
  <si>
    <t>YOUNOUFERE</t>
  </si>
  <si>
    <t>ZIG_2597</t>
  </si>
  <si>
    <t>ZIG01</t>
  </si>
  <si>
    <t>KLK_2682</t>
  </si>
  <si>
    <t>KEUR_SADER</t>
  </si>
  <si>
    <t>THS_2694</t>
  </si>
  <si>
    <t>KEUR_AMAR_MANE</t>
  </si>
  <si>
    <t>DKR_0003</t>
  </si>
  <si>
    <t>ACAD</t>
  </si>
  <si>
    <t>SDMO - V410K</t>
  </si>
  <si>
    <t>ZIG_0005</t>
  </si>
  <si>
    <t>ADEANE</t>
  </si>
  <si>
    <t>NDM_0006</t>
  </si>
  <si>
    <t>AERE_LAO</t>
  </si>
  <si>
    <t>ZIG_0008</t>
  </si>
  <si>
    <t>AFFINIAM</t>
  </si>
  <si>
    <t>DKR_0022</t>
  </si>
  <si>
    <t>ALMADIES_AGENCE</t>
  </si>
  <si>
    <t>SDMO - T44K</t>
  </si>
  <si>
    <t>ORG_0033</t>
  </si>
  <si>
    <t>AMADY_OUNARE01</t>
  </si>
  <si>
    <t>THS_0036</t>
  </si>
  <si>
    <t>ANDALL</t>
  </si>
  <si>
    <t>DKR_0039</t>
  </si>
  <si>
    <t>ARCADES</t>
  </si>
  <si>
    <t>E1_E2_GG S2 GE</t>
  </si>
  <si>
    <t>DKR_0049</t>
  </si>
  <si>
    <t>AUTOROUTE_DOUGAR</t>
  </si>
  <si>
    <t>MBR_0050</t>
  </si>
  <si>
    <t>AUTOROUTE_GANDIGAL</t>
  </si>
  <si>
    <t>MBR_0052</t>
  </si>
  <si>
    <t>AUTOROUTE_NGUEKHOH</t>
  </si>
  <si>
    <t>TEKSAN - TJ22PE</t>
  </si>
  <si>
    <t>THS_0062</t>
  </si>
  <si>
    <t>AUTOROUTE_SINDIA</t>
  </si>
  <si>
    <t>TMB_0067</t>
  </si>
  <si>
    <t>AYNOUMADI_FH</t>
  </si>
  <si>
    <t>BKL_0086</t>
  </si>
  <si>
    <t>BAKEL01</t>
  </si>
  <si>
    <t>DBL_0091</t>
  </si>
  <si>
    <t>BAKOURA</t>
  </si>
  <si>
    <t>DKR_0125</t>
  </si>
  <si>
    <t>BARGNY01_CENTRAL</t>
  </si>
  <si>
    <t>KLK_0201</t>
  </si>
  <si>
    <t>BOULEL_GOUMACK</t>
  </si>
  <si>
    <t>DBL_0205</t>
  </si>
  <si>
    <t>BOUSRAH</t>
  </si>
  <si>
    <t>ZIG_0215</t>
  </si>
  <si>
    <t>BRINDIAGO</t>
  </si>
  <si>
    <t>DKR_0226</t>
  </si>
  <si>
    <t>CAMBERENE07_REMP</t>
  </si>
  <si>
    <t>DKR_0250</t>
  </si>
  <si>
    <t>CENTRE_EMETTEUR</t>
  </si>
  <si>
    <t>DKR_0262</t>
  </si>
  <si>
    <t>CICAD</t>
  </si>
  <si>
    <t>STL_0307</t>
  </si>
  <si>
    <t>COKI</t>
  </si>
  <si>
    <t>DBL_0359</t>
  </si>
  <si>
    <t>DAROU_KHOUDOSS01</t>
  </si>
  <si>
    <t>DBL_0376</t>
  </si>
  <si>
    <t>DAROU_MOUSTY01</t>
  </si>
  <si>
    <t>AMAN - JS60</t>
  </si>
  <si>
    <t>DBL_0416</t>
  </si>
  <si>
    <t>DBL_AGENCE</t>
  </si>
  <si>
    <t>SDMO - JS60</t>
  </si>
  <si>
    <t>MBR_0458</t>
  </si>
  <si>
    <t>DIAKHAO</t>
  </si>
  <si>
    <t>DBL_0493</t>
  </si>
  <si>
    <t>DIANE</t>
  </si>
  <si>
    <t>THS_0537</t>
  </si>
  <si>
    <t>DIOGO_MDL</t>
  </si>
  <si>
    <t>ZIG_0548</t>
  </si>
  <si>
    <t>DIOULOULOU</t>
  </si>
  <si>
    <t>STL_0633</t>
  </si>
  <si>
    <t>FASS_NGOM</t>
  </si>
  <si>
    <t>MBR_0638</t>
  </si>
  <si>
    <t>FATICK01</t>
  </si>
  <si>
    <t>MBR_0639</t>
  </si>
  <si>
    <t>FATICK02</t>
  </si>
  <si>
    <t>MBR_0654</t>
  </si>
  <si>
    <t>FOUNDIOUGNE01</t>
  </si>
  <si>
    <t>PRAMAC - GSW65</t>
  </si>
  <si>
    <t>TMB_0687</t>
  </si>
  <si>
    <t>GAYPARADJI</t>
  </si>
  <si>
    <t>DKR_0778</t>
  </si>
  <si>
    <t>HANN_CENTRAL</t>
  </si>
  <si>
    <t>DKR_0818</t>
  </si>
  <si>
    <t>JET_DEAU</t>
  </si>
  <si>
    <t>ZIG_0837</t>
  </si>
  <si>
    <t>KAFOUNTINE</t>
  </si>
  <si>
    <t>STL_0864</t>
  </si>
  <si>
    <t>KANENE_NDIOB</t>
  </si>
  <si>
    <t>FIRMAN - SDG20FS</t>
  </si>
  <si>
    <t>KLD_0872</t>
  </si>
  <si>
    <t>KARCIA</t>
  </si>
  <si>
    <t>DBL_0910</t>
  </si>
  <si>
    <t>KEUR_DAOUR_SALL</t>
  </si>
  <si>
    <t>KLK_0912</t>
  </si>
  <si>
    <t>KEUR_ELHADJ_MACOUMBA</t>
  </si>
  <si>
    <t>THS_0915</t>
  </si>
  <si>
    <t>KEUR_KHAR_DIEYE</t>
  </si>
  <si>
    <t>KLK_0918</t>
  </si>
  <si>
    <t>KEUR_MADIABEL</t>
  </si>
  <si>
    <t>STL_0982</t>
  </si>
  <si>
    <t>KEUR_SIDY_MBENGUE_I</t>
  </si>
  <si>
    <t>MBR_0988</t>
  </si>
  <si>
    <t>KEUR_YOUNGAR</t>
  </si>
  <si>
    <t>PRAMAC - GBW15</t>
  </si>
  <si>
    <t>DBL_0990</t>
  </si>
  <si>
    <t>KHAMNANE</t>
  </si>
  <si>
    <t>KLK_1009</t>
  </si>
  <si>
    <t>KHOUBE</t>
  </si>
  <si>
    <t>KLD_1071</t>
  </si>
  <si>
    <t>KOLDA_AGENCE</t>
  </si>
  <si>
    <t>TMB_1125</t>
  </si>
  <si>
    <t>KOUSSANAR</t>
  </si>
  <si>
    <t>DBL_1163</t>
  </si>
  <si>
    <t>LINDE_TIDIANE</t>
  </si>
  <si>
    <t>DBL_1165</t>
  </si>
  <si>
    <t>LINGUERE_AGENCE</t>
  </si>
  <si>
    <t>BKL_1173</t>
  </si>
  <si>
    <t>LOBALY</t>
  </si>
  <si>
    <t>STL_1178</t>
  </si>
  <si>
    <t>LOUGA_AGENCE</t>
  </si>
  <si>
    <t>MBR_1197</t>
  </si>
  <si>
    <t>LOULY_NDIA</t>
  </si>
  <si>
    <t>DBL_1215</t>
  </si>
  <si>
    <t>MADYANA01</t>
  </si>
  <si>
    <t>THS_1225</t>
  </si>
  <si>
    <t>MAKA_SARR</t>
  </si>
  <si>
    <t>DKR_1282</t>
  </si>
  <si>
    <t>MARISTES_CENTRAL</t>
  </si>
  <si>
    <t>OLYMPIAN - GEP65-5</t>
  </si>
  <si>
    <t>ZIG_1292</t>
  </si>
  <si>
    <t>MARSASSOUM</t>
  </si>
  <si>
    <t>ORG_1294</t>
  </si>
  <si>
    <t>MATAM01</t>
  </si>
  <si>
    <t>THS_1359</t>
  </si>
  <si>
    <t>MBORO01</t>
  </si>
  <si>
    <t>STL_1364</t>
  </si>
  <si>
    <t>MBOUBENE</t>
  </si>
  <si>
    <t>A_Ax_S9</t>
  </si>
  <si>
    <t>TMB_1409</t>
  </si>
  <si>
    <t>MEDINA_GOUNASS</t>
  </si>
  <si>
    <t>KLK_1416</t>
  </si>
  <si>
    <t>MEDINA_MOUNAWARA</t>
  </si>
  <si>
    <t>STL_1445</t>
  </si>
  <si>
    <t>MERINA_SARR</t>
  </si>
  <si>
    <t>KDG_1479</t>
  </si>
  <si>
    <t>MOUSSALA_NAHINAMINE</t>
  </si>
  <si>
    <t>DBL_1494</t>
  </si>
  <si>
    <t>NDAGDAM</t>
  </si>
  <si>
    <t>STL_1512</t>
  </si>
  <si>
    <t>NDANDE01</t>
  </si>
  <si>
    <t>DBL_1513</t>
  </si>
  <si>
    <t>NDANGALMA</t>
  </si>
  <si>
    <t>MBR_1514</t>
  </si>
  <si>
    <t>NDANGANE01</t>
  </si>
  <si>
    <t>TMB_1548</t>
  </si>
  <si>
    <t>NDIAYENE_DIAM_DIAM</t>
  </si>
  <si>
    <t>DBL_1561</t>
  </si>
  <si>
    <t>NDIMB_NGOYE</t>
  </si>
  <si>
    <t>DBL_1562</t>
  </si>
  <si>
    <t>NDINDY</t>
  </si>
  <si>
    <t>THS_1575</t>
  </si>
  <si>
    <t>NDIOP_SAO</t>
  </si>
  <si>
    <t>DBL_1577</t>
  </si>
  <si>
    <t>NDIOUDIOUF</t>
  </si>
  <si>
    <t>STL_1579</t>
  </si>
  <si>
    <t>NDIOUM_CGFO</t>
  </si>
  <si>
    <t>KLK_1580</t>
  </si>
  <si>
    <t>NDIOUM_GAINTH</t>
  </si>
  <si>
    <t>MBR_1582</t>
  </si>
  <si>
    <t>NDJILASSEME_THIEURIGNE</t>
  </si>
  <si>
    <t>STL_1588</t>
  </si>
  <si>
    <t>NDOGAL</t>
  </si>
  <si>
    <t>KLK_1595</t>
  </si>
  <si>
    <t>NDOUMBOUDJI</t>
  </si>
  <si>
    <t>STL_1631</t>
  </si>
  <si>
    <t>NGOUMBALA</t>
  </si>
  <si>
    <t>MBR_1636</t>
  </si>
  <si>
    <t>NGUEKHOKH01</t>
  </si>
  <si>
    <t>KLK_1643</t>
  </si>
  <si>
    <t>NGUERANE_FASS</t>
  </si>
  <si>
    <t>THS_1690</t>
  </si>
  <si>
    <t>NOTO_GOUYE_DIAMA</t>
  </si>
  <si>
    <t>DKR_1702</t>
  </si>
  <si>
    <t>ORANGE_BODY_TRAINING</t>
  </si>
  <si>
    <t>ORG_1724</t>
  </si>
  <si>
    <t>OUAOUNDE</t>
  </si>
  <si>
    <t>OLYMPIAN--GEP22-4</t>
  </si>
  <si>
    <t>STL_1745</t>
  </si>
  <si>
    <t>OUROSSOGUI_AGENCE</t>
  </si>
  <si>
    <t>ORG_1747</t>
  </si>
  <si>
    <t>OUROSSOGUI02</t>
  </si>
  <si>
    <t>DBL_1755</t>
  </si>
  <si>
    <t>PALENE</t>
  </si>
  <si>
    <t>NDM_1778</t>
  </si>
  <si>
    <t>PATHE_GALLO</t>
  </si>
  <si>
    <t>STL_1792</t>
  </si>
  <si>
    <t>PELOUR_I</t>
  </si>
  <si>
    <t>MBR_1821</t>
  </si>
  <si>
    <t>POPENGUINE01</t>
  </si>
  <si>
    <t>KLK_1826</t>
  </si>
  <si>
    <t>POROKHANE</t>
  </si>
  <si>
    <t>DKR_1834</t>
  </si>
  <si>
    <t>POTOU01</t>
  </si>
  <si>
    <t>SDMO - MS400/A</t>
  </si>
  <si>
    <t>DKR_1848</t>
  </si>
  <si>
    <t>PU8_UAMB</t>
  </si>
  <si>
    <t>STL_1857</t>
  </si>
  <si>
    <t>RAO</t>
  </si>
  <si>
    <t>DKR_1863</t>
  </si>
  <si>
    <t>REPUBLIQUE_AGENCE</t>
  </si>
  <si>
    <t>SDMO - GS400K</t>
  </si>
  <si>
    <t>STL_1869</t>
  </si>
  <si>
    <t>RICHARD_TOLL01</t>
  </si>
  <si>
    <t>DKR_1892</t>
  </si>
  <si>
    <t>RUF_AGENCE</t>
  </si>
  <si>
    <t>KDG_1945</t>
  </si>
  <si>
    <t>SAIENSOUTOU</t>
  </si>
  <si>
    <t>MBR_1954</t>
  </si>
  <si>
    <t>SALY_MUX</t>
  </si>
  <si>
    <t>KDG_1976</t>
  </si>
  <si>
    <t>SAMBRANBOUBOU</t>
  </si>
  <si>
    <t>DKR_1985</t>
  </si>
  <si>
    <t>SANGALKAM_CENTRAL</t>
  </si>
  <si>
    <t>ORG_2059</t>
  </si>
  <si>
    <t>SEMME_CGFO</t>
  </si>
  <si>
    <t>ZIG_2082</t>
  </si>
  <si>
    <t>SINDIAN</t>
  </si>
  <si>
    <t>TMB_2089</t>
  </si>
  <si>
    <t>SINTHIANG_KOUNDARA</t>
  </si>
  <si>
    <t>ORG_2094</t>
  </si>
  <si>
    <t>SINTHIOU_BAMAMBE</t>
  </si>
  <si>
    <t>KLK_2124</t>
  </si>
  <si>
    <t>SOKONE01</t>
  </si>
  <si>
    <t>DKR_2132</t>
  </si>
  <si>
    <t>SONATEL_ACADEMY</t>
  </si>
  <si>
    <t>DKR_2153</t>
  </si>
  <si>
    <t>STATION_GANDOUL02</t>
  </si>
  <si>
    <t>AKSA - AP33</t>
  </si>
  <si>
    <t>STL_2157</t>
  </si>
  <si>
    <t>STL02_AR</t>
  </si>
  <si>
    <t>DKR_2184</t>
  </si>
  <si>
    <t>SUD_FOIRE01</t>
  </si>
  <si>
    <t>CATERPILLAR - DE200DE0</t>
  </si>
  <si>
    <t>THS_2199</t>
  </si>
  <si>
    <t>TAIBA_NDIAYE</t>
  </si>
  <si>
    <t>KLK_2203</t>
  </si>
  <si>
    <t>TAIBA_NIASSENE</t>
  </si>
  <si>
    <t>TMB_2216</t>
  </si>
  <si>
    <t>TAMBA01</t>
  </si>
  <si>
    <t>SDMO - J220</t>
  </si>
  <si>
    <t>DKR_2272</t>
  </si>
  <si>
    <t>THIAROYE_AGENCE</t>
  </si>
  <si>
    <t>SDMO - V440</t>
  </si>
  <si>
    <t>THS_2297</t>
  </si>
  <si>
    <t>THIENABA</t>
  </si>
  <si>
    <t>AKSA - AK232</t>
  </si>
  <si>
    <t>DBL_2298</t>
  </si>
  <si>
    <t>THIENABA_GOSSAS</t>
  </si>
  <si>
    <t>KLK_2310</t>
  </si>
  <si>
    <t>THILLA_GARANG</t>
  </si>
  <si>
    <t>DBL_2316</t>
  </si>
  <si>
    <t>THIOLE_FALL</t>
  </si>
  <si>
    <t>ZIG_2321</t>
  </si>
  <si>
    <t>THIONK_ESSYL</t>
  </si>
  <si>
    <t>THS_2331</t>
  </si>
  <si>
    <t>THS01_FH</t>
  </si>
  <si>
    <t>THS_2394</t>
  </si>
  <si>
    <t>TIVAOUANE01</t>
  </si>
  <si>
    <t>DBL_2403</t>
  </si>
  <si>
    <t>TOUBA_ALIA</t>
  </si>
  <si>
    <t>DBL_2437</t>
  </si>
  <si>
    <t>TOUBA_MOSQUEE01_CENTRAL</t>
  </si>
  <si>
    <t>DBL_2463</t>
  </si>
  <si>
    <t>TOUBA01</t>
  </si>
  <si>
    <t>SDMO |J220K</t>
  </si>
  <si>
    <t>KLK_2466</t>
  </si>
  <si>
    <t>TOUBACOUTA</t>
  </si>
  <si>
    <t>DKR_2510</t>
  </si>
  <si>
    <t>VDN_ACDP</t>
  </si>
  <si>
    <t>E1_E2_GG</t>
  </si>
  <si>
    <t>SDMO--J66K</t>
  </si>
  <si>
    <t>ZIG_2594</t>
  </si>
  <si>
    <t>ZIG_AGENCE</t>
  </si>
  <si>
    <t>CATERPILLAR - DE65E0</t>
  </si>
  <si>
    <t>ZIG_2598</t>
  </si>
  <si>
    <t>ZIG02</t>
  </si>
  <si>
    <t>KLK_2654</t>
  </si>
  <si>
    <t>MBOULOUGNE_DIAWANDOU</t>
  </si>
  <si>
    <t>STL_2655</t>
  </si>
  <si>
    <t>NDIMB_MBODIENE</t>
  </si>
  <si>
    <t>STL_2669</t>
  </si>
  <si>
    <t>DAROU NDIAYE</t>
  </si>
  <si>
    <t>KLK_2680</t>
  </si>
  <si>
    <t>KEUR_MABA_DIAKHOU</t>
  </si>
  <si>
    <t>KLK_2717</t>
  </si>
  <si>
    <t>DIAKSAO_SALOUM</t>
  </si>
  <si>
    <t>STL_2727</t>
  </si>
  <si>
    <t>GASSANE_SEYE</t>
  </si>
  <si>
    <t>TMB_2725</t>
  </si>
  <si>
    <t>BANTAKHO_COUTA02</t>
  </si>
  <si>
    <t>KLK_2723</t>
  </si>
  <si>
    <t>DJILEKHAR</t>
  </si>
  <si>
    <t>BTS-23</t>
  </si>
  <si>
    <t>Off-Grid</t>
  </si>
  <si>
    <t>KLK_2726</t>
  </si>
  <si>
    <t>KEUR_ALY_SAMBA</t>
  </si>
  <si>
    <t>DBL_2733</t>
  </si>
  <si>
    <t>KHOURR_MBACKE</t>
  </si>
  <si>
    <t>PRAMAC | GDW50</t>
  </si>
  <si>
    <t>KLK_2731</t>
  </si>
  <si>
    <t>KOUYANNE_KANDJI</t>
  </si>
  <si>
    <t>STL_2754</t>
  </si>
  <si>
    <t>NGANA_SALL</t>
  </si>
  <si>
    <t>STL_2760</t>
  </si>
  <si>
    <t>PALLENE_DEDE</t>
  </si>
  <si>
    <t>KLK_2739</t>
  </si>
  <si>
    <t>SEGRE_SECCO</t>
  </si>
  <si>
    <t>KLK_2742</t>
  </si>
  <si>
    <t>TOUBA_MBELLA</t>
  </si>
  <si>
    <t>STL_2735</t>
  </si>
  <si>
    <t>DAROU_SALAM_MAURE</t>
  </si>
  <si>
    <t>STL_2744</t>
  </si>
  <si>
    <t>KEBE_NDEUTH</t>
  </si>
  <si>
    <t>KDG_2700</t>
  </si>
  <si>
    <t>KHARAKHAYNI02</t>
  </si>
  <si>
    <t>PRAMAC | GDW35</t>
  </si>
  <si>
    <t>KDG_2702</t>
  </si>
  <si>
    <t>LAMINIA</t>
  </si>
  <si>
    <t>KDG_2701</t>
  </si>
  <si>
    <t>BAYTILAYE</t>
  </si>
  <si>
    <t>THS_2743</t>
  </si>
  <si>
    <t>BITIVE</t>
  </si>
  <si>
    <t>STL_2758</t>
  </si>
  <si>
    <t>OUASSA_MASSA</t>
  </si>
  <si>
    <t>STL_2763</t>
  </si>
  <si>
    <t>PEKH_TALL</t>
  </si>
  <si>
    <t>STL_2745</t>
  </si>
  <si>
    <t>NDIAOUSSIR_LEBOU (Ex_KEUR_BARKA)</t>
  </si>
  <si>
    <t>STL_2750</t>
  </si>
  <si>
    <t>MAKA_BRA_GUEYE_I</t>
  </si>
  <si>
    <t>STL_2764</t>
  </si>
  <si>
    <t>SAMBA_SADIO_PEULH</t>
  </si>
  <si>
    <t>ZIG_2706</t>
  </si>
  <si>
    <t>NIAMBALANG</t>
  </si>
  <si>
    <t>STL_2773</t>
  </si>
  <si>
    <t>THIEYENE_DJOLOF</t>
  </si>
  <si>
    <t>KDG_2707</t>
  </si>
  <si>
    <t>Bondala</t>
  </si>
  <si>
    <t>OG24</t>
  </si>
  <si>
    <t>KDG_2712</t>
  </si>
  <si>
    <t>DYABOUGOU_Frontiere</t>
  </si>
  <si>
    <t>PRAMAC - GDW35</t>
  </si>
  <si>
    <t>KDG_2709</t>
  </si>
  <si>
    <t>Mouran</t>
  </si>
  <si>
    <t>KLK_2789</t>
  </si>
  <si>
    <t>DIAMAGADIO</t>
  </si>
  <si>
    <t>BKL_2751</t>
  </si>
  <si>
    <t>AROUNDOU</t>
  </si>
  <si>
    <t>Sites existants  Batch 2</t>
  </si>
  <si>
    <t>THS_2751</t>
  </si>
  <si>
    <t>HOTEL_RIU</t>
  </si>
  <si>
    <t>CUGBIR GENERATOR - GJP22</t>
  </si>
  <si>
    <t>THS_2747</t>
  </si>
  <si>
    <t>KEUR_BALLA_LO</t>
  </si>
  <si>
    <t>KLK_2747</t>
  </si>
  <si>
    <t>KHELCOM_BIRAME</t>
  </si>
  <si>
    <t>KLK_2744</t>
  </si>
  <si>
    <t>MEDINA_SY</t>
  </si>
  <si>
    <t>KLK_2745</t>
  </si>
  <si>
    <t>NDAIWARA_AL_KALY</t>
  </si>
  <si>
    <t>KDG_2714</t>
  </si>
  <si>
    <t>Bokhodi</t>
  </si>
  <si>
    <t>OG25</t>
  </si>
  <si>
    <t>KDG_2723</t>
  </si>
  <si>
    <t>DIAKHALING</t>
  </si>
  <si>
    <t>KLK_2727</t>
  </si>
  <si>
    <t>KEUR_SABASSY_THIAM</t>
  </si>
  <si>
    <t>THS_2757</t>
  </si>
  <si>
    <t>MBEURLEUP</t>
  </si>
  <si>
    <t>KDG_2725</t>
  </si>
  <si>
    <t>BOTO_GOLD</t>
  </si>
  <si>
    <t>KDG_2717</t>
  </si>
  <si>
    <t>TINKOTO_TANDA02</t>
  </si>
  <si>
    <t>A_Ax_GG S1</t>
  </si>
  <si>
    <t>ZIG_2722</t>
  </si>
  <si>
    <t>MANGAGOULACK_RS</t>
  </si>
  <si>
    <t>Sites existants Batch 3</t>
  </si>
  <si>
    <t>A_Ax_S1</t>
  </si>
  <si>
    <t>KDG_2713</t>
  </si>
  <si>
    <t>LAFIYA</t>
  </si>
  <si>
    <t>KDG_2715</t>
  </si>
  <si>
    <t>DAMBALA_SEKHOTO02</t>
  </si>
  <si>
    <t>DKR_2842</t>
  </si>
  <si>
    <t>FONDATION_SONATEL_REMP</t>
  </si>
  <si>
    <t>Sites existants Batch 4</t>
  </si>
  <si>
    <t>KDG_2748</t>
  </si>
  <si>
    <t>BONDALA02</t>
  </si>
  <si>
    <t>OG26</t>
  </si>
  <si>
    <t xml:space="preserve">		KDG_2763	</t>
  </si>
  <si>
    <t>GAREBOUREA</t>
  </si>
  <si>
    <t>KDG_2750</t>
  </si>
  <si>
    <t>KHARAKHAYN03</t>
  </si>
  <si>
    <t>KDG_2751</t>
  </si>
  <si>
    <t>MOURAN02</t>
  </si>
  <si>
    <t>KDG_2747</t>
  </si>
  <si>
    <t>BANTANKHO</t>
  </si>
  <si>
    <t>Non</t>
  </si>
  <si>
    <t>KEDOUGOU</t>
  </si>
  <si>
    <t>TAMBACOUNDA</t>
  </si>
  <si>
    <t>KDG_2749</t>
  </si>
  <si>
    <t>BOUNTOUNG</t>
  </si>
  <si>
    <t>KDG_2752</t>
  </si>
  <si>
    <t>SANSAMBA</t>
  </si>
  <si>
    <t>KDG_2753</t>
  </si>
  <si>
    <t>TINKOTO_TANDA03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</si>
</sst>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_(* #,##0.00_);_(* \(#,##0.00\);_(* &quot;-&quot;??_);_(@_)"/>
    <numFmt numFmtId="166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theme="1"/>
      <name val="Calibri"/>
      <family val="2"/>
      <scheme val="minor"/>
    </font>
    <font>
      <sz val="8"/>
      <name val="Bahnschrift Condensed"/>
      <family val="2"/>
    </font>
    <font>
      <b/>
      <sz val="14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 tint="-4.9989318521683403E-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vertical="center"/>
    </xf>
    <xf numFmtId="166" fontId="10" fillId="0" borderId="3" xfId="2" applyNumberFormat="1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1" fontId="4" fillId="2" borderId="3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1" fontId="0" fillId="0" borderId="3" xfId="0" applyNumberFormat="1" applyBorder="1"/>
    <xf numFmtId="0" fontId="0" fillId="0" borderId="3" xfId="0" applyBorder="1" applyAlignment="1">
      <alignment horizontal="left" wrapText="1"/>
    </xf>
    <xf numFmtId="166" fontId="9" fillId="0" borderId="3" xfId="2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</cellXfs>
  <cellStyles count="4">
    <cellStyle name="% 2" xfId="3" xr:uid="{38E73674-85E9-49B5-93C8-E232DFAA5478}"/>
    <cellStyle name="Milliers 2" xfId="2" xr:uid="{924BCE1D-1C77-4001-9D67-95961FDACA3B}"/>
    <cellStyle name="Normal" xfId="0" builtinId="0"/>
    <cellStyle name="Normal 3 2" xfId="1" xr:uid="{DA6B3986-EA36-4562-AD39-F294F76FA2E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eployment%20Esco%20Senegal\01082026%20Modernisation%20synthese.xlsx" TargetMode="External"/><Relationship Id="rId1" Type="http://schemas.openxmlformats.org/officeDocument/2006/relationships/externalLinkPath" Target="file:///E:\Deployment%20Esco%20Senegal\01082026%20Modernisation%20synthe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ypo (3)"/>
      <sheetName val="Typo (4)"/>
      <sheetName val="Synthese suivi modernisation"/>
      <sheetName val="Feuil32"/>
      <sheetName val="Feuil34"/>
      <sheetName val="Feuil33"/>
      <sheetName val="Feuil30"/>
      <sheetName val="Feuil15"/>
      <sheetName val="Feuil5"/>
      <sheetName val="Feuil28"/>
      <sheetName val="Feuil26"/>
      <sheetName val="Feuil22"/>
      <sheetName val="Feuil31"/>
      <sheetName val="Feuil23"/>
      <sheetName val="Feuil29"/>
      <sheetName val="Feuil10"/>
      <sheetName val="ESCO SN _ sites retirés année 2"/>
      <sheetName val="Feuil25"/>
      <sheetName val="Feuil2"/>
      <sheetName val="Feuil24"/>
      <sheetName val="Feuil27"/>
      <sheetName val="Feuil13"/>
      <sheetName val="Feuil4"/>
      <sheetName val="Feuil3"/>
      <sheetName val="Feuil1"/>
      <sheetName val="Feuil9"/>
      <sheetName val="COLOC"/>
      <sheetName val="TYPO CH SONATEL"/>
      <sheetName val="blocage bailleur"/>
      <sheetName val="dpc"/>
      <sheetName val="BoQ suivi"/>
      <sheetName val="Feuil6"/>
      <sheetName val="deployment"/>
      <sheetName val="Installation O&amp;M"/>
      <sheetName val="Extension sOLAR"/>
      <sheetName val="Rollout"/>
      <sheetName val="Feuil21"/>
      <sheetName val="Recapex"/>
      <sheetName val="Recap sur D2"/>
      <sheetName val="D2 Prioritaires "/>
      <sheetName val="Magal&amp;Gamou"/>
      <sheetName val="Batteries Vandalisés"/>
      <sheetName val="new sites"/>
      <sheetName val="New site 18 sites"/>
      <sheetName val="Feuil19"/>
      <sheetName val="Feuil20"/>
      <sheetName val="Feuil18"/>
      <sheetName val="Feuil11"/>
      <sheetName val="Changement typolo Cisse"/>
      <sheetName val="Feuil17"/>
      <sheetName val="Feuil16"/>
      <sheetName val="Feuil14"/>
      <sheetName val="PV Sonatel"/>
      <sheetName val="Extension"/>
      <sheetName val="Feuil8"/>
      <sheetName val="Feuil7"/>
      <sheetName val="Vandalisés"/>
      <sheetName val="Feuil12"/>
      <sheetName val="D22"/>
      <sheetName val="AC"/>
      <sheetName val="AC Anis"/>
      <sheetName val="AC stan"/>
      <sheetName val="Suivi Batteries Lithiums D2)"/>
      <sheetName val="Change Typo"/>
      <sheetName val="Typo"/>
      <sheetName val="materials"/>
      <sheetName val="Setting batteries"/>
      <sheetName val="Surface PV"/>
      <sheetName val="Outdoor"/>
      <sheetName val="PO"/>
      <sheetName val="Typo (2)"/>
      <sheetName val="Synthese suivi modernisatio (3)"/>
      <sheetName val="Synthese suivi modernisatio (2)"/>
      <sheetName val="Liste"/>
      <sheetName val="Feuil1 (2)"/>
    </sheetNames>
    <sheetDataSet>
      <sheetData sheetId="0"/>
      <sheetData sheetId="1"/>
      <sheetData sheetId="2">
        <row r="3">
          <cell r="A3" t="str">
            <v>Site ID</v>
          </cell>
          <cell r="S3" t="str">
            <v xml:space="preserve">Ville </v>
          </cell>
          <cell r="T3" t="str">
            <v xml:space="preserve">Région O&amp;M </v>
          </cell>
        </row>
        <row r="4">
          <cell r="A4" t="str">
            <v>KLD_0001</v>
          </cell>
          <cell r="S4" t="str">
            <v>VELINGARA</v>
          </cell>
          <cell r="T4" t="str">
            <v>ZIGUINCHOR</v>
          </cell>
        </row>
        <row r="5">
          <cell r="A5" t="str">
            <v>ZIG_0002</v>
          </cell>
          <cell r="S5" t="str">
            <v>ZIGUINCHOR</v>
          </cell>
          <cell r="T5" t="str">
            <v>ZIGUINCHOR</v>
          </cell>
        </row>
        <row r="6">
          <cell r="A6" t="str">
            <v>STL_2786</v>
          </cell>
          <cell r="S6" t="str">
            <v>LINGUERE</v>
          </cell>
          <cell r="T6" t="str">
            <v>SAINT-LOUIS</v>
          </cell>
        </row>
        <row r="7">
          <cell r="A7" t="str">
            <v>DKR_0003</v>
          </cell>
          <cell r="S7" t="str">
            <v>SACRE_COEUR</v>
          </cell>
          <cell r="T7" t="str">
            <v>DAKAR</v>
          </cell>
        </row>
        <row r="8">
          <cell r="A8" t="str">
            <v>BKL_0004</v>
          </cell>
          <cell r="S8" t="str">
            <v>BAKEL</v>
          </cell>
          <cell r="T8" t="str">
            <v>SAINT-LOUIS</v>
          </cell>
        </row>
        <row r="9">
          <cell r="A9" t="str">
            <v>ZIG_0005</v>
          </cell>
          <cell r="S9" t="str">
            <v>ZIGUINCHOR</v>
          </cell>
          <cell r="T9" t="str">
            <v>ZIGUINCHOR</v>
          </cell>
        </row>
        <row r="10">
          <cell r="A10" t="str">
            <v>NDM_0006</v>
          </cell>
          <cell r="S10" t="str">
            <v>NDIOUM</v>
          </cell>
          <cell r="T10" t="str">
            <v>SAINT-LOUIS</v>
          </cell>
        </row>
        <row r="11">
          <cell r="A11" t="str">
            <v>DBL_0007</v>
          </cell>
          <cell r="S11" t="str">
            <v>LINGUERE</v>
          </cell>
          <cell r="T11" t="str">
            <v>SAINT-LOUIS</v>
          </cell>
        </row>
        <row r="12">
          <cell r="A12" t="str">
            <v>ZIG_0008</v>
          </cell>
          <cell r="S12" t="str">
            <v>ZIGUINCHOR</v>
          </cell>
          <cell r="T12" t="str">
            <v>ZIGUINCHOR</v>
          </cell>
        </row>
        <row r="13">
          <cell r="A13" t="str">
            <v>KLD_0009</v>
          </cell>
          <cell r="S13" t="str">
            <v>VELINGARA</v>
          </cell>
          <cell r="T13" t="str">
            <v>ZIGUINCHOR</v>
          </cell>
        </row>
        <row r="14">
          <cell r="A14" t="str">
            <v>MBR_0010</v>
          </cell>
          <cell r="S14" t="str">
            <v>MBOUR</v>
          </cell>
          <cell r="T14" t="str">
            <v>THIES</v>
          </cell>
        </row>
        <row r="15">
          <cell r="A15" t="str">
            <v>DKR_2841</v>
          </cell>
          <cell r="S15" t="str">
            <v>DAKAR</v>
          </cell>
          <cell r="T15" t="str">
            <v>DAKAR</v>
          </cell>
        </row>
        <row r="16">
          <cell r="A16" t="str">
            <v>DBL_2809</v>
          </cell>
          <cell r="S16" t="str">
            <v>DAKAR</v>
          </cell>
          <cell r="T16" t="str">
            <v>DAKAR</v>
          </cell>
        </row>
        <row r="17">
          <cell r="A17" t="str">
            <v>ORG_0011</v>
          </cell>
          <cell r="S17" t="str">
            <v>MATAM</v>
          </cell>
          <cell r="T17" t="str">
            <v>SAINT-LOUIS</v>
          </cell>
        </row>
        <row r="18">
          <cell r="A18" t="str">
            <v>THS_0012</v>
          </cell>
          <cell r="S18" t="str">
            <v>MBOUR</v>
          </cell>
          <cell r="T18" t="str">
            <v>THIES</v>
          </cell>
        </row>
        <row r="19">
          <cell r="A19" t="str">
            <v>THS_0013</v>
          </cell>
          <cell r="S19" t="str">
            <v>MBOUR</v>
          </cell>
          <cell r="T19" t="str">
            <v>THIES</v>
          </cell>
        </row>
        <row r="20">
          <cell r="A20" t="str">
            <v>THS_0014</v>
          </cell>
          <cell r="S20" t="str">
            <v>MBOUR</v>
          </cell>
          <cell r="T20" t="str">
            <v>THIES</v>
          </cell>
        </row>
        <row r="21">
          <cell r="A21" t="str">
            <v>KLD_0015</v>
          </cell>
          <cell r="S21" t="str">
            <v>VELINGARA</v>
          </cell>
          <cell r="T21" t="str">
            <v>ZIGUINCHOR</v>
          </cell>
        </row>
        <row r="22">
          <cell r="A22" t="str">
            <v>TMB_0016</v>
          </cell>
          <cell r="S22" t="str">
            <v>TAMBA</v>
          </cell>
          <cell r="T22" t="str">
            <v>TAMBACOUNDA</v>
          </cell>
        </row>
        <row r="23">
          <cell r="A23" t="str">
            <v>KLK_0017</v>
          </cell>
          <cell r="S23" t="str">
            <v>KAFFRINE</v>
          </cell>
          <cell r="T23" t="str">
            <v>KAOLACK</v>
          </cell>
        </row>
        <row r="24">
          <cell r="A24" t="str">
            <v>THS_2742</v>
          </cell>
          <cell r="S24" t="str">
            <v>TIVAOUANE</v>
          </cell>
          <cell r="T24" t="str">
            <v>THIES</v>
          </cell>
        </row>
        <row r="25">
          <cell r="A25" t="str">
            <v>KLK_0018</v>
          </cell>
          <cell r="S25" t="str">
            <v>KAFFRINE</v>
          </cell>
          <cell r="T25" t="str">
            <v>KAOLACK</v>
          </cell>
        </row>
        <row r="26">
          <cell r="A26" t="str">
            <v>TMB_0019</v>
          </cell>
          <cell r="S26" t="str">
            <v>GOUDIRY</v>
          </cell>
          <cell r="T26" t="str">
            <v>TAMBACOUNDA</v>
          </cell>
        </row>
        <row r="27">
          <cell r="A27" t="str">
            <v>TMB_2812</v>
          </cell>
          <cell r="S27" t="str">
            <v>TAMBACOUNDA</v>
          </cell>
          <cell r="T27" t="str">
            <v>TAMBACOUNDA</v>
          </cell>
        </row>
        <row r="28">
          <cell r="A28" t="str">
            <v>KLK_0020</v>
          </cell>
          <cell r="S28" t="str">
            <v>KAOLACK</v>
          </cell>
          <cell r="T28" t="str">
            <v>KAOLACK</v>
          </cell>
        </row>
        <row r="29">
          <cell r="A29" t="str">
            <v>ZIG_0021</v>
          </cell>
          <cell r="S29" t="str">
            <v>ZIGUINCHOR</v>
          </cell>
          <cell r="T29" t="str">
            <v>ZIGUINCHOR</v>
          </cell>
        </row>
        <row r="30">
          <cell r="A30" t="str">
            <v>DKR_0022</v>
          </cell>
          <cell r="S30" t="str">
            <v>OUAKAM</v>
          </cell>
          <cell r="T30" t="str">
            <v>DAKAR</v>
          </cell>
        </row>
        <row r="31">
          <cell r="A31" t="str">
            <v>DKR_0023</v>
          </cell>
          <cell r="S31" t="str">
            <v>OUAKAM</v>
          </cell>
          <cell r="T31" t="str">
            <v>DAKAR</v>
          </cell>
        </row>
        <row r="32">
          <cell r="A32" t="str">
            <v>DKR_0024</v>
          </cell>
          <cell r="S32" t="str">
            <v>OUAKAM</v>
          </cell>
          <cell r="T32" t="str">
            <v>DAKAR</v>
          </cell>
        </row>
        <row r="33">
          <cell r="A33" t="str">
            <v>DKR_0025</v>
          </cell>
          <cell r="S33" t="str">
            <v>OUAKAM</v>
          </cell>
          <cell r="T33" t="str">
            <v>DAKAR</v>
          </cell>
        </row>
        <row r="34">
          <cell r="A34" t="str">
            <v>DKR_0026</v>
          </cell>
          <cell r="S34" t="str">
            <v>OUAKAM</v>
          </cell>
          <cell r="T34" t="str">
            <v>DAKAR</v>
          </cell>
        </row>
        <row r="35">
          <cell r="A35" t="str">
            <v>DKR_0027</v>
          </cell>
          <cell r="S35" t="str">
            <v>OUAKAM</v>
          </cell>
          <cell r="T35" t="str">
            <v>DAKAR</v>
          </cell>
        </row>
        <row r="36">
          <cell r="A36" t="str">
            <v>DKR_0028</v>
          </cell>
          <cell r="S36" t="str">
            <v>OUAKAM</v>
          </cell>
          <cell r="T36" t="str">
            <v>DAKAR</v>
          </cell>
        </row>
        <row r="37">
          <cell r="A37" t="str">
            <v>DKR_0029</v>
          </cell>
          <cell r="S37" t="str">
            <v>OUAKAM</v>
          </cell>
          <cell r="T37" t="str">
            <v>DAKAR</v>
          </cell>
        </row>
        <row r="38">
          <cell r="A38" t="str">
            <v>DKR_0030</v>
          </cell>
          <cell r="S38" t="str">
            <v>OUAKAM</v>
          </cell>
          <cell r="T38" t="str">
            <v>DAKAR</v>
          </cell>
        </row>
        <row r="39">
          <cell r="A39" t="str">
            <v>DKR_2785</v>
          </cell>
          <cell r="S39" t="str">
            <v>THIAROYE</v>
          </cell>
          <cell r="T39" t="str">
            <v>DAKAR</v>
          </cell>
        </row>
        <row r="40">
          <cell r="A40" t="str">
            <v>THS_0031</v>
          </cell>
          <cell r="S40" t="str">
            <v>THIES</v>
          </cell>
          <cell r="T40" t="str">
            <v>THIES</v>
          </cell>
        </row>
        <row r="41">
          <cell r="A41" t="str">
            <v>STL_2730</v>
          </cell>
          <cell r="S41" t="str">
            <v>SAINT-LOUIS</v>
          </cell>
          <cell r="T41" t="str">
            <v>SAINT-LOUIS</v>
          </cell>
        </row>
        <row r="42">
          <cell r="A42" t="str">
            <v>ORG_2550</v>
          </cell>
          <cell r="S42" t="str">
            <v>MATAM</v>
          </cell>
          <cell r="T42" t="str">
            <v>SAINT-LOUIS</v>
          </cell>
        </row>
        <row r="43">
          <cell r="A43" t="str">
            <v>ORG_0033</v>
          </cell>
          <cell r="S43" t="str">
            <v>MATAM</v>
          </cell>
          <cell r="T43" t="str">
            <v>SAINT-LOUIS</v>
          </cell>
        </row>
        <row r="44">
          <cell r="A44" t="str">
            <v>ORG_0034</v>
          </cell>
          <cell r="S44" t="str">
            <v>MATAM</v>
          </cell>
          <cell r="T44" t="str">
            <v>SAINT-LOUIS</v>
          </cell>
        </row>
        <row r="45">
          <cell r="A45" t="str">
            <v>ZIG_2635</v>
          </cell>
          <cell r="S45" t="str">
            <v>VELINGARA</v>
          </cell>
          <cell r="T45" t="str">
            <v>ZIGUINCHOR</v>
          </cell>
        </row>
        <row r="46">
          <cell r="A46" t="str">
            <v>KLD_0035</v>
          </cell>
          <cell r="S46" t="str">
            <v>VELINGARA</v>
          </cell>
          <cell r="T46" t="str">
            <v>ZIGUINCHOR</v>
          </cell>
        </row>
        <row r="47">
          <cell r="A47" t="str">
            <v>DKR_2721</v>
          </cell>
          <cell r="S47" t="str">
            <v>OUAKAM</v>
          </cell>
          <cell r="T47" t="str">
            <v>DAKAR</v>
          </cell>
        </row>
        <row r="48">
          <cell r="A48" t="str">
            <v>THS_0036</v>
          </cell>
          <cell r="S48" t="str">
            <v>TIVAOUANE</v>
          </cell>
          <cell r="T48" t="str">
            <v>THIES</v>
          </cell>
        </row>
        <row r="49">
          <cell r="A49" t="str">
            <v>STL_2715</v>
          </cell>
          <cell r="S49" t="str">
            <v>MATAM</v>
          </cell>
          <cell r="T49" t="str">
            <v>SAINT-LOUIS</v>
          </cell>
        </row>
        <row r="50">
          <cell r="A50" t="str">
            <v>ORG_0037</v>
          </cell>
          <cell r="S50" t="str">
            <v>BAKEL</v>
          </cell>
          <cell r="T50" t="str">
            <v>SAINT-LOUIS</v>
          </cell>
        </row>
        <row r="51">
          <cell r="A51" t="str">
            <v>ORG_2566</v>
          </cell>
          <cell r="S51" t="str">
            <v>BAKEL</v>
          </cell>
          <cell r="T51" t="str">
            <v>SAINT-LOUIS</v>
          </cell>
        </row>
        <row r="52">
          <cell r="A52" t="str">
            <v>DBL_0038</v>
          </cell>
          <cell r="S52" t="str">
            <v>TOUBA02</v>
          </cell>
          <cell r="T52" t="str">
            <v>THIES</v>
          </cell>
        </row>
        <row r="53">
          <cell r="A53" t="str">
            <v>STL_2731</v>
          </cell>
          <cell r="S53" t="str">
            <v>TOUBA</v>
          </cell>
          <cell r="T53" t="str">
            <v>THIES</v>
          </cell>
        </row>
        <row r="54">
          <cell r="A54" t="str">
            <v>STL_2784</v>
          </cell>
          <cell r="S54" t="str">
            <v>NDIOUM</v>
          </cell>
          <cell r="T54" t="str">
            <v>SAINT-LOUIS</v>
          </cell>
        </row>
        <row r="55">
          <cell r="A55" t="str">
            <v>DKR_0039</v>
          </cell>
          <cell r="S55" t="str">
            <v>MEDINA</v>
          </cell>
          <cell r="T55" t="str">
            <v>DAKAR</v>
          </cell>
        </row>
        <row r="56">
          <cell r="A56" t="str">
            <v>DKR_0040</v>
          </cell>
          <cell r="S56" t="str">
            <v>THIAROYE</v>
          </cell>
          <cell r="T56" t="str">
            <v>DAKAR</v>
          </cell>
        </row>
        <row r="57">
          <cell r="A57" t="str">
            <v>BKL_2751</v>
          </cell>
          <cell r="S57" t="str">
            <v>OUROSSOGUI</v>
          </cell>
          <cell r="T57" t="str">
            <v>SAINT-LOUIS</v>
          </cell>
        </row>
        <row r="58">
          <cell r="A58" t="str">
            <v>DKR_0041</v>
          </cell>
          <cell r="S58" t="str">
            <v>MEDINA</v>
          </cell>
          <cell r="T58" t="str">
            <v>DAKAR</v>
          </cell>
        </row>
        <row r="59">
          <cell r="A59" t="str">
            <v>DKR_0042</v>
          </cell>
          <cell r="S59" t="str">
            <v>MEDINA</v>
          </cell>
          <cell r="T59" t="str">
            <v>DAKAR</v>
          </cell>
        </row>
        <row r="60">
          <cell r="A60" t="str">
            <v>DKR_0043</v>
          </cell>
          <cell r="S60" t="str">
            <v>MEDINA</v>
          </cell>
          <cell r="T60" t="str">
            <v>DAKAR</v>
          </cell>
        </row>
        <row r="61">
          <cell r="A61" t="str">
            <v>KDG_0045</v>
          </cell>
          <cell r="S61" t="str">
            <v>KEDOUGOU</v>
          </cell>
          <cell r="T61" t="str">
            <v>TAMBACOUNDA</v>
          </cell>
        </row>
        <row r="62">
          <cell r="A62" t="str">
            <v>THS_0046</v>
          </cell>
          <cell r="S62" t="str">
            <v>THIES</v>
          </cell>
          <cell r="T62" t="str">
            <v>THIES</v>
          </cell>
        </row>
        <row r="63">
          <cell r="A63" t="str">
            <v>DKR_0047</v>
          </cell>
          <cell r="S63" t="str">
            <v>RUFISQUE</v>
          </cell>
          <cell r="T63" t="str">
            <v>DAKAR</v>
          </cell>
        </row>
        <row r="64">
          <cell r="A64" t="str">
            <v>DKR_0048</v>
          </cell>
          <cell r="S64" t="str">
            <v>RUFISQUE</v>
          </cell>
          <cell r="T64" t="str">
            <v>DAKAR</v>
          </cell>
        </row>
        <row r="65">
          <cell r="A65" t="str">
            <v>DKR_0049</v>
          </cell>
          <cell r="S65" t="str">
            <v>RUFISQUE</v>
          </cell>
          <cell r="T65" t="str">
            <v>DAKAR</v>
          </cell>
        </row>
        <row r="66">
          <cell r="A66" t="str">
            <v>MBR_0050</v>
          </cell>
          <cell r="S66" t="str">
            <v>MBOUR</v>
          </cell>
          <cell r="T66" t="str">
            <v>THIES</v>
          </cell>
        </row>
        <row r="67">
          <cell r="A67" t="str">
            <v>THS_0051</v>
          </cell>
          <cell r="S67" t="str">
            <v>THIES</v>
          </cell>
          <cell r="T67" t="str">
            <v>THIES</v>
          </cell>
        </row>
        <row r="68">
          <cell r="A68" t="str">
            <v>MBR_0052</v>
          </cell>
          <cell r="S68" t="str">
            <v>MBOUR</v>
          </cell>
          <cell r="T68" t="str">
            <v>THIES</v>
          </cell>
        </row>
        <row r="69">
          <cell r="A69" t="str">
            <v>DKR_0053</v>
          </cell>
          <cell r="S69" t="str">
            <v>THIAROYE</v>
          </cell>
          <cell r="T69" t="str">
            <v>DAKAR</v>
          </cell>
        </row>
        <row r="70">
          <cell r="A70" t="str">
            <v>DKR_0054</v>
          </cell>
          <cell r="S70" t="str">
            <v>THIAROYE</v>
          </cell>
          <cell r="T70" t="str">
            <v>DAKAR</v>
          </cell>
        </row>
        <row r="71">
          <cell r="A71" t="str">
            <v>DKR_0055</v>
          </cell>
          <cell r="S71" t="str">
            <v>RUFISQUE</v>
          </cell>
          <cell r="T71" t="str">
            <v>DAKAR</v>
          </cell>
        </row>
        <row r="72">
          <cell r="A72" t="str">
            <v>DKR_0056</v>
          </cell>
          <cell r="S72" t="str">
            <v>RUFISQUE</v>
          </cell>
          <cell r="T72" t="str">
            <v>DAKAR</v>
          </cell>
        </row>
        <row r="73">
          <cell r="A73" t="str">
            <v>DKR_0057</v>
          </cell>
          <cell r="S73" t="str">
            <v>RUFISQUE</v>
          </cell>
          <cell r="T73" t="str">
            <v>DAKAR</v>
          </cell>
        </row>
        <row r="74">
          <cell r="A74" t="str">
            <v>DKR_0058</v>
          </cell>
          <cell r="S74" t="str">
            <v>RUFISQUE</v>
          </cell>
          <cell r="T74" t="str">
            <v>DAKAR</v>
          </cell>
        </row>
        <row r="75">
          <cell r="A75" t="str">
            <v>DKR_0059</v>
          </cell>
          <cell r="S75" t="str">
            <v>RUFISQUE</v>
          </cell>
          <cell r="T75" t="str">
            <v>DAKAR</v>
          </cell>
        </row>
        <row r="76">
          <cell r="A76" t="str">
            <v>DKR_0060</v>
          </cell>
          <cell r="S76" t="str">
            <v>RUFISQUE</v>
          </cell>
          <cell r="T76" t="str">
            <v>DAKAR</v>
          </cell>
        </row>
        <row r="77">
          <cell r="A77" t="str">
            <v>DKR_0061</v>
          </cell>
          <cell r="S77" t="str">
            <v>RUFISQUE</v>
          </cell>
          <cell r="T77" t="str">
            <v>DAKAR</v>
          </cell>
        </row>
        <row r="78">
          <cell r="A78" t="str">
            <v>THS_0062</v>
          </cell>
          <cell r="S78" t="str">
            <v>MBOUR</v>
          </cell>
          <cell r="T78" t="str">
            <v>THIES</v>
          </cell>
        </row>
        <row r="79">
          <cell r="A79" t="str">
            <v>THS_0063</v>
          </cell>
          <cell r="S79" t="str">
            <v>MBOUR</v>
          </cell>
          <cell r="T79" t="str">
            <v>THIES</v>
          </cell>
        </row>
        <row r="80">
          <cell r="A80" t="str">
            <v>NDM_0064</v>
          </cell>
          <cell r="S80" t="str">
            <v>NDIOUM</v>
          </cell>
          <cell r="T80" t="str">
            <v>SAINT-LOUIS</v>
          </cell>
        </row>
        <row r="81">
          <cell r="A81" t="str">
            <v>KDG_0065</v>
          </cell>
          <cell r="S81" t="str">
            <v>KEDOUGOU</v>
          </cell>
          <cell r="T81" t="str">
            <v>TAMBACOUNDA</v>
          </cell>
        </row>
        <row r="82">
          <cell r="A82" t="str">
            <v>TMB_0066</v>
          </cell>
          <cell r="S82" t="str">
            <v>GOUDIRY</v>
          </cell>
          <cell r="T82" t="str">
            <v>TAMBACOUNDA</v>
          </cell>
        </row>
        <row r="83">
          <cell r="A83" t="str">
            <v>TMB_0067</v>
          </cell>
          <cell r="S83" t="str">
            <v>TAMBA</v>
          </cell>
          <cell r="T83" t="str">
            <v>TAMBACOUNDA</v>
          </cell>
        </row>
        <row r="84">
          <cell r="A84" t="str">
            <v>DBL_0068</v>
          </cell>
          <cell r="S84" t="str">
            <v>DIOURBEL</v>
          </cell>
          <cell r="T84" t="str">
            <v>THIES</v>
          </cell>
        </row>
        <row r="85">
          <cell r="A85" t="str">
            <v>THS_2778</v>
          </cell>
          <cell r="S85" t="str">
            <v>THIES</v>
          </cell>
          <cell r="T85" t="str">
            <v>THIES</v>
          </cell>
        </row>
        <row r="86">
          <cell r="A86" t="str">
            <v>DBL_0069</v>
          </cell>
          <cell r="S86" t="str">
            <v>DIOURBEL</v>
          </cell>
          <cell r="T86" t="str">
            <v>THIES</v>
          </cell>
        </row>
        <row r="87">
          <cell r="A87" t="str">
            <v>KDG_0070</v>
          </cell>
          <cell r="S87" t="str">
            <v>KEDOUGOU</v>
          </cell>
          <cell r="T87" t="str">
            <v>TAMBACOUNDA</v>
          </cell>
        </row>
        <row r="88">
          <cell r="A88" t="str">
            <v>KLK_0071</v>
          </cell>
          <cell r="S88" t="str">
            <v>KAOLACK</v>
          </cell>
          <cell r="T88" t="str">
            <v>KAOLACK</v>
          </cell>
        </row>
        <row r="89">
          <cell r="A89" t="str">
            <v>MBR_0072</v>
          </cell>
          <cell r="S89" t="str">
            <v>DIOURBEL</v>
          </cell>
          <cell r="T89" t="str">
            <v>THIES</v>
          </cell>
        </row>
        <row r="90">
          <cell r="A90" t="str">
            <v>ZIG_0073</v>
          </cell>
          <cell r="S90" t="str">
            <v>ZIGUINCHOR</v>
          </cell>
          <cell r="T90" t="str">
            <v>ZIGUINCHOR</v>
          </cell>
        </row>
        <row r="91">
          <cell r="A91" t="str">
            <v>KLD_2750</v>
          </cell>
          <cell r="S91" t="str">
            <v>ZIGUINCHOR</v>
          </cell>
          <cell r="T91" t="str">
            <v>ZIGUINCHOR</v>
          </cell>
        </row>
        <row r="92">
          <cell r="A92" t="str">
            <v>KLD_0074</v>
          </cell>
          <cell r="S92" t="str">
            <v>VELINGARA</v>
          </cell>
          <cell r="T92" t="str">
            <v>ZIGUINCHOR</v>
          </cell>
        </row>
        <row r="93">
          <cell r="A93" t="str">
            <v>KLD_2722</v>
          </cell>
          <cell r="S93" t="str">
            <v>VELINGARA</v>
          </cell>
          <cell r="T93" t="str">
            <v>ZIGUINCHOR</v>
          </cell>
        </row>
        <row r="94">
          <cell r="A94" t="str">
            <v>KLD_0075</v>
          </cell>
          <cell r="S94" t="str">
            <v>VELINGARA</v>
          </cell>
          <cell r="T94" t="str">
            <v>ZIGUINCHOR</v>
          </cell>
        </row>
        <row r="95">
          <cell r="A95" t="str">
            <v>KLD_2723</v>
          </cell>
          <cell r="S95" t="str">
            <v>VELINGARA</v>
          </cell>
          <cell r="T95" t="str">
            <v>ZIGUINCHOR</v>
          </cell>
        </row>
        <row r="96">
          <cell r="A96" t="str">
            <v>KDG_0076</v>
          </cell>
          <cell r="S96" t="str">
            <v>KEDOUGOU</v>
          </cell>
          <cell r="T96" t="str">
            <v>TAMBACOUNDA</v>
          </cell>
        </row>
        <row r="97">
          <cell r="A97" t="str">
            <v>ZIG_0077</v>
          </cell>
          <cell r="S97" t="str">
            <v>ZIGUINCHOR</v>
          </cell>
          <cell r="T97" t="str">
            <v>ZIGUINCHOR</v>
          </cell>
        </row>
        <row r="98">
          <cell r="A98" t="str">
            <v>ZIG_0078</v>
          </cell>
          <cell r="S98" t="str">
            <v>ZIGUINCHOR</v>
          </cell>
          <cell r="T98" t="str">
            <v>ZIGUINCHOR</v>
          </cell>
        </row>
        <row r="99">
          <cell r="A99" t="str">
            <v>ZIG_0079</v>
          </cell>
          <cell r="S99" t="str">
            <v>ZIGUINCHOR</v>
          </cell>
          <cell r="T99" t="str">
            <v>ZIGUINCHOR</v>
          </cell>
        </row>
        <row r="100">
          <cell r="A100" t="str">
            <v>ZIG_0080</v>
          </cell>
          <cell r="S100" t="str">
            <v>ZIGUINCHOR</v>
          </cell>
          <cell r="T100" t="str">
            <v>ZIGUINCHOR</v>
          </cell>
        </row>
        <row r="101">
          <cell r="A101" t="str">
            <v>DBL_2695</v>
          </cell>
          <cell r="S101" t="str">
            <v>TOUBA01</v>
          </cell>
          <cell r="T101" t="str">
            <v>THIES</v>
          </cell>
        </row>
        <row r="102">
          <cell r="A102" t="str">
            <v>KDG_0081</v>
          </cell>
          <cell r="S102" t="str">
            <v>KEDOUGOU</v>
          </cell>
          <cell r="T102" t="str">
            <v>TAMBACOUNDA</v>
          </cell>
        </row>
        <row r="103">
          <cell r="A103" t="str">
            <v>THS_0082</v>
          </cell>
          <cell r="S103" t="str">
            <v>THIES</v>
          </cell>
          <cell r="T103" t="str">
            <v>THIES</v>
          </cell>
        </row>
        <row r="104">
          <cell r="A104" t="str">
            <v>DBL_0083</v>
          </cell>
          <cell r="S104" t="str">
            <v>DIOURBEL</v>
          </cell>
          <cell r="T104" t="str">
            <v>THIES</v>
          </cell>
        </row>
        <row r="105">
          <cell r="A105" t="str">
            <v>THS_0084</v>
          </cell>
          <cell r="S105" t="str">
            <v>TIVAOUANE</v>
          </cell>
          <cell r="T105" t="str">
            <v>THIES</v>
          </cell>
        </row>
        <row r="106">
          <cell r="A106" t="str">
            <v>KDG_0085</v>
          </cell>
          <cell r="S106" t="str">
            <v>KEDOUGOU</v>
          </cell>
          <cell r="T106" t="str">
            <v>TAMBACOUNDA</v>
          </cell>
        </row>
        <row r="107">
          <cell r="A107" t="str">
            <v>BKL_0086</v>
          </cell>
          <cell r="S107" t="str">
            <v>BAKEL</v>
          </cell>
          <cell r="T107" t="str">
            <v>SAINT-LOUIS</v>
          </cell>
        </row>
        <row r="108">
          <cell r="A108" t="str">
            <v>BKL_0087</v>
          </cell>
          <cell r="S108" t="str">
            <v>BAKEL</v>
          </cell>
          <cell r="T108" t="str">
            <v>SAINT-LOUIS</v>
          </cell>
        </row>
        <row r="109">
          <cell r="A109" t="str">
            <v>BKL_0088</v>
          </cell>
          <cell r="S109" t="str">
            <v>BAKEL</v>
          </cell>
          <cell r="T109" t="str">
            <v>SAINT-LOUIS</v>
          </cell>
        </row>
        <row r="110">
          <cell r="A110" t="str">
            <v>BKL_0089</v>
          </cell>
          <cell r="S110" t="str">
            <v>BAKEL</v>
          </cell>
          <cell r="T110" t="str">
            <v>SAINT-LOUIS</v>
          </cell>
        </row>
        <row r="111">
          <cell r="A111" t="str">
            <v>DKR_0090</v>
          </cell>
          <cell r="S111" t="str">
            <v>MEDINA</v>
          </cell>
          <cell r="T111" t="str">
            <v>DAKAR</v>
          </cell>
        </row>
        <row r="112">
          <cell r="A112" t="str">
            <v>DBL_0091</v>
          </cell>
          <cell r="S112" t="str">
            <v>TOUBA01</v>
          </cell>
          <cell r="T112" t="str">
            <v>THIES</v>
          </cell>
        </row>
        <row r="113">
          <cell r="A113" t="str">
            <v>ZIG_0092</v>
          </cell>
          <cell r="S113" t="str">
            <v>ZIGUINCHOR</v>
          </cell>
          <cell r="T113" t="str">
            <v>ZIGUINCHOR</v>
          </cell>
        </row>
        <row r="114">
          <cell r="A114" t="str">
            <v>ZIG_0093</v>
          </cell>
          <cell r="S114" t="str">
            <v>ZIGUINCHOR</v>
          </cell>
          <cell r="T114" t="str">
            <v>ZIGUINCHOR</v>
          </cell>
        </row>
        <row r="115">
          <cell r="A115" t="str">
            <v>STL_0094</v>
          </cell>
          <cell r="S115" t="str">
            <v>SAINT-LOUIS</v>
          </cell>
          <cell r="T115" t="str">
            <v>SAINT-LOUIS</v>
          </cell>
        </row>
        <row r="116">
          <cell r="A116" t="str">
            <v>TMB_0095</v>
          </cell>
          <cell r="S116" t="str">
            <v>KOUNGHEUL</v>
          </cell>
          <cell r="T116" t="str">
            <v>TAMBACOUNDA</v>
          </cell>
        </row>
        <row r="117">
          <cell r="A117" t="str">
            <v>TMB_0096</v>
          </cell>
          <cell r="S117" t="str">
            <v>GOUDIRY</v>
          </cell>
          <cell r="T117" t="str">
            <v>TAMBACOUNDA</v>
          </cell>
        </row>
        <row r="118">
          <cell r="A118" t="str">
            <v>MBR_0097</v>
          </cell>
          <cell r="S118" t="str">
            <v>MBOUR</v>
          </cell>
          <cell r="T118" t="str">
            <v>THIES</v>
          </cell>
        </row>
        <row r="119">
          <cell r="A119" t="str">
            <v>TMB_2727</v>
          </cell>
          <cell r="S119" t="str">
            <v>GOUDIRY</v>
          </cell>
          <cell r="T119" t="str">
            <v>TAMBACOUNDA</v>
          </cell>
        </row>
        <row r="120">
          <cell r="A120" t="str">
            <v>BKL_0098</v>
          </cell>
          <cell r="S120" t="str">
            <v>BAKEL</v>
          </cell>
          <cell r="T120" t="str">
            <v>SAINT-LOUIS</v>
          </cell>
        </row>
        <row r="121">
          <cell r="A121" t="str">
            <v>KLD_2755</v>
          </cell>
          <cell r="S121" t="str">
            <v>KOLDA</v>
          </cell>
          <cell r="T121" t="str">
            <v>ZIGUINCHOR</v>
          </cell>
        </row>
        <row r="122">
          <cell r="A122" t="str">
            <v>KLK_2795</v>
          </cell>
          <cell r="S122" t="str">
            <v>KAOLACK</v>
          </cell>
          <cell r="T122" t="str">
            <v>KAOLACK</v>
          </cell>
        </row>
        <row r="123">
          <cell r="A123" t="str">
            <v>TMB_2701</v>
          </cell>
          <cell r="S123" t="str">
            <v>TAMBA</v>
          </cell>
          <cell r="T123" t="str">
            <v>TAMBACOUNDA</v>
          </cell>
        </row>
        <row r="124">
          <cell r="A124" t="str">
            <v>KDG_0099</v>
          </cell>
          <cell r="S124" t="str">
            <v>KEDOUGOU</v>
          </cell>
          <cell r="T124" t="str">
            <v>TAMBACOUNDA</v>
          </cell>
        </row>
        <row r="125">
          <cell r="A125" t="str">
            <v>KDG_0100</v>
          </cell>
          <cell r="S125" t="str">
            <v>KEDOUGOU</v>
          </cell>
          <cell r="T125" t="str">
            <v>TAMBACOUNDA</v>
          </cell>
        </row>
        <row r="126">
          <cell r="A126" t="str">
            <v>KDG_2711</v>
          </cell>
          <cell r="S126" t="str">
            <v>Kedougou</v>
          </cell>
          <cell r="T126" t="str">
            <v>TAMBACOUNDA</v>
          </cell>
        </row>
        <row r="127">
          <cell r="A127" t="str">
            <v>DBL_0101</v>
          </cell>
          <cell r="S127" t="str">
            <v>DIOURBEL</v>
          </cell>
          <cell r="T127" t="str">
            <v>THIES</v>
          </cell>
        </row>
        <row r="128">
          <cell r="A128" t="str">
            <v>DBL_0102</v>
          </cell>
          <cell r="S128" t="str">
            <v>DIOURBEL</v>
          </cell>
          <cell r="T128" t="str">
            <v>THIES</v>
          </cell>
        </row>
        <row r="129">
          <cell r="A129" t="str">
            <v>DBL_0103</v>
          </cell>
          <cell r="S129" t="str">
            <v>DIOURBEL</v>
          </cell>
          <cell r="T129" t="str">
            <v>THIES</v>
          </cell>
        </row>
        <row r="130">
          <cell r="A130" t="str">
            <v>DBL_0104</v>
          </cell>
          <cell r="S130" t="str">
            <v>DIOURBEL</v>
          </cell>
          <cell r="T130" t="str">
            <v>THIES</v>
          </cell>
        </row>
        <row r="131">
          <cell r="A131" t="str">
            <v>DKR_0105</v>
          </cell>
          <cell r="S131" t="str">
            <v>RUFISQUE</v>
          </cell>
          <cell r="T131" t="str">
            <v>DAKAR</v>
          </cell>
        </row>
        <row r="132">
          <cell r="A132" t="str">
            <v>DKR_2839</v>
          </cell>
          <cell r="S132" t="str">
            <v>DAKAR</v>
          </cell>
          <cell r="T132" t="str">
            <v>DAKAR</v>
          </cell>
        </row>
        <row r="133">
          <cell r="A133" t="str">
            <v>KLK_0106</v>
          </cell>
          <cell r="S133" t="str">
            <v>SOKONE</v>
          </cell>
          <cell r="T133" t="str">
            <v>KAOLACK</v>
          </cell>
        </row>
        <row r="134">
          <cell r="A134" t="str">
            <v>DBL_2807</v>
          </cell>
          <cell r="S134" t="str">
            <v>DIOURBEL</v>
          </cell>
          <cell r="T134" t="str">
            <v>THIES</v>
          </cell>
        </row>
        <row r="135">
          <cell r="A135" t="str">
            <v>TMB_0107</v>
          </cell>
          <cell r="S135" t="str">
            <v>KEDOUGOU</v>
          </cell>
          <cell r="T135" t="str">
            <v>TAMBACOUNDA</v>
          </cell>
        </row>
        <row r="136">
          <cell r="A136" t="str">
            <v>KDG_0108</v>
          </cell>
          <cell r="S136" t="str">
            <v>KEDOUGOU</v>
          </cell>
          <cell r="T136" t="str">
            <v>TAMBACOUNDA</v>
          </cell>
        </row>
        <row r="137">
          <cell r="A137" t="str">
            <v>TMB_0109</v>
          </cell>
          <cell r="S137" t="str">
            <v>KEDOUGOU</v>
          </cell>
          <cell r="T137" t="str">
            <v>TAMBACOUNDA</v>
          </cell>
        </row>
        <row r="138">
          <cell r="A138" t="str">
            <v>STL_0110</v>
          </cell>
          <cell r="S138" t="str">
            <v>LOUGA</v>
          </cell>
          <cell r="T138" t="str">
            <v>SAINT-LOUIS</v>
          </cell>
        </row>
        <row r="139">
          <cell r="A139" t="str">
            <v>TMB_0111</v>
          </cell>
          <cell r="S139" t="str">
            <v>KOUNGHEUL</v>
          </cell>
          <cell r="T139" t="str">
            <v>TAMBACOUNDA</v>
          </cell>
        </row>
        <row r="140">
          <cell r="A140" t="str">
            <v>STL_0112</v>
          </cell>
          <cell r="S140" t="str">
            <v>SAINT-LOUIS</v>
          </cell>
          <cell r="T140" t="str">
            <v>SAINT-LOUIS</v>
          </cell>
        </row>
        <row r="141">
          <cell r="A141" t="str">
            <v>KLK_2820</v>
          </cell>
          <cell r="S141" t="str">
            <v>KAOLACK</v>
          </cell>
          <cell r="T141" t="str">
            <v>KAOLACK</v>
          </cell>
        </row>
        <row r="142">
          <cell r="A142" t="str">
            <v>KDG_0113</v>
          </cell>
          <cell r="S142" t="str">
            <v>KEDOUGOU</v>
          </cell>
          <cell r="T142" t="str">
            <v>TAMBACOUNDA</v>
          </cell>
        </row>
        <row r="143">
          <cell r="A143" t="str">
            <v>STL_0114</v>
          </cell>
          <cell r="S143" t="str">
            <v>LOUGA</v>
          </cell>
          <cell r="T143" t="str">
            <v>SAINT-LOUIS</v>
          </cell>
        </row>
        <row r="144">
          <cell r="A144" t="str">
            <v>TMB_0115</v>
          </cell>
          <cell r="S144" t="str">
            <v>GOUDIRY</v>
          </cell>
          <cell r="T144" t="str">
            <v>TAMBACOUNDA</v>
          </cell>
        </row>
        <row r="145">
          <cell r="A145" t="str">
            <v>KDG_0116</v>
          </cell>
          <cell r="S145" t="str">
            <v>KEDOUGOU</v>
          </cell>
          <cell r="T145" t="str">
            <v>TAMBACOUNDA</v>
          </cell>
        </row>
        <row r="146">
          <cell r="A146" t="str">
            <v>TMB_2725</v>
          </cell>
          <cell r="S146" t="str">
            <v>KEDOUGOU</v>
          </cell>
          <cell r="T146" t="str">
            <v>TAMBACOUNDA</v>
          </cell>
        </row>
        <row r="147">
          <cell r="A147" t="str">
            <v>TMB_2728</v>
          </cell>
          <cell r="S147" t="str">
            <v>TAMBACOUNDA</v>
          </cell>
          <cell r="T147" t="str">
            <v>TAMBACOUNDA</v>
          </cell>
        </row>
        <row r="148">
          <cell r="A148" t="str">
            <v>KLD_0117</v>
          </cell>
          <cell r="S148" t="str">
            <v>KOLDA</v>
          </cell>
          <cell r="T148" t="str">
            <v>ZIGUINCHOR</v>
          </cell>
        </row>
        <row r="149">
          <cell r="A149" t="str">
            <v>TMB_0118</v>
          </cell>
          <cell r="S149" t="str">
            <v>GOUDIRY</v>
          </cell>
          <cell r="T149" t="str">
            <v>TAMBACOUNDA</v>
          </cell>
        </row>
        <row r="150">
          <cell r="A150" t="str">
            <v>TMB_0119</v>
          </cell>
          <cell r="S150" t="str">
            <v>TAMBA</v>
          </cell>
          <cell r="T150" t="str">
            <v>TAMBACOUNDA</v>
          </cell>
        </row>
        <row r="151">
          <cell r="A151" t="str">
            <v>KLD_0120</v>
          </cell>
          <cell r="S151" t="str">
            <v>SEDHIOU</v>
          </cell>
          <cell r="T151" t="str">
            <v>ZIGUINCHOR</v>
          </cell>
        </row>
        <row r="152">
          <cell r="A152" t="str">
            <v>KLD_2724</v>
          </cell>
          <cell r="S152" t="str">
            <v>KOLDA</v>
          </cell>
          <cell r="T152" t="str">
            <v>ZIGUINCHOR</v>
          </cell>
        </row>
        <row r="153">
          <cell r="A153" t="str">
            <v>KDG_0121</v>
          </cell>
          <cell r="S153" t="str">
            <v>KEDOUGOU</v>
          </cell>
          <cell r="T153" t="str">
            <v>TAMBACOUNDA</v>
          </cell>
        </row>
        <row r="154">
          <cell r="A154" t="str">
            <v>DKR_0122</v>
          </cell>
          <cell r="S154" t="str">
            <v>SACRE_COEUR</v>
          </cell>
          <cell r="T154" t="str">
            <v>DAKAR</v>
          </cell>
        </row>
        <row r="155">
          <cell r="A155" t="str">
            <v>DKR_0123</v>
          </cell>
          <cell r="S155" t="str">
            <v>SACRE_COEUR</v>
          </cell>
          <cell r="T155" t="str">
            <v>DAKAR</v>
          </cell>
        </row>
        <row r="156">
          <cell r="A156" t="str">
            <v>KDG_0124</v>
          </cell>
          <cell r="S156" t="str">
            <v>KEDOUGOU</v>
          </cell>
          <cell r="T156" t="str">
            <v>TAMBACOUNDA</v>
          </cell>
        </row>
        <row r="157">
          <cell r="A157" t="str">
            <v>DKR_0125</v>
          </cell>
          <cell r="S157" t="str">
            <v>RUFISQUE</v>
          </cell>
          <cell r="T157" t="str">
            <v>DAKAR</v>
          </cell>
        </row>
        <row r="158">
          <cell r="A158" t="str">
            <v>DKR_0126</v>
          </cell>
          <cell r="S158" t="str">
            <v>RUFISQUE</v>
          </cell>
          <cell r="T158" t="str">
            <v>DAKAR</v>
          </cell>
        </row>
        <row r="159">
          <cell r="A159" t="str">
            <v>DKR_0127</v>
          </cell>
          <cell r="S159" t="str">
            <v>RUFISQUE</v>
          </cell>
          <cell r="T159" t="str">
            <v>DAKAR</v>
          </cell>
        </row>
        <row r="160">
          <cell r="A160" t="str">
            <v>DKR_0128</v>
          </cell>
          <cell r="S160" t="str">
            <v>RUFISQUE</v>
          </cell>
          <cell r="T160" t="str">
            <v>DAKAR</v>
          </cell>
        </row>
        <row r="161">
          <cell r="A161" t="str">
            <v>DKR_0129</v>
          </cell>
          <cell r="S161" t="str">
            <v>RUFISQUE</v>
          </cell>
          <cell r="T161" t="str">
            <v>DAKAR</v>
          </cell>
        </row>
        <row r="162">
          <cell r="A162" t="str">
            <v>DKR_0130</v>
          </cell>
          <cell r="S162" t="str">
            <v>RUFISQUE</v>
          </cell>
          <cell r="T162" t="str">
            <v>DAKAR</v>
          </cell>
        </row>
        <row r="163">
          <cell r="A163" t="str">
            <v>DKR_0131</v>
          </cell>
          <cell r="S163" t="str">
            <v>RUFISQUE</v>
          </cell>
          <cell r="T163" t="str">
            <v>DAKAR</v>
          </cell>
        </row>
        <row r="164">
          <cell r="A164" t="str">
            <v>DKR_0132</v>
          </cell>
          <cell r="S164" t="str">
            <v>RUFISQUE</v>
          </cell>
          <cell r="T164" t="str">
            <v>DAKAR</v>
          </cell>
        </row>
        <row r="165">
          <cell r="A165" t="str">
            <v>DKR_2715</v>
          </cell>
          <cell r="S165" t="str">
            <v>RUFISQUE</v>
          </cell>
          <cell r="T165" t="str">
            <v>DAKAR</v>
          </cell>
        </row>
        <row r="166">
          <cell r="A166" t="str">
            <v>DKR_2722</v>
          </cell>
          <cell r="S166" t="str">
            <v>RUFISQUE</v>
          </cell>
          <cell r="T166" t="str">
            <v>DAKAR</v>
          </cell>
        </row>
        <row r="167">
          <cell r="A167" t="str">
            <v>TMB_2729</v>
          </cell>
          <cell r="S167" t="str">
            <v>TAMBACOUNDA</v>
          </cell>
          <cell r="T167" t="str">
            <v>TAMBACOUNDA</v>
          </cell>
        </row>
        <row r="168">
          <cell r="A168" t="str">
            <v>DBL_0133</v>
          </cell>
          <cell r="S168" t="str">
            <v>LINGUERE</v>
          </cell>
          <cell r="T168" t="str">
            <v>THIES</v>
          </cell>
        </row>
        <row r="169">
          <cell r="A169" t="str">
            <v>ORG_0134</v>
          </cell>
          <cell r="S169" t="str">
            <v>MATAM</v>
          </cell>
          <cell r="T169" t="str">
            <v>SAINT-LOUIS</v>
          </cell>
        </row>
        <row r="170">
          <cell r="A170" t="str">
            <v>NDM_2555</v>
          </cell>
          <cell r="S170" t="str">
            <v>SAINT-LOUIS</v>
          </cell>
          <cell r="T170" t="str">
            <v>SAINT-LOUIS</v>
          </cell>
        </row>
        <row r="171">
          <cell r="A171" t="str">
            <v>KLK_2845</v>
          </cell>
          <cell r="S171" t="str">
            <v>KAFFRINE</v>
          </cell>
          <cell r="T171" t="str">
            <v>KAOLACK</v>
          </cell>
        </row>
        <row r="172">
          <cell r="A172" t="str">
            <v>TMB_0135</v>
          </cell>
          <cell r="S172" t="str">
            <v>KOUNGHEUL</v>
          </cell>
          <cell r="T172" t="str">
            <v>TAMBACOUNDA</v>
          </cell>
        </row>
        <row r="173">
          <cell r="A173" t="str">
            <v>MBR_0136</v>
          </cell>
          <cell r="S173" t="str">
            <v>SOKONE</v>
          </cell>
          <cell r="T173" t="str">
            <v>KAOLACK</v>
          </cell>
        </row>
        <row r="174">
          <cell r="A174" t="str">
            <v>KLD_2838</v>
          </cell>
          <cell r="S174" t="str">
            <v>KAOLD</v>
          </cell>
          <cell r="T174" t="str">
            <v>ZIGUINCHOR</v>
          </cell>
        </row>
        <row r="175">
          <cell r="A175" t="str">
            <v>THS_0137</v>
          </cell>
          <cell r="S175" t="str">
            <v>THIES</v>
          </cell>
          <cell r="T175" t="str">
            <v>THIES</v>
          </cell>
        </row>
        <row r="176">
          <cell r="A176" t="str">
            <v>KLD_0138</v>
          </cell>
          <cell r="S176" t="str">
            <v>SEDHIOU</v>
          </cell>
          <cell r="T176" t="str">
            <v>ZIGUINCHOR</v>
          </cell>
        </row>
        <row r="177">
          <cell r="A177" t="str">
            <v>KDG_0139</v>
          </cell>
          <cell r="S177" t="str">
            <v>KEDOUGOU</v>
          </cell>
          <cell r="T177" t="str">
            <v>TAMBACOUNDA</v>
          </cell>
        </row>
        <row r="178">
          <cell r="A178" t="str">
            <v>KDG_2701</v>
          </cell>
          <cell r="S178" t="str">
            <v>KEDOUGOU</v>
          </cell>
          <cell r="T178" t="str">
            <v>TAMBACOUNDA</v>
          </cell>
        </row>
        <row r="179">
          <cell r="A179" t="str">
            <v>DKR_0140</v>
          </cell>
          <cell r="S179" t="str">
            <v>MEDINA</v>
          </cell>
          <cell r="T179" t="str">
            <v>DAKAR</v>
          </cell>
        </row>
        <row r="180">
          <cell r="A180" t="str">
            <v>DKR_0141</v>
          </cell>
          <cell r="S180" t="str">
            <v>MEDINA</v>
          </cell>
          <cell r="T180" t="str">
            <v>DAKAR</v>
          </cell>
        </row>
        <row r="181">
          <cell r="A181" t="str">
            <v>KLK_0142</v>
          </cell>
          <cell r="S181" t="str">
            <v>KAFFRINE</v>
          </cell>
          <cell r="T181" t="str">
            <v>KAOLACK</v>
          </cell>
        </row>
        <row r="182">
          <cell r="A182" t="str">
            <v>KLK_2763</v>
          </cell>
          <cell r="S182" t="str">
            <v>FATICK</v>
          </cell>
          <cell r="T182" t="str">
            <v>KAOLACK</v>
          </cell>
        </row>
        <row r="183">
          <cell r="A183" t="str">
            <v>ORG_0143</v>
          </cell>
          <cell r="S183" t="str">
            <v>MATAM</v>
          </cell>
          <cell r="T183" t="str">
            <v>SAINT-LOUIS</v>
          </cell>
        </row>
        <row r="184">
          <cell r="A184" t="str">
            <v>NDM_0144</v>
          </cell>
          <cell r="S184" t="str">
            <v>NDIOUM</v>
          </cell>
          <cell r="T184" t="str">
            <v>SAINT-LOUIS</v>
          </cell>
        </row>
        <row r="185">
          <cell r="A185" t="str">
            <v>KDG_0145</v>
          </cell>
          <cell r="S185" t="str">
            <v>GOUDIRY</v>
          </cell>
          <cell r="T185" t="str">
            <v>TAMBACOUNDA</v>
          </cell>
        </row>
        <row r="186">
          <cell r="A186" t="str">
            <v>STL_2726</v>
          </cell>
          <cell r="S186" t="str">
            <v>LOUGA</v>
          </cell>
          <cell r="T186" t="str">
            <v>SAINT-LOUIS</v>
          </cell>
        </row>
        <row r="187">
          <cell r="A187" t="str">
            <v>BKL_0146</v>
          </cell>
          <cell r="S187" t="str">
            <v>BAKEL</v>
          </cell>
          <cell r="T187" t="str">
            <v>SAINT-LOUIS</v>
          </cell>
        </row>
        <row r="188">
          <cell r="A188" t="str">
            <v>KDG_0147</v>
          </cell>
          <cell r="S188" t="str">
            <v>KEDOUGOU</v>
          </cell>
          <cell r="T188" t="str">
            <v>TAMBACOUNDA</v>
          </cell>
        </row>
        <row r="189">
          <cell r="A189" t="str">
            <v>ZIG_0148</v>
          </cell>
          <cell r="S189" t="str">
            <v>SEDHIOU</v>
          </cell>
          <cell r="T189" t="str">
            <v>ZIGUINCHOR</v>
          </cell>
        </row>
        <row r="190">
          <cell r="A190" t="str">
            <v>DKR_0149</v>
          </cell>
          <cell r="S190" t="str">
            <v>SACRE_COEUR</v>
          </cell>
          <cell r="T190" t="str">
            <v>DAKAR</v>
          </cell>
        </row>
        <row r="191">
          <cell r="A191" t="str">
            <v>DKR_0150</v>
          </cell>
          <cell r="S191" t="str">
            <v>SACRE_COEUR</v>
          </cell>
          <cell r="T191" t="str">
            <v>DAKAR</v>
          </cell>
        </row>
        <row r="192">
          <cell r="A192" t="str">
            <v>DKR_0151</v>
          </cell>
          <cell r="S192" t="str">
            <v>SACRE_COEUR</v>
          </cell>
          <cell r="T192" t="str">
            <v>DAKAR</v>
          </cell>
        </row>
        <row r="193">
          <cell r="A193" t="str">
            <v>DKR_2840</v>
          </cell>
          <cell r="S193" t="str">
            <v>DAKAR</v>
          </cell>
          <cell r="T193" t="str">
            <v>DAKAR</v>
          </cell>
        </row>
        <row r="194">
          <cell r="A194" t="str">
            <v>DKR_2830</v>
          </cell>
          <cell r="S194" t="str">
            <v>DAKAR</v>
          </cell>
          <cell r="T194" t="str">
            <v>DAKAR</v>
          </cell>
        </row>
        <row r="195">
          <cell r="A195" t="str">
            <v>THS_2676</v>
          </cell>
          <cell r="S195" t="str">
            <v>THIES</v>
          </cell>
          <cell r="T195" t="str">
            <v>THIES</v>
          </cell>
        </row>
        <row r="196">
          <cell r="A196" t="str">
            <v>ZIG_2728</v>
          </cell>
          <cell r="S196" t="str">
            <v>Ziguinchor</v>
          </cell>
          <cell r="T196" t="str">
            <v>ZIGUINCHOR</v>
          </cell>
        </row>
        <row r="197">
          <cell r="A197" t="str">
            <v>KLK_0152</v>
          </cell>
          <cell r="S197" t="str">
            <v>SOKONE</v>
          </cell>
          <cell r="T197" t="str">
            <v>KAOLACK</v>
          </cell>
        </row>
        <row r="198">
          <cell r="A198" t="str">
            <v>DBL_0153</v>
          </cell>
          <cell r="S198" t="str">
            <v>TOUBA02</v>
          </cell>
          <cell r="T198" t="str">
            <v>THIES</v>
          </cell>
        </row>
        <row r="199">
          <cell r="A199" t="str">
            <v>DBL_0154</v>
          </cell>
          <cell r="S199" t="str">
            <v>TOUBA02</v>
          </cell>
          <cell r="T199" t="str">
            <v>THIES</v>
          </cell>
        </row>
        <row r="200">
          <cell r="A200" t="str">
            <v>DBL_0155</v>
          </cell>
          <cell r="S200" t="str">
            <v>TOUBA02</v>
          </cell>
          <cell r="T200" t="str">
            <v>THIES</v>
          </cell>
        </row>
        <row r="201">
          <cell r="A201" t="str">
            <v>DBL_0156</v>
          </cell>
          <cell r="S201" t="str">
            <v>TOUBA02</v>
          </cell>
          <cell r="T201" t="str">
            <v>THIES</v>
          </cell>
        </row>
        <row r="202">
          <cell r="A202" t="str">
            <v>DKR_2765</v>
          </cell>
          <cell r="S202" t="str">
            <v>MEDINA</v>
          </cell>
          <cell r="T202" t="str">
            <v>DAKAR</v>
          </cell>
        </row>
        <row r="203">
          <cell r="A203" t="str">
            <v>KLK_2754</v>
          </cell>
          <cell r="S203" t="str">
            <v>FATICK</v>
          </cell>
          <cell r="T203" t="str">
            <v>KAOLACK</v>
          </cell>
        </row>
        <row r="204">
          <cell r="A204" t="str">
            <v>ZIG_0157</v>
          </cell>
          <cell r="S204" t="str">
            <v>ZIGUINCHOR</v>
          </cell>
          <cell r="T204" t="str">
            <v>ZIGUINCHOR</v>
          </cell>
        </row>
        <row r="205">
          <cell r="A205" t="str">
            <v>ZIG_0158</v>
          </cell>
          <cell r="S205" t="str">
            <v>ZIGUINCHOR</v>
          </cell>
          <cell r="T205" t="str">
            <v>ZIGUINCHOR</v>
          </cell>
        </row>
        <row r="206">
          <cell r="A206" t="str">
            <v>ZIG_0159</v>
          </cell>
          <cell r="S206" t="str">
            <v>ZIGUINCHOR</v>
          </cell>
          <cell r="T206" t="str">
            <v>ZIGUINCHOR</v>
          </cell>
        </row>
        <row r="207">
          <cell r="A207" t="str">
            <v>ZIG_0160</v>
          </cell>
          <cell r="S207" t="str">
            <v>ZIGUINCHOR</v>
          </cell>
          <cell r="T207" t="str">
            <v>ZIGUINCHOR</v>
          </cell>
        </row>
        <row r="208">
          <cell r="A208" t="str">
            <v>ZIG_0161</v>
          </cell>
          <cell r="S208" t="str">
            <v>ZIGUINCHOR</v>
          </cell>
          <cell r="T208" t="str">
            <v>ZIGUINCHOR</v>
          </cell>
        </row>
        <row r="209">
          <cell r="A209" t="str">
            <v>ZIG_0162</v>
          </cell>
          <cell r="S209" t="str">
            <v>ZIGUINCHOR</v>
          </cell>
          <cell r="T209" t="str">
            <v>ZIGUINCHOR</v>
          </cell>
        </row>
        <row r="210">
          <cell r="A210" t="str">
            <v>ZIG_0163</v>
          </cell>
          <cell r="S210" t="str">
            <v>ZIGUINCHOR</v>
          </cell>
          <cell r="T210" t="str">
            <v>ZIGUINCHOR</v>
          </cell>
        </row>
        <row r="211">
          <cell r="A211" t="str">
            <v>ZIG_0164</v>
          </cell>
          <cell r="S211" t="str">
            <v>ZIGUINCHOR</v>
          </cell>
          <cell r="T211" t="str">
            <v>ZIGUINCHOR</v>
          </cell>
        </row>
        <row r="212">
          <cell r="A212" t="str">
            <v>ZIG_2712</v>
          </cell>
          <cell r="S212" t="str">
            <v>ZIGUINCHOR</v>
          </cell>
          <cell r="T212" t="str">
            <v>ZIGUINCHOR</v>
          </cell>
        </row>
        <row r="213">
          <cell r="A213" t="str">
            <v>STL_2803</v>
          </cell>
          <cell r="S213" t="str">
            <v>MATAM</v>
          </cell>
          <cell r="T213" t="str">
            <v>SAINT-LOUIS</v>
          </cell>
        </row>
        <row r="214">
          <cell r="A214" t="str">
            <v>KLD_0165</v>
          </cell>
          <cell r="S214" t="str">
            <v>KOLDA</v>
          </cell>
          <cell r="T214" t="str">
            <v>ZIGUINCHOR</v>
          </cell>
        </row>
        <row r="215">
          <cell r="A215" t="str">
            <v>NDM_2561</v>
          </cell>
          <cell r="S215" t="str">
            <v>SAINT-LOUIS</v>
          </cell>
          <cell r="T215" t="str">
            <v>SAINT-LOUIS</v>
          </cell>
        </row>
        <row r="216">
          <cell r="A216" t="str">
            <v>KDG_0166</v>
          </cell>
          <cell r="S216" t="str">
            <v>BAKEL</v>
          </cell>
          <cell r="T216" t="str">
            <v>SAINT-LOUIS</v>
          </cell>
        </row>
        <row r="217">
          <cell r="A217" t="str">
            <v>ZIG_2720</v>
          </cell>
          <cell r="S217" t="str">
            <v>KOLDA</v>
          </cell>
          <cell r="T217" t="str">
            <v>ZIGUINCHOR</v>
          </cell>
        </row>
        <row r="218">
          <cell r="A218" t="str">
            <v>TMB_2730</v>
          </cell>
          <cell r="S218" t="str">
            <v>GOUDIRY</v>
          </cell>
          <cell r="T218" t="str">
            <v>TAMBACOUNDA</v>
          </cell>
        </row>
        <row r="219">
          <cell r="A219" t="str">
            <v>STL_0167</v>
          </cell>
          <cell r="S219" t="str">
            <v>SAINT-LOUIS</v>
          </cell>
          <cell r="T219" t="str">
            <v>SAINT-LOUIS</v>
          </cell>
        </row>
        <row r="220">
          <cell r="A220" t="str">
            <v>ZIG_0168</v>
          </cell>
          <cell r="S220" t="str">
            <v>ZIGUINCHOR</v>
          </cell>
          <cell r="T220" t="str">
            <v>ZIGUINCHOR</v>
          </cell>
        </row>
        <row r="221">
          <cell r="A221" t="str">
            <v>THS_2743</v>
          </cell>
          <cell r="S221" t="str">
            <v>LOUGA</v>
          </cell>
          <cell r="T221" t="str">
            <v>SAINT-LOUIS</v>
          </cell>
        </row>
        <row r="222">
          <cell r="A222" t="str">
            <v>NDM_0169</v>
          </cell>
          <cell r="S222" t="str">
            <v>NDIOUM</v>
          </cell>
          <cell r="T222" t="str">
            <v>SAINT-LOUIS</v>
          </cell>
        </row>
        <row r="223">
          <cell r="A223" t="str">
            <v>KLD_0170</v>
          </cell>
          <cell r="S223" t="str">
            <v>SEDHIOU</v>
          </cell>
          <cell r="T223" t="str">
            <v>ZIGUINCHOR</v>
          </cell>
        </row>
        <row r="224">
          <cell r="A224" t="str">
            <v>DBL_0171</v>
          </cell>
          <cell r="S224" t="str">
            <v>LINGUERE</v>
          </cell>
          <cell r="T224" t="str">
            <v>THIES</v>
          </cell>
        </row>
        <row r="225">
          <cell r="A225" t="str">
            <v>TMB_0172</v>
          </cell>
          <cell r="S225" t="str">
            <v>GOUDIRY</v>
          </cell>
          <cell r="T225" t="str">
            <v>TAMBACOUNDA</v>
          </cell>
        </row>
        <row r="226">
          <cell r="A226" t="str">
            <v>KDG_0173</v>
          </cell>
          <cell r="S226" t="str">
            <v>KEDOUGOU</v>
          </cell>
          <cell r="T226" t="str">
            <v>TAMBACOUNDA</v>
          </cell>
        </row>
        <row r="227">
          <cell r="A227" t="str">
            <v>KLD_0174</v>
          </cell>
          <cell r="S227" t="str">
            <v>SEDHIOU</v>
          </cell>
          <cell r="T227" t="str">
            <v>ZIGUINCHOR</v>
          </cell>
        </row>
        <row r="228">
          <cell r="A228" t="str">
            <v>DBL_2753</v>
          </cell>
          <cell r="S228" t="str">
            <v>DIOURBEL</v>
          </cell>
          <cell r="T228" t="str">
            <v>THIES</v>
          </cell>
        </row>
        <row r="229">
          <cell r="A229" t="str">
            <v>TMB_0175</v>
          </cell>
          <cell r="S229" t="str">
            <v>GOUDIRY</v>
          </cell>
          <cell r="T229" t="str">
            <v>TAMBACOUNDA</v>
          </cell>
        </row>
        <row r="230">
          <cell r="A230" t="str">
            <v>ORG_0176</v>
          </cell>
          <cell r="S230" t="str">
            <v>MATAM</v>
          </cell>
          <cell r="T230" t="str">
            <v>SAINT-LOUIS</v>
          </cell>
        </row>
        <row r="231">
          <cell r="A231" t="str">
            <v>NDM_0177</v>
          </cell>
          <cell r="S231" t="str">
            <v>NDIOUM</v>
          </cell>
          <cell r="T231" t="str">
            <v>SAINT-LOUIS</v>
          </cell>
        </row>
        <row r="232">
          <cell r="A232" t="str">
            <v>NDM_0178</v>
          </cell>
          <cell r="S232" t="str">
            <v>NDIOUM</v>
          </cell>
          <cell r="T232" t="str">
            <v>SAINT-LOUIS</v>
          </cell>
        </row>
        <row r="233">
          <cell r="A233" t="str">
            <v>NDM_0179</v>
          </cell>
          <cell r="S233" t="str">
            <v>NDIOUM</v>
          </cell>
          <cell r="T233" t="str">
            <v>SAINT-LOUIS</v>
          </cell>
        </row>
        <row r="234">
          <cell r="A234" t="str">
            <v>KDG_2714</v>
          </cell>
          <cell r="S234" t="str">
            <v>KEDOUGOU</v>
          </cell>
          <cell r="T234" t="str">
            <v>TAMBACOUNDA</v>
          </cell>
        </row>
        <row r="235">
          <cell r="A235" t="str">
            <v>NDM_0180</v>
          </cell>
          <cell r="S235" t="str">
            <v>NDIOUM</v>
          </cell>
          <cell r="T235" t="str">
            <v>SAINT-LOUIS</v>
          </cell>
        </row>
        <row r="236">
          <cell r="A236" t="str">
            <v>STL_2732</v>
          </cell>
          <cell r="S236" t="str">
            <v>NDIOUM</v>
          </cell>
          <cell r="T236" t="str">
            <v>SAINT-LOUIS</v>
          </cell>
        </row>
        <row r="237">
          <cell r="A237" t="str">
            <v>DBL_0181</v>
          </cell>
          <cell r="S237" t="str">
            <v>KOUNGHEUL</v>
          </cell>
          <cell r="T237" t="str">
            <v>TAMBACOUNDA</v>
          </cell>
        </row>
        <row r="238">
          <cell r="A238" t="str">
            <v>ORG_0182</v>
          </cell>
          <cell r="S238" t="str">
            <v>MATAM</v>
          </cell>
          <cell r="T238" t="str">
            <v>SAINT-LOUIS</v>
          </cell>
        </row>
        <row r="239">
          <cell r="A239" t="str">
            <v>STL_2674</v>
          </cell>
          <cell r="S239" t="str">
            <v>MATAM</v>
          </cell>
          <cell r="T239" t="str">
            <v>SAINT-LOUIS</v>
          </cell>
        </row>
        <row r="240">
          <cell r="A240" t="str">
            <v>BKL_0183</v>
          </cell>
          <cell r="S240" t="str">
            <v>BAKEL</v>
          </cell>
          <cell r="T240" t="str">
            <v>SAINT-LOUIS</v>
          </cell>
        </row>
        <row r="241">
          <cell r="A241" t="str">
            <v>BKL_0184</v>
          </cell>
          <cell r="S241" t="str">
            <v>BAKEL</v>
          </cell>
          <cell r="T241" t="str">
            <v>SAINT-LOUIS</v>
          </cell>
        </row>
        <row r="242">
          <cell r="A242" t="str">
            <v>ORG_0185</v>
          </cell>
          <cell r="S242" t="str">
            <v>MATAM</v>
          </cell>
          <cell r="T242" t="str">
            <v>SAINT-LOUIS</v>
          </cell>
        </row>
        <row r="243">
          <cell r="A243" t="str">
            <v>ZIG_0186</v>
          </cell>
          <cell r="S243" t="str">
            <v>SEDHIOU</v>
          </cell>
          <cell r="T243" t="str">
            <v>ZIGUINCHOR</v>
          </cell>
        </row>
        <row r="244">
          <cell r="A244" t="str">
            <v>KLD_0187</v>
          </cell>
          <cell r="S244" t="str">
            <v>VELINGARA</v>
          </cell>
          <cell r="T244" t="str">
            <v>ZIGUINCHOR</v>
          </cell>
        </row>
        <row r="245">
          <cell r="A245" t="str">
            <v>KDG_2707</v>
          </cell>
          <cell r="S245" t="str">
            <v>KEDOUGOU</v>
          </cell>
          <cell r="T245" t="str">
            <v>TAMBACOUNDA</v>
          </cell>
        </row>
        <row r="246">
          <cell r="A246" t="str">
            <v>BKL_0188</v>
          </cell>
          <cell r="S246" t="str">
            <v>BAKEL</v>
          </cell>
          <cell r="T246" t="str">
            <v>SAINT-LOUIS</v>
          </cell>
        </row>
        <row r="247">
          <cell r="A247" t="str">
            <v>STL_2733</v>
          </cell>
          <cell r="S247" t="str">
            <v>LOUGA</v>
          </cell>
          <cell r="T247" t="str">
            <v>SAINT-LOUIS</v>
          </cell>
        </row>
        <row r="248">
          <cell r="A248" t="str">
            <v>DKR_0189</v>
          </cell>
          <cell r="S248" t="str">
            <v>SACRE_COEUR</v>
          </cell>
          <cell r="T248" t="str">
            <v>DAKAR</v>
          </cell>
        </row>
        <row r="249">
          <cell r="A249" t="str">
            <v>KLK_0190</v>
          </cell>
          <cell r="S249" t="str">
            <v>KAOLACK</v>
          </cell>
          <cell r="T249" t="str">
            <v>KAOLACK</v>
          </cell>
        </row>
        <row r="250">
          <cell r="A250" t="str">
            <v>KDG_2725</v>
          </cell>
          <cell r="S250" t="str">
            <v>KEDOUGOU</v>
          </cell>
          <cell r="T250" t="str">
            <v>TAMBACOUNDA</v>
          </cell>
        </row>
        <row r="251">
          <cell r="A251" t="str">
            <v>KLD_0191</v>
          </cell>
          <cell r="S251" t="str">
            <v>VELINGARA</v>
          </cell>
          <cell r="T251" t="str">
            <v>ZIGUINCHOR</v>
          </cell>
        </row>
        <row r="252">
          <cell r="A252" t="str">
            <v>ZIG_0192</v>
          </cell>
          <cell r="S252" t="str">
            <v>ZIGUINCHOR</v>
          </cell>
          <cell r="T252" t="str">
            <v>ZIGUINCHOR</v>
          </cell>
        </row>
        <row r="253">
          <cell r="A253" t="str">
            <v>STL_0193</v>
          </cell>
          <cell r="S253" t="str">
            <v>SAINT-LOUIS</v>
          </cell>
          <cell r="T253" t="str">
            <v>SAINT-LOUIS</v>
          </cell>
        </row>
        <row r="254">
          <cell r="A254" t="str">
            <v>ZIG_0194</v>
          </cell>
          <cell r="S254" t="str">
            <v>SEDHIOU</v>
          </cell>
          <cell r="T254" t="str">
            <v>ZIGUINCHOR</v>
          </cell>
        </row>
        <row r="255">
          <cell r="A255" t="str">
            <v>TMB_2820</v>
          </cell>
          <cell r="S255" t="str">
            <v>TAMBACOUNDA</v>
          </cell>
          <cell r="T255" t="str">
            <v>TAMBACOUNDA</v>
          </cell>
        </row>
        <row r="256">
          <cell r="A256" t="str">
            <v>STL_0195</v>
          </cell>
          <cell r="S256" t="str">
            <v>LOUGA</v>
          </cell>
          <cell r="T256" t="str">
            <v>SAINT-LOUIS</v>
          </cell>
        </row>
        <row r="257">
          <cell r="A257" t="str">
            <v>ZIG_0196</v>
          </cell>
          <cell r="S257" t="str">
            <v>SEDHIOU</v>
          </cell>
          <cell r="T257" t="str">
            <v>ZIGUINCHOR</v>
          </cell>
        </row>
        <row r="258">
          <cell r="A258" t="str">
            <v>THS_0197</v>
          </cell>
          <cell r="S258" t="str">
            <v>MBOUR</v>
          </cell>
          <cell r="T258" t="str">
            <v>THIES</v>
          </cell>
        </row>
        <row r="259">
          <cell r="A259" t="str">
            <v>DBL_0198</v>
          </cell>
          <cell r="S259" t="str">
            <v>LINGUERE</v>
          </cell>
          <cell r="T259" t="str">
            <v>THIES</v>
          </cell>
        </row>
        <row r="260">
          <cell r="A260" t="str">
            <v>BKL_0199</v>
          </cell>
          <cell r="S260" t="str">
            <v>BAKEL</v>
          </cell>
          <cell r="T260" t="str">
            <v>SAINT-LOUIS</v>
          </cell>
        </row>
        <row r="261">
          <cell r="A261" t="str">
            <v>KLK_0200</v>
          </cell>
          <cell r="S261" t="str">
            <v>SOKONE</v>
          </cell>
          <cell r="T261" t="str">
            <v>KAOLACK</v>
          </cell>
        </row>
        <row r="262">
          <cell r="A262" t="str">
            <v>KLK_0201</v>
          </cell>
          <cell r="S262" t="str">
            <v>KAFFRINE</v>
          </cell>
          <cell r="T262" t="str">
            <v>KAOLACK</v>
          </cell>
        </row>
        <row r="263">
          <cell r="A263" t="str">
            <v>TMB_2814</v>
          </cell>
          <cell r="S263" t="str">
            <v>TAMBACOUNDA</v>
          </cell>
          <cell r="T263" t="str">
            <v>TAMBACOUNDA</v>
          </cell>
        </row>
        <row r="264">
          <cell r="A264" t="str">
            <v>KLD_2725</v>
          </cell>
          <cell r="S264" t="str">
            <v>SEDHIOU</v>
          </cell>
          <cell r="T264" t="str">
            <v>ZIGUINCHOR</v>
          </cell>
        </row>
        <row r="265">
          <cell r="A265" t="str">
            <v>STL_0202</v>
          </cell>
          <cell r="S265" t="str">
            <v>LOUGA</v>
          </cell>
          <cell r="T265" t="str">
            <v>SAINT-LOUIS</v>
          </cell>
        </row>
        <row r="266">
          <cell r="A266" t="str">
            <v>ORG_2571</v>
          </cell>
          <cell r="S266" t="str">
            <v>OUROSSOGUI</v>
          </cell>
          <cell r="T266" t="str">
            <v>SAINT-LOUIS</v>
          </cell>
        </row>
        <row r="267">
          <cell r="A267" t="str">
            <v>KLD_0203</v>
          </cell>
          <cell r="S267" t="str">
            <v>SEDHIOU</v>
          </cell>
          <cell r="T267" t="str">
            <v>ZIGUINCHOR</v>
          </cell>
        </row>
        <row r="268">
          <cell r="A268" t="str">
            <v>ZIG_0204</v>
          </cell>
          <cell r="S268" t="str">
            <v>ZIGUINCHOR</v>
          </cell>
          <cell r="T268" t="str">
            <v>ZIGUINCHOR</v>
          </cell>
        </row>
        <row r="269">
          <cell r="A269" t="str">
            <v>KLD_2758</v>
          </cell>
          <cell r="S269" t="str">
            <v>KOLDA</v>
          </cell>
          <cell r="T269" t="str">
            <v>ZIGUINCHOR</v>
          </cell>
        </row>
        <row r="270">
          <cell r="A270" t="str">
            <v>DBL_0205</v>
          </cell>
          <cell r="S270" t="str">
            <v>TOUBA02</v>
          </cell>
          <cell r="T270" t="str">
            <v>THIES</v>
          </cell>
        </row>
        <row r="271">
          <cell r="A271" t="str">
            <v>STL_0206</v>
          </cell>
          <cell r="S271" t="str">
            <v>LOUGA</v>
          </cell>
          <cell r="T271" t="str">
            <v>SAINT-LOUIS</v>
          </cell>
        </row>
        <row r="272">
          <cell r="A272" t="str">
            <v>KDG_0207</v>
          </cell>
          <cell r="S272" t="str">
            <v>GOUDIRY</v>
          </cell>
          <cell r="T272" t="str">
            <v>TAMBACOUNDA</v>
          </cell>
        </row>
        <row r="273">
          <cell r="A273" t="str">
            <v>ZIG_0208</v>
          </cell>
          <cell r="S273" t="str">
            <v>ZIGUINCHOR</v>
          </cell>
          <cell r="T273" t="str">
            <v>ZIGUINCHOR</v>
          </cell>
        </row>
        <row r="274">
          <cell r="A274" t="str">
            <v>TMB_2810</v>
          </cell>
          <cell r="S274" t="str">
            <v>TAMBACOUNDA</v>
          </cell>
          <cell r="T274" t="str">
            <v>TAMBACOUNDA</v>
          </cell>
        </row>
        <row r="275">
          <cell r="A275" t="str">
            <v>DBL_0209</v>
          </cell>
          <cell r="S275" t="str">
            <v>LINGUERE</v>
          </cell>
          <cell r="T275" t="str">
            <v>THIES</v>
          </cell>
        </row>
        <row r="276">
          <cell r="A276" t="str">
            <v>ORG_0210</v>
          </cell>
          <cell r="S276" t="str">
            <v>MATAM</v>
          </cell>
          <cell r="T276" t="str">
            <v>SAINT-LOUIS</v>
          </cell>
        </row>
        <row r="277">
          <cell r="A277" t="str">
            <v>TMB_0211</v>
          </cell>
          <cell r="S277" t="str">
            <v>GOUDIRY</v>
          </cell>
          <cell r="T277" t="str">
            <v>TAMBACOUNDA</v>
          </cell>
        </row>
        <row r="278">
          <cell r="A278" t="str">
            <v>KDG_0212</v>
          </cell>
          <cell r="S278" t="str">
            <v>KEDOUGOU</v>
          </cell>
          <cell r="T278" t="str">
            <v>TAMBACOUNDA</v>
          </cell>
        </row>
        <row r="279">
          <cell r="A279" t="str">
            <v>DKR_0213</v>
          </cell>
          <cell r="S279" t="str">
            <v>MEDINA</v>
          </cell>
          <cell r="T279" t="str">
            <v>DAKAR</v>
          </cell>
        </row>
        <row r="280">
          <cell r="A280" t="str">
            <v>ZIG_0214</v>
          </cell>
          <cell r="S280" t="str">
            <v>ZIGUINCHOR</v>
          </cell>
          <cell r="T280" t="str">
            <v>ZIGUINCHOR</v>
          </cell>
        </row>
        <row r="281">
          <cell r="A281" t="str">
            <v>ZIG_0215</v>
          </cell>
          <cell r="S281" t="str">
            <v>ZIGUINCHOR</v>
          </cell>
          <cell r="T281" t="str">
            <v>ZIGUINCHOR</v>
          </cell>
        </row>
        <row r="282">
          <cell r="A282" t="str">
            <v>DKR_0216</v>
          </cell>
          <cell r="S282" t="str">
            <v>MEDINA</v>
          </cell>
          <cell r="T282" t="str">
            <v>DAKAR</v>
          </cell>
        </row>
        <row r="283">
          <cell r="A283" t="str">
            <v>DKR_0217</v>
          </cell>
          <cell r="S283" t="str">
            <v>MEDINA</v>
          </cell>
          <cell r="T283" t="str">
            <v>DAKAR</v>
          </cell>
        </row>
        <row r="284">
          <cell r="A284" t="str">
            <v>ZIG_0218</v>
          </cell>
          <cell r="S284" t="str">
            <v>ZIGUINCHOR</v>
          </cell>
          <cell r="T284" t="str">
            <v>ZIGUINCHOR</v>
          </cell>
        </row>
        <row r="285">
          <cell r="A285" t="str">
            <v>ZIG_2725</v>
          </cell>
          <cell r="S285" t="str">
            <v>ZIGUINCHOR</v>
          </cell>
          <cell r="T285" t="str">
            <v>ZIGUINCHOR</v>
          </cell>
        </row>
        <row r="286">
          <cell r="A286" t="str">
            <v>ZIG_0219</v>
          </cell>
          <cell r="S286" t="str">
            <v>ZIGUINCHOR</v>
          </cell>
          <cell r="T286" t="str">
            <v>ZIGUINCHOR</v>
          </cell>
        </row>
        <row r="287">
          <cell r="A287" t="str">
            <v>DKR_0220</v>
          </cell>
          <cell r="S287" t="str">
            <v>GUEDIAWAYE</v>
          </cell>
          <cell r="T287" t="str">
            <v>DAKAR</v>
          </cell>
        </row>
        <row r="288">
          <cell r="A288" t="str">
            <v>DKR_0221</v>
          </cell>
          <cell r="S288" t="str">
            <v>GUEDIAWAYE</v>
          </cell>
          <cell r="T288" t="str">
            <v>DAKAR</v>
          </cell>
        </row>
        <row r="289">
          <cell r="A289" t="str">
            <v>DKR_0222</v>
          </cell>
          <cell r="S289" t="str">
            <v>GUEDIAWAYE</v>
          </cell>
          <cell r="T289" t="str">
            <v>DAKAR</v>
          </cell>
        </row>
        <row r="290">
          <cell r="A290" t="str">
            <v>DKR_0223</v>
          </cell>
          <cell r="S290" t="str">
            <v>GUEDIAWAYE</v>
          </cell>
          <cell r="T290" t="str">
            <v>DAKAR</v>
          </cell>
        </row>
        <row r="291">
          <cell r="A291" t="str">
            <v>DKR_0224</v>
          </cell>
          <cell r="S291" t="str">
            <v>GUEDIAWAYE</v>
          </cell>
          <cell r="T291" t="str">
            <v>DAKAR</v>
          </cell>
        </row>
        <row r="292">
          <cell r="A292" t="str">
            <v>DKR_0225</v>
          </cell>
          <cell r="S292" t="str">
            <v>GUEDIAWAYE</v>
          </cell>
          <cell r="T292" t="str">
            <v>DAKAR</v>
          </cell>
        </row>
        <row r="293">
          <cell r="A293" t="str">
            <v>DKR_0226</v>
          </cell>
          <cell r="S293" t="str">
            <v>SACRE_COEUR</v>
          </cell>
          <cell r="T293" t="str">
            <v>DAKAR</v>
          </cell>
        </row>
        <row r="294">
          <cell r="A294" t="str">
            <v>DKR_0227</v>
          </cell>
          <cell r="S294" t="str">
            <v>GUEDIAWAYE</v>
          </cell>
          <cell r="T294" t="str">
            <v>DAKAR</v>
          </cell>
        </row>
        <row r="295">
          <cell r="A295" t="str">
            <v>DKR_0228</v>
          </cell>
          <cell r="S295" t="str">
            <v>GUEDIAWAYE</v>
          </cell>
          <cell r="T295" t="str">
            <v>DAKAR</v>
          </cell>
        </row>
        <row r="296">
          <cell r="A296" t="str">
            <v>DKR_2766</v>
          </cell>
          <cell r="S296" t="str">
            <v>OUAKAM</v>
          </cell>
          <cell r="T296" t="str">
            <v>DAKAR</v>
          </cell>
        </row>
        <row r="297">
          <cell r="A297" t="str">
            <v>DKR_2788</v>
          </cell>
          <cell r="S297" t="str">
            <v>GUEDIAWAYE</v>
          </cell>
          <cell r="T297" t="str">
            <v>DAKAR</v>
          </cell>
        </row>
        <row r="298">
          <cell r="A298" t="str">
            <v>DKR_0229</v>
          </cell>
          <cell r="S298" t="str">
            <v>MEDINA</v>
          </cell>
          <cell r="T298" t="str">
            <v>DAKAR</v>
          </cell>
        </row>
        <row r="299">
          <cell r="A299" t="str">
            <v>DKR_0230</v>
          </cell>
          <cell r="S299" t="str">
            <v>SACRE_COEUR</v>
          </cell>
          <cell r="T299" t="str">
            <v>DAKAR</v>
          </cell>
        </row>
        <row r="300">
          <cell r="A300" t="str">
            <v>DKR_0231</v>
          </cell>
          <cell r="S300" t="str">
            <v>SACRE_COEUR</v>
          </cell>
          <cell r="T300" t="str">
            <v>DAKAR</v>
          </cell>
        </row>
        <row r="301">
          <cell r="A301" t="str">
            <v>KLK_2770</v>
          </cell>
          <cell r="S301" t="str">
            <v>KAOLACK</v>
          </cell>
          <cell r="T301" t="str">
            <v xml:space="preserve"> KAOLACK</v>
          </cell>
        </row>
        <row r="302">
          <cell r="A302" t="str">
            <v>THS_2804</v>
          </cell>
          <cell r="S302" t="str">
            <v>THIES</v>
          </cell>
          <cell r="T302" t="str">
            <v>THIES</v>
          </cell>
        </row>
        <row r="303">
          <cell r="A303" t="str">
            <v>DKR_0232</v>
          </cell>
          <cell r="S303" t="str">
            <v>MEDINA</v>
          </cell>
          <cell r="T303" t="str">
            <v>DAKAR</v>
          </cell>
        </row>
        <row r="304">
          <cell r="A304" t="str">
            <v>DKR_0233</v>
          </cell>
          <cell r="S304" t="str">
            <v>MEDINA</v>
          </cell>
          <cell r="T304" t="str">
            <v>DAKAR</v>
          </cell>
        </row>
        <row r="305">
          <cell r="A305" t="str">
            <v>DKR_0234</v>
          </cell>
          <cell r="S305" t="str">
            <v>RUFISQUE</v>
          </cell>
          <cell r="T305" t="str">
            <v>DAKAR</v>
          </cell>
        </row>
        <row r="306">
          <cell r="A306" t="str">
            <v>DKR_0235</v>
          </cell>
          <cell r="S306" t="str">
            <v>MEDINA</v>
          </cell>
          <cell r="T306" t="str">
            <v>DAKAR</v>
          </cell>
        </row>
        <row r="307">
          <cell r="A307" t="str">
            <v>ZIG_0236</v>
          </cell>
          <cell r="S307" t="str">
            <v>ZIGUINCHOR</v>
          </cell>
          <cell r="T307" t="str">
            <v>ZIGUINCHOR</v>
          </cell>
        </row>
        <row r="308">
          <cell r="A308" t="str">
            <v>ZIG_0237</v>
          </cell>
          <cell r="S308" t="str">
            <v>ZIGUINCHOR</v>
          </cell>
          <cell r="T308" t="str">
            <v>ZIGUINCHOR</v>
          </cell>
        </row>
        <row r="309">
          <cell r="A309" t="str">
            <v>ZIG_0238</v>
          </cell>
          <cell r="S309" t="str">
            <v>ZIGUINCHOR</v>
          </cell>
          <cell r="T309" t="str">
            <v>ZIGUINCHOR</v>
          </cell>
        </row>
        <row r="310">
          <cell r="A310" t="str">
            <v>DKR_0239</v>
          </cell>
          <cell r="S310" t="str">
            <v>MEDINA</v>
          </cell>
          <cell r="T310" t="str">
            <v>DAKAR</v>
          </cell>
        </row>
        <row r="311">
          <cell r="A311" t="str">
            <v>DKR_0240</v>
          </cell>
          <cell r="S311" t="str">
            <v>MEDINA</v>
          </cell>
          <cell r="T311" t="str">
            <v>DAKAR</v>
          </cell>
        </row>
        <row r="312">
          <cell r="A312" t="str">
            <v>DKR_0241</v>
          </cell>
          <cell r="S312" t="str">
            <v>MEDINA</v>
          </cell>
          <cell r="T312" t="str">
            <v>DAKAR</v>
          </cell>
        </row>
        <row r="313">
          <cell r="A313" t="str">
            <v>THS_0242</v>
          </cell>
          <cell r="S313" t="str">
            <v>MBOUR</v>
          </cell>
          <cell r="T313" t="str">
            <v>THIES</v>
          </cell>
        </row>
        <row r="314">
          <cell r="A314" t="str">
            <v>NDM_0243</v>
          </cell>
          <cell r="S314" t="str">
            <v>NDIOUM</v>
          </cell>
          <cell r="T314" t="str">
            <v>SAINT-LOUIS</v>
          </cell>
        </row>
        <row r="315">
          <cell r="A315" t="str">
            <v>DKR_0244</v>
          </cell>
          <cell r="S315" t="str">
            <v>SACRE_COEUR</v>
          </cell>
          <cell r="T315" t="str">
            <v>DAKAR</v>
          </cell>
        </row>
        <row r="316">
          <cell r="A316" t="str">
            <v>DKR_0245</v>
          </cell>
          <cell r="S316" t="str">
            <v>SACRE_COEUR</v>
          </cell>
          <cell r="T316" t="str">
            <v>DAKAR</v>
          </cell>
        </row>
        <row r="317">
          <cell r="A317" t="str">
            <v>DKR_0246</v>
          </cell>
          <cell r="S317" t="str">
            <v>SACRE_COEUR</v>
          </cell>
          <cell r="T317" t="str">
            <v>DAKAR</v>
          </cell>
        </row>
        <row r="318">
          <cell r="A318" t="str">
            <v>DKR_0247</v>
          </cell>
          <cell r="S318" t="str">
            <v>SACRE_COEUR</v>
          </cell>
          <cell r="T318" t="str">
            <v>DAKAR</v>
          </cell>
        </row>
        <row r="319">
          <cell r="A319" t="str">
            <v>DKR_0248</v>
          </cell>
          <cell r="S319" t="str">
            <v>SACRE_COEUR</v>
          </cell>
          <cell r="T319" t="str">
            <v>DAKAR</v>
          </cell>
        </row>
        <row r="320">
          <cell r="A320" t="str">
            <v>DKR_0249</v>
          </cell>
          <cell r="S320" t="str">
            <v>MEDINA</v>
          </cell>
          <cell r="T320" t="str">
            <v>DAKAR</v>
          </cell>
        </row>
        <row r="321">
          <cell r="A321" t="str">
            <v>DKR_0250</v>
          </cell>
          <cell r="S321" t="str">
            <v>RUFISQUE</v>
          </cell>
          <cell r="T321" t="str">
            <v>DAKAR</v>
          </cell>
        </row>
        <row r="322">
          <cell r="A322" t="str">
            <v>THS_0251</v>
          </cell>
          <cell r="S322" t="str">
            <v>TIVAOUANE</v>
          </cell>
          <cell r="T322" t="str">
            <v>THIES</v>
          </cell>
        </row>
        <row r="323">
          <cell r="A323" t="str">
            <v>THS_0252</v>
          </cell>
          <cell r="S323" t="str">
            <v>TIVAOUANE</v>
          </cell>
          <cell r="T323" t="str">
            <v>THIES</v>
          </cell>
        </row>
        <row r="324">
          <cell r="A324" t="str">
            <v>THS_0253</v>
          </cell>
          <cell r="S324" t="str">
            <v>TIVAOUANE</v>
          </cell>
          <cell r="T324" t="str">
            <v>THIES</v>
          </cell>
        </row>
        <row r="325">
          <cell r="A325" t="str">
            <v>THS_0254</v>
          </cell>
          <cell r="S325" t="str">
            <v>TIVAOUANE</v>
          </cell>
          <cell r="T325" t="str">
            <v>THIES</v>
          </cell>
        </row>
        <row r="326">
          <cell r="A326" t="str">
            <v>THS_0255</v>
          </cell>
          <cell r="S326" t="str">
            <v>TIVAOUANE</v>
          </cell>
          <cell r="T326" t="str">
            <v>THIES</v>
          </cell>
        </row>
        <row r="327">
          <cell r="A327" t="str">
            <v>THS_0256</v>
          </cell>
          <cell r="S327" t="str">
            <v>TIVAOUANE</v>
          </cell>
          <cell r="T327" t="str">
            <v>THIES</v>
          </cell>
        </row>
        <row r="328">
          <cell r="A328" t="str">
            <v>THS_0257</v>
          </cell>
          <cell r="S328" t="str">
            <v>TIVAOUANE</v>
          </cell>
          <cell r="T328" t="str">
            <v>THIES</v>
          </cell>
        </row>
        <row r="329">
          <cell r="A329" t="str">
            <v>THS_0258</v>
          </cell>
          <cell r="S329" t="str">
            <v>TIVAOUANE</v>
          </cell>
          <cell r="T329" t="str">
            <v>THIES</v>
          </cell>
        </row>
        <row r="330">
          <cell r="A330" t="str">
            <v>THS_0259</v>
          </cell>
          <cell r="S330" t="str">
            <v>TIVAOUANE</v>
          </cell>
          <cell r="T330" t="str">
            <v>THIES</v>
          </cell>
        </row>
        <row r="331">
          <cell r="A331" t="str">
            <v>THS_0260</v>
          </cell>
          <cell r="S331" t="str">
            <v>TIVAOUANE</v>
          </cell>
          <cell r="T331" t="str">
            <v>THIES</v>
          </cell>
        </row>
        <row r="332">
          <cell r="A332" t="str">
            <v>THS_0261</v>
          </cell>
          <cell r="S332" t="str">
            <v>TIVAOUANE</v>
          </cell>
          <cell r="T332" t="str">
            <v>THIES</v>
          </cell>
        </row>
        <row r="333">
          <cell r="A333" t="str">
            <v>THS_2752</v>
          </cell>
          <cell r="S333" t="str">
            <v>THIES</v>
          </cell>
          <cell r="T333" t="str">
            <v>THIES</v>
          </cell>
        </row>
        <row r="334">
          <cell r="A334" t="str">
            <v>DKR_0262</v>
          </cell>
          <cell r="S334" t="str">
            <v>RUFISQUE</v>
          </cell>
          <cell r="T334" t="str">
            <v>DAKAR</v>
          </cell>
        </row>
        <row r="335">
          <cell r="A335" t="str">
            <v>DKR_0263</v>
          </cell>
          <cell r="S335" t="str">
            <v>RUFISQUE</v>
          </cell>
          <cell r="T335" t="str">
            <v>DAKAR</v>
          </cell>
        </row>
        <row r="336">
          <cell r="A336" t="str">
            <v>DKR_0264</v>
          </cell>
          <cell r="S336" t="str">
            <v>OUAKAM</v>
          </cell>
          <cell r="T336" t="str">
            <v>DAKAR</v>
          </cell>
        </row>
        <row r="337">
          <cell r="A337" t="str">
            <v>DKR_0265</v>
          </cell>
          <cell r="S337" t="str">
            <v>OUAKAM</v>
          </cell>
          <cell r="T337" t="str">
            <v>DAKAR</v>
          </cell>
        </row>
        <row r="338">
          <cell r="A338" t="str">
            <v>TMB_0266</v>
          </cell>
          <cell r="S338" t="str">
            <v>KOUNGHEUL</v>
          </cell>
          <cell r="T338" t="str">
            <v>TAMBACOUNDA</v>
          </cell>
        </row>
        <row r="339">
          <cell r="A339" t="str">
            <v>DKR_2725</v>
          </cell>
          <cell r="S339" t="str">
            <v>GUEDIAWAYE</v>
          </cell>
          <cell r="T339" t="str">
            <v>DAKAR</v>
          </cell>
        </row>
        <row r="340">
          <cell r="A340" t="str">
            <v>DKR_0267</v>
          </cell>
          <cell r="S340" t="str">
            <v>RUFISQUE</v>
          </cell>
          <cell r="T340" t="str">
            <v>DAKAR</v>
          </cell>
        </row>
        <row r="341">
          <cell r="A341" t="str">
            <v>DKR_0268</v>
          </cell>
          <cell r="S341" t="str">
            <v>RUFISQUE</v>
          </cell>
          <cell r="T341" t="str">
            <v>DAKAR</v>
          </cell>
        </row>
        <row r="342">
          <cell r="A342" t="str">
            <v>DKR_0269</v>
          </cell>
          <cell r="S342" t="str">
            <v>THIAROYE</v>
          </cell>
          <cell r="T342" t="str">
            <v>DAKAR</v>
          </cell>
        </row>
        <row r="343">
          <cell r="A343" t="str">
            <v>DKR_0270</v>
          </cell>
          <cell r="S343" t="str">
            <v>OUAKAM</v>
          </cell>
          <cell r="T343" t="str">
            <v>DAKAR</v>
          </cell>
        </row>
        <row r="344">
          <cell r="A344" t="str">
            <v>DKR_0271</v>
          </cell>
          <cell r="S344" t="str">
            <v>SACRE_COEUR</v>
          </cell>
          <cell r="T344" t="str">
            <v>DAKAR</v>
          </cell>
        </row>
        <row r="345">
          <cell r="A345" t="str">
            <v>DKR_0272</v>
          </cell>
          <cell r="S345" t="str">
            <v>RUFISQUE</v>
          </cell>
          <cell r="T345" t="str">
            <v>DAKAR</v>
          </cell>
        </row>
        <row r="346">
          <cell r="A346" t="str">
            <v>DKR_2734</v>
          </cell>
          <cell r="S346" t="str">
            <v>DAKAR</v>
          </cell>
          <cell r="T346" t="str">
            <v>DAKAR</v>
          </cell>
        </row>
        <row r="347">
          <cell r="A347" t="str">
            <v>DKR_0274</v>
          </cell>
          <cell r="S347" t="str">
            <v>RUFISQUE</v>
          </cell>
          <cell r="T347" t="str">
            <v>DAKAR</v>
          </cell>
        </row>
        <row r="348">
          <cell r="A348" t="str">
            <v>DKR_0275</v>
          </cell>
          <cell r="S348" t="str">
            <v>GUEDIAWAYE</v>
          </cell>
          <cell r="T348" t="str">
            <v>DAKAR</v>
          </cell>
        </row>
        <row r="349">
          <cell r="A349" t="str">
            <v>DKR_0276</v>
          </cell>
          <cell r="S349" t="str">
            <v>GUEDIAWAYE</v>
          </cell>
          <cell r="T349" t="str">
            <v>DAKAR</v>
          </cell>
        </row>
        <row r="350">
          <cell r="A350" t="str">
            <v>DKR_0277</v>
          </cell>
          <cell r="S350" t="str">
            <v>THIAROYE</v>
          </cell>
          <cell r="T350" t="str">
            <v>DAKAR</v>
          </cell>
        </row>
        <row r="351">
          <cell r="A351" t="str">
            <v>DKR_0278</v>
          </cell>
          <cell r="S351" t="str">
            <v>THIAROYE</v>
          </cell>
          <cell r="T351" t="str">
            <v>DAKAR</v>
          </cell>
        </row>
        <row r="352">
          <cell r="A352" t="str">
            <v>DKR_0279</v>
          </cell>
          <cell r="S352" t="str">
            <v>RUFISQUE</v>
          </cell>
          <cell r="T352" t="str">
            <v>DAKAR</v>
          </cell>
        </row>
        <row r="353">
          <cell r="A353" t="str">
            <v>DKR_0280</v>
          </cell>
          <cell r="S353" t="str">
            <v>RUFISQUE</v>
          </cell>
          <cell r="T353" t="str">
            <v>DAKAR</v>
          </cell>
        </row>
        <row r="354">
          <cell r="A354" t="str">
            <v>DKR_0281</v>
          </cell>
          <cell r="S354" t="str">
            <v>RUFISQUE</v>
          </cell>
          <cell r="T354" t="str">
            <v>DAKAR</v>
          </cell>
        </row>
        <row r="355">
          <cell r="A355" t="str">
            <v>DKR_0282</v>
          </cell>
          <cell r="S355" t="str">
            <v>RUFISQUE</v>
          </cell>
          <cell r="T355" t="str">
            <v>DAKAR</v>
          </cell>
        </row>
        <row r="356">
          <cell r="A356" t="str">
            <v>DKR_2709</v>
          </cell>
          <cell r="S356" t="str">
            <v>RUFISQUE</v>
          </cell>
          <cell r="T356" t="str">
            <v>DAKAR</v>
          </cell>
        </row>
        <row r="357">
          <cell r="A357" t="str">
            <v>DKR_2716</v>
          </cell>
          <cell r="S357" t="str">
            <v>RUFISQUE</v>
          </cell>
          <cell r="T357" t="str">
            <v>DAKAR</v>
          </cell>
        </row>
        <row r="358">
          <cell r="A358" t="str">
            <v>DKR_0283</v>
          </cell>
          <cell r="S358" t="str">
            <v>RUFISQUE</v>
          </cell>
          <cell r="T358" t="str">
            <v>DAKAR</v>
          </cell>
        </row>
        <row r="359">
          <cell r="A359" t="str">
            <v>DKR_0284</v>
          </cell>
          <cell r="S359" t="str">
            <v>RUFISQUE</v>
          </cell>
          <cell r="T359" t="str">
            <v>DAKAR</v>
          </cell>
        </row>
        <row r="360">
          <cell r="A360" t="str">
            <v>DKR_0285</v>
          </cell>
          <cell r="S360" t="str">
            <v>GUEDIAWAYE</v>
          </cell>
          <cell r="T360" t="str">
            <v>DAKAR</v>
          </cell>
        </row>
        <row r="361">
          <cell r="A361" t="str">
            <v>DKR_0286</v>
          </cell>
          <cell r="S361" t="str">
            <v>THIAROYE</v>
          </cell>
          <cell r="T361" t="str">
            <v>DAKAR</v>
          </cell>
        </row>
        <row r="362">
          <cell r="A362" t="str">
            <v>DKR_0287</v>
          </cell>
          <cell r="S362" t="str">
            <v>THIAROYE</v>
          </cell>
          <cell r="T362" t="str">
            <v>DAKAR</v>
          </cell>
        </row>
        <row r="363">
          <cell r="A363" t="str">
            <v>DKR_2710</v>
          </cell>
          <cell r="S363" t="str">
            <v>RUFISQUE</v>
          </cell>
          <cell r="T363" t="str">
            <v>DAKAR</v>
          </cell>
        </row>
        <row r="364">
          <cell r="A364" t="str">
            <v>DKR_2726</v>
          </cell>
          <cell r="S364" t="str">
            <v>KEUR_MASSAR</v>
          </cell>
          <cell r="T364" t="str">
            <v>DAKAR</v>
          </cell>
        </row>
        <row r="365">
          <cell r="A365" t="str">
            <v>DKR_0288</v>
          </cell>
          <cell r="S365" t="str">
            <v>THIAROYE</v>
          </cell>
          <cell r="T365" t="str">
            <v>DAKAR</v>
          </cell>
        </row>
        <row r="366">
          <cell r="A366" t="str">
            <v>DKR_0289</v>
          </cell>
          <cell r="S366" t="str">
            <v>THIAROYE</v>
          </cell>
          <cell r="T366" t="str">
            <v>DAKAR</v>
          </cell>
        </row>
        <row r="367">
          <cell r="A367" t="str">
            <v>DKR_0290</v>
          </cell>
          <cell r="S367" t="str">
            <v>THIAROYE</v>
          </cell>
          <cell r="T367" t="str">
            <v>DAKAR</v>
          </cell>
        </row>
        <row r="368">
          <cell r="A368" t="str">
            <v>DKR_0291</v>
          </cell>
          <cell r="S368" t="str">
            <v>THIAROYE</v>
          </cell>
          <cell r="T368" t="str">
            <v>DAKAR</v>
          </cell>
        </row>
        <row r="369">
          <cell r="A369" t="str">
            <v>DKR_0292</v>
          </cell>
          <cell r="S369" t="str">
            <v>THIAROYE</v>
          </cell>
          <cell r="T369" t="str">
            <v>DAKAR</v>
          </cell>
        </row>
        <row r="370">
          <cell r="A370" t="str">
            <v>DKR_0293</v>
          </cell>
          <cell r="S370" t="str">
            <v>THIAROYE</v>
          </cell>
          <cell r="T370" t="str">
            <v>DAKAR</v>
          </cell>
        </row>
        <row r="371">
          <cell r="A371" t="str">
            <v>DKR_0294</v>
          </cell>
          <cell r="S371" t="str">
            <v>THIAROYE</v>
          </cell>
          <cell r="T371" t="str">
            <v>DAKAR</v>
          </cell>
        </row>
        <row r="372">
          <cell r="A372" t="str">
            <v>DKR_0295</v>
          </cell>
          <cell r="S372" t="str">
            <v>RUFISQUE</v>
          </cell>
          <cell r="T372" t="str">
            <v>DAKAR</v>
          </cell>
        </row>
        <row r="373">
          <cell r="A373" t="str">
            <v>DKR_2874</v>
          </cell>
          <cell r="S373" t="str">
            <v>Dakar</v>
          </cell>
          <cell r="T373" t="str">
            <v>KAOLACK</v>
          </cell>
        </row>
        <row r="374">
          <cell r="A374" t="str">
            <v>DKR_0296</v>
          </cell>
          <cell r="S374" t="str">
            <v>RUFISQUE</v>
          </cell>
          <cell r="T374" t="str">
            <v>DAKAR</v>
          </cell>
        </row>
        <row r="375">
          <cell r="A375" t="str">
            <v>DKR_0297</v>
          </cell>
          <cell r="S375" t="str">
            <v>RUFISQUE</v>
          </cell>
          <cell r="T375" t="str">
            <v>DAKAR</v>
          </cell>
        </row>
        <row r="376">
          <cell r="A376" t="str">
            <v>DKR_0298</v>
          </cell>
          <cell r="S376" t="str">
            <v>RUFISQUE</v>
          </cell>
          <cell r="T376" t="str">
            <v>DAKAR</v>
          </cell>
        </row>
        <row r="377">
          <cell r="A377" t="str">
            <v>DKR_0299</v>
          </cell>
          <cell r="S377" t="str">
            <v>RUFISQUE</v>
          </cell>
          <cell r="T377" t="str">
            <v>DAKAR</v>
          </cell>
        </row>
        <row r="378">
          <cell r="A378" t="str">
            <v>DKR_0300</v>
          </cell>
          <cell r="S378" t="str">
            <v>RUFISQUE</v>
          </cell>
          <cell r="T378" t="str">
            <v>DAKAR</v>
          </cell>
        </row>
        <row r="379">
          <cell r="A379" t="str">
            <v>DKR_0301</v>
          </cell>
          <cell r="S379" t="str">
            <v>RUFISQUE</v>
          </cell>
          <cell r="T379" t="str">
            <v>DAKAR</v>
          </cell>
        </row>
        <row r="380">
          <cell r="A380" t="str">
            <v>DKR_0302</v>
          </cell>
          <cell r="S380" t="str">
            <v>RUFISQUE</v>
          </cell>
          <cell r="T380" t="str">
            <v>DAKAR</v>
          </cell>
        </row>
        <row r="381">
          <cell r="A381" t="str">
            <v>DKR_2678</v>
          </cell>
          <cell r="S381" t="str">
            <v>RUFISQUE</v>
          </cell>
          <cell r="T381" t="str">
            <v>DAKAR</v>
          </cell>
        </row>
        <row r="382">
          <cell r="A382" t="str">
            <v>DKR_2727</v>
          </cell>
          <cell r="S382" t="str">
            <v>THIAROYE</v>
          </cell>
          <cell r="T382" t="str">
            <v>DAKAR</v>
          </cell>
        </row>
        <row r="383">
          <cell r="A383" t="str">
            <v>DKR_2742</v>
          </cell>
          <cell r="S383" t="str">
            <v>THIAROYE</v>
          </cell>
          <cell r="T383" t="str">
            <v>DAKAR</v>
          </cell>
        </row>
        <row r="384">
          <cell r="A384" t="str">
            <v>DKR_2810</v>
          </cell>
          <cell r="S384" t="str">
            <v>Dakar</v>
          </cell>
          <cell r="T384" t="str">
            <v>ZIGUINCHOR</v>
          </cell>
        </row>
        <row r="385">
          <cell r="A385" t="str">
            <v>DKR_2809</v>
          </cell>
          <cell r="S385" t="str">
            <v>DAKAR</v>
          </cell>
          <cell r="T385" t="str">
            <v>DAKAR</v>
          </cell>
        </row>
        <row r="386">
          <cell r="A386" t="str">
            <v>DKR_2835</v>
          </cell>
          <cell r="S386" t="str">
            <v>DAKAR</v>
          </cell>
          <cell r="T386" t="str">
            <v>DAKAR</v>
          </cell>
        </row>
        <row r="387">
          <cell r="A387" t="str">
            <v>DKR_0303</v>
          </cell>
          <cell r="S387" t="str">
            <v>RUFISQUE</v>
          </cell>
          <cell r="T387" t="str">
            <v>DAKAR</v>
          </cell>
        </row>
        <row r="388">
          <cell r="A388" t="str">
            <v>DKR_0304</v>
          </cell>
          <cell r="S388" t="str">
            <v>THIAROYE</v>
          </cell>
          <cell r="T388" t="str">
            <v>DAKAR</v>
          </cell>
        </row>
        <row r="389">
          <cell r="A389" t="str">
            <v>DKR_0305</v>
          </cell>
          <cell r="S389" t="str">
            <v>OUAKAM</v>
          </cell>
          <cell r="T389" t="str">
            <v>DAKAR</v>
          </cell>
        </row>
        <row r="390">
          <cell r="A390" t="str">
            <v>DBL_0306</v>
          </cell>
          <cell r="S390" t="str">
            <v>TAMBA</v>
          </cell>
          <cell r="T390" t="str">
            <v>TAMBACOUNDA</v>
          </cell>
        </row>
        <row r="391">
          <cell r="A391" t="str">
            <v>STL_0307</v>
          </cell>
          <cell r="S391" t="str">
            <v>LOUGA</v>
          </cell>
          <cell r="T391" t="str">
            <v>SAINT-LOUIS</v>
          </cell>
        </row>
        <row r="392">
          <cell r="A392" t="str">
            <v>DBL_2799</v>
          </cell>
          <cell r="S392" t="str">
            <v>DIOURBEL</v>
          </cell>
          <cell r="T392" t="str">
            <v>THIES</v>
          </cell>
        </row>
        <row r="393">
          <cell r="A393" t="str">
            <v>DKR_0308</v>
          </cell>
          <cell r="S393" t="str">
            <v>MEDINA</v>
          </cell>
          <cell r="T393" t="str">
            <v>DAKAR</v>
          </cell>
        </row>
        <row r="394">
          <cell r="A394" t="str">
            <v>DKR_0309</v>
          </cell>
          <cell r="S394" t="str">
            <v>MEDINA</v>
          </cell>
          <cell r="T394" t="str">
            <v>DAKAR</v>
          </cell>
        </row>
        <row r="395">
          <cell r="A395" t="str">
            <v>DKR_0310</v>
          </cell>
          <cell r="S395" t="str">
            <v>MEDINA</v>
          </cell>
          <cell r="T395" t="str">
            <v>DAKAR</v>
          </cell>
        </row>
        <row r="396">
          <cell r="A396" t="str">
            <v>DKR_0311</v>
          </cell>
          <cell r="S396" t="str">
            <v>MEDINA</v>
          </cell>
          <cell r="T396" t="str">
            <v>DAKAR</v>
          </cell>
        </row>
        <row r="397">
          <cell r="A397" t="str">
            <v>DKR_2876</v>
          </cell>
          <cell r="S397" t="str">
            <v>Dakar</v>
          </cell>
          <cell r="T397" t="str">
            <v>DAKAR</v>
          </cell>
        </row>
        <row r="398">
          <cell r="A398" t="str">
            <v>DKR_2790</v>
          </cell>
          <cell r="S398" t="str">
            <v>OUAKAM</v>
          </cell>
          <cell r="T398" t="str">
            <v>DAKAR</v>
          </cell>
        </row>
        <row r="399">
          <cell r="A399" t="str">
            <v>DKR_0312</v>
          </cell>
          <cell r="S399" t="str">
            <v>MEDINA</v>
          </cell>
          <cell r="T399" t="str">
            <v>DAKAR</v>
          </cell>
        </row>
        <row r="400">
          <cell r="A400" t="str">
            <v>ZIG_0313</v>
          </cell>
          <cell r="S400" t="str">
            <v>ZIGUINCHOR</v>
          </cell>
          <cell r="T400" t="str">
            <v>ZIGUINCHOR</v>
          </cell>
        </row>
        <row r="401">
          <cell r="A401" t="str">
            <v>KLK_0314</v>
          </cell>
          <cell r="S401" t="str">
            <v>SOKONE</v>
          </cell>
          <cell r="T401" t="str">
            <v>KAOLACK</v>
          </cell>
        </row>
        <row r="402">
          <cell r="A402" t="str">
            <v>TMB_0315</v>
          </cell>
          <cell r="S402" t="str">
            <v>KOUNGHEUL</v>
          </cell>
          <cell r="T402" t="str">
            <v>TAMBACOUNDA</v>
          </cell>
        </row>
        <row r="403">
          <cell r="A403" t="str">
            <v>DKR_0316</v>
          </cell>
          <cell r="S403" t="str">
            <v>MEDINA</v>
          </cell>
          <cell r="T403" t="str">
            <v>DAKAR</v>
          </cell>
        </row>
        <row r="404">
          <cell r="A404" t="str">
            <v>KLD_0317</v>
          </cell>
          <cell r="S404" t="str">
            <v>VELINGARA</v>
          </cell>
          <cell r="T404" t="str">
            <v>ZIGUINCHOR</v>
          </cell>
        </row>
        <row r="405">
          <cell r="A405" t="str">
            <v>KDG_0318</v>
          </cell>
          <cell r="S405" t="str">
            <v>KEDOUGOU</v>
          </cell>
          <cell r="T405" t="str">
            <v>TAMBACOUNDA</v>
          </cell>
        </row>
        <row r="406">
          <cell r="A406" t="str">
            <v>TMB_0319</v>
          </cell>
          <cell r="S406" t="str">
            <v>TAMBA</v>
          </cell>
          <cell r="T406" t="str">
            <v>TAMBACOUNDA</v>
          </cell>
        </row>
        <row r="407">
          <cell r="A407" t="str">
            <v>DBL_2757</v>
          </cell>
          <cell r="S407" t="str">
            <v>DIOURBEL</v>
          </cell>
          <cell r="T407" t="str">
            <v>THIES</v>
          </cell>
        </row>
        <row r="408">
          <cell r="A408" t="str">
            <v>STL_2808</v>
          </cell>
          <cell r="S408" t="str">
            <v>BAKEL</v>
          </cell>
          <cell r="T408" t="str">
            <v>SAINT-LOUIS</v>
          </cell>
        </row>
        <row r="409">
          <cell r="A409" t="str">
            <v>DBL_0320</v>
          </cell>
          <cell r="S409" t="str">
            <v>DIOURBEL</v>
          </cell>
          <cell r="T409" t="str">
            <v>THIES</v>
          </cell>
        </row>
        <row r="410">
          <cell r="A410" t="str">
            <v>KLK_0321</v>
          </cell>
          <cell r="S410" t="str">
            <v>KAOLACK</v>
          </cell>
          <cell r="T410" t="str">
            <v>KAOLACK</v>
          </cell>
        </row>
        <row r="411">
          <cell r="A411" t="str">
            <v>ORG_0322</v>
          </cell>
          <cell r="S411" t="str">
            <v>MATAM</v>
          </cell>
          <cell r="T411" t="str">
            <v>SAINT-LOUIS</v>
          </cell>
        </row>
        <row r="412">
          <cell r="A412" t="str">
            <v>KLD_0323</v>
          </cell>
          <cell r="S412" t="str">
            <v>VELINGARA</v>
          </cell>
          <cell r="T412" t="str">
            <v>ZIGUINCHOR</v>
          </cell>
        </row>
        <row r="413">
          <cell r="A413" t="str">
            <v>KLK_2847</v>
          </cell>
          <cell r="S413" t="str">
            <v>KAFFRINE</v>
          </cell>
          <cell r="T413" t="str">
            <v>KAOLACK</v>
          </cell>
        </row>
        <row r="414">
          <cell r="A414" t="str">
            <v>KLK_0324</v>
          </cell>
          <cell r="S414" t="str">
            <v>SOKONE</v>
          </cell>
          <cell r="T414" t="str">
            <v>KAOLACK</v>
          </cell>
        </row>
        <row r="415">
          <cell r="A415" t="str">
            <v>KLK_0325</v>
          </cell>
          <cell r="S415" t="str">
            <v>KAOLACK</v>
          </cell>
          <cell r="T415" t="str">
            <v>KAOLACK</v>
          </cell>
        </row>
        <row r="416">
          <cell r="A416" t="str">
            <v>THS_2744</v>
          </cell>
          <cell r="S416" t="str">
            <v>MBOUR</v>
          </cell>
          <cell r="T416" t="str">
            <v>THIES</v>
          </cell>
        </row>
        <row r="417">
          <cell r="A417" t="str">
            <v>NDM_0326</v>
          </cell>
          <cell r="S417" t="str">
            <v>SAINT-LOUIS</v>
          </cell>
          <cell r="T417" t="str">
            <v>SAINT-LOUIS</v>
          </cell>
        </row>
        <row r="418">
          <cell r="A418" t="str">
            <v>NDM_0327</v>
          </cell>
          <cell r="S418" t="str">
            <v>SAINT-LOUIS</v>
          </cell>
          <cell r="T418" t="str">
            <v>SAINT-LOUIS</v>
          </cell>
        </row>
        <row r="419">
          <cell r="A419" t="str">
            <v>BKL_0328</v>
          </cell>
          <cell r="S419" t="str">
            <v>BAKEL</v>
          </cell>
          <cell r="T419" t="str">
            <v>SAINT-LOUIS</v>
          </cell>
        </row>
        <row r="420">
          <cell r="A420" t="str">
            <v>DBL_0329</v>
          </cell>
          <cell r="S420" t="str">
            <v>LINGUERE</v>
          </cell>
          <cell r="T420" t="str">
            <v>SAINT-LOUIS</v>
          </cell>
        </row>
        <row r="421">
          <cell r="A421" t="str">
            <v>DBL_0330</v>
          </cell>
          <cell r="S421" t="str">
            <v>LINGUERE</v>
          </cell>
          <cell r="T421" t="str">
            <v>THIES</v>
          </cell>
        </row>
        <row r="422">
          <cell r="A422" t="str">
            <v>DBL_0331</v>
          </cell>
          <cell r="S422" t="str">
            <v>LINGUERE</v>
          </cell>
          <cell r="T422" t="str">
            <v>THIES</v>
          </cell>
        </row>
        <row r="423">
          <cell r="A423" t="str">
            <v>STL_2789</v>
          </cell>
          <cell r="S423" t="str">
            <v>LINGUERE</v>
          </cell>
          <cell r="T423" t="str">
            <v>SAINT-LOUIS</v>
          </cell>
        </row>
        <row r="424">
          <cell r="A424" t="str">
            <v>DKR_0332</v>
          </cell>
          <cell r="S424" t="str">
            <v>RUFISQUE</v>
          </cell>
          <cell r="T424" t="str">
            <v>DAKAR</v>
          </cell>
        </row>
        <row r="425">
          <cell r="A425" t="str">
            <v>DKR_0333</v>
          </cell>
          <cell r="S425" t="str">
            <v>MEDINA</v>
          </cell>
          <cell r="T425" t="str">
            <v>DAKAR</v>
          </cell>
        </row>
        <row r="426">
          <cell r="A426" t="str">
            <v>DKR_0334</v>
          </cell>
          <cell r="S426" t="str">
            <v>THIAROYE</v>
          </cell>
          <cell r="T426" t="str">
            <v>DAKAR</v>
          </cell>
        </row>
        <row r="427">
          <cell r="A427" t="str">
            <v>DKR_0335</v>
          </cell>
          <cell r="S427" t="str">
            <v>MEDINA</v>
          </cell>
          <cell r="T427" t="str">
            <v>DAKAR</v>
          </cell>
        </row>
        <row r="428">
          <cell r="A428" t="str">
            <v>KDG_0336</v>
          </cell>
          <cell r="S428" t="str">
            <v>KEDOUGOU</v>
          </cell>
          <cell r="T428" t="str">
            <v>TAMBACOUNDA</v>
          </cell>
        </row>
        <row r="429">
          <cell r="A429" t="str">
            <v>STL_0337</v>
          </cell>
          <cell r="S429" t="str">
            <v>SAINT-LOUIS</v>
          </cell>
          <cell r="T429" t="str">
            <v>SAINT-LOUIS</v>
          </cell>
        </row>
        <row r="430">
          <cell r="A430" t="str">
            <v>MBR_0338</v>
          </cell>
          <cell r="S430" t="str">
            <v>FATICK</v>
          </cell>
          <cell r="T430" t="str">
            <v>KAOLACK</v>
          </cell>
        </row>
        <row r="431">
          <cell r="A431" t="str">
            <v>KDG_0339</v>
          </cell>
          <cell r="S431" t="str">
            <v>GOUDIRY</v>
          </cell>
          <cell r="T431" t="str">
            <v>TAMBACOUNDA</v>
          </cell>
        </row>
        <row r="432">
          <cell r="A432" t="str">
            <v>BKL_0340</v>
          </cell>
          <cell r="S432" t="str">
            <v>GOUDIRY</v>
          </cell>
          <cell r="T432" t="str">
            <v>TAMBACOUNDA</v>
          </cell>
        </row>
        <row r="433">
          <cell r="A433" t="str">
            <v>DKR_0341</v>
          </cell>
          <cell r="S433" t="str">
            <v>THIAROYE</v>
          </cell>
          <cell r="T433" t="str">
            <v>DAKAR</v>
          </cell>
        </row>
        <row r="434">
          <cell r="A434" t="str">
            <v>DKR_0342</v>
          </cell>
          <cell r="S434" t="str">
            <v>THIAROYE</v>
          </cell>
          <cell r="T434" t="str">
            <v>DAKAR</v>
          </cell>
        </row>
        <row r="435">
          <cell r="A435" t="str">
            <v>DKR_0343</v>
          </cell>
          <cell r="S435" t="str">
            <v>THIAROYE</v>
          </cell>
          <cell r="T435" t="str">
            <v>DAKAR</v>
          </cell>
        </row>
        <row r="436">
          <cell r="A436" t="str">
            <v>DKR_0344</v>
          </cell>
          <cell r="S436" t="str">
            <v>THIAROYE</v>
          </cell>
          <cell r="T436" t="str">
            <v>DAKAR</v>
          </cell>
        </row>
        <row r="437">
          <cell r="A437" t="str">
            <v>DKR_0345</v>
          </cell>
          <cell r="S437" t="str">
            <v>THIAROYE</v>
          </cell>
          <cell r="T437" t="str">
            <v>DAKAR</v>
          </cell>
        </row>
        <row r="438">
          <cell r="A438" t="str">
            <v>DKR_0346</v>
          </cell>
          <cell r="S438" t="str">
            <v>THIAROYE</v>
          </cell>
          <cell r="T438" t="str">
            <v>DAKAR</v>
          </cell>
        </row>
        <row r="439">
          <cell r="A439" t="str">
            <v>KDG_0347</v>
          </cell>
          <cell r="S439" t="str">
            <v>KEDOUGOU</v>
          </cell>
          <cell r="T439" t="str">
            <v>TAMBACOUNDA</v>
          </cell>
        </row>
        <row r="440">
          <cell r="A440" t="str">
            <v>KDG_0348</v>
          </cell>
          <cell r="S440" t="str">
            <v>KEDOUGOU</v>
          </cell>
          <cell r="T440" t="str">
            <v>TAMBACOUNDA</v>
          </cell>
        </row>
        <row r="441">
          <cell r="A441" t="str">
            <v>KDG_2715</v>
          </cell>
          <cell r="S441" t="str">
            <v>KEDOUGOU</v>
          </cell>
          <cell r="T441" t="str">
            <v>TAMBACOUNDA</v>
          </cell>
        </row>
        <row r="442">
          <cell r="A442" t="str">
            <v>ZIG_0349</v>
          </cell>
          <cell r="S442" t="str">
            <v>ZIGUINCHOR</v>
          </cell>
          <cell r="T442" t="str">
            <v>ZIGUINCHOR</v>
          </cell>
        </row>
        <row r="443">
          <cell r="A443" t="str">
            <v>THS_0350</v>
          </cell>
          <cell r="S443" t="str">
            <v>THIES</v>
          </cell>
          <cell r="T443" t="str">
            <v>THIES</v>
          </cell>
        </row>
        <row r="444">
          <cell r="A444" t="str">
            <v>DBL_2726</v>
          </cell>
          <cell r="S444" t="str">
            <v>DIOURBEL</v>
          </cell>
          <cell r="T444" t="str">
            <v>THIES</v>
          </cell>
        </row>
        <row r="445">
          <cell r="A445" t="str">
            <v>ORG_0351</v>
          </cell>
          <cell r="S445" t="str">
            <v>MATAM</v>
          </cell>
          <cell r="T445" t="str">
            <v>SAINT-LOUIS</v>
          </cell>
        </row>
        <row r="446">
          <cell r="S446" t="e">
            <v>#N/A</v>
          </cell>
          <cell r="T446" t="e">
            <v>#N/A</v>
          </cell>
        </row>
        <row r="447">
          <cell r="A447" t="str">
            <v>KLK_0352</v>
          </cell>
          <cell r="S447" t="str">
            <v>KAOLACK</v>
          </cell>
          <cell r="T447" t="str">
            <v>KAOLACK</v>
          </cell>
        </row>
        <row r="448">
          <cell r="A448" t="str">
            <v>ZIG_0353</v>
          </cell>
          <cell r="S448" t="str">
            <v>ZIGUINCHOR</v>
          </cell>
          <cell r="T448" t="str">
            <v>ZIGUINCHOR</v>
          </cell>
        </row>
        <row r="449">
          <cell r="A449" t="str">
            <v>STL_2669</v>
          </cell>
          <cell r="S449" t="str">
            <v>LOUGA</v>
          </cell>
          <cell r="T449" t="str">
            <v>SAINT-LOUIS</v>
          </cell>
        </row>
        <row r="450">
          <cell r="A450" t="str">
            <v>DBL_0354</v>
          </cell>
          <cell r="S450" t="str">
            <v>KOUNGHEUL</v>
          </cell>
          <cell r="T450" t="str">
            <v>TAMBACOUNDA</v>
          </cell>
        </row>
        <row r="451">
          <cell r="A451" t="str">
            <v>THS_2652</v>
          </cell>
          <cell r="S451" t="str">
            <v>TIVAOUANE</v>
          </cell>
          <cell r="T451" t="str">
            <v>THIES</v>
          </cell>
        </row>
        <row r="452">
          <cell r="A452" t="str">
            <v>DBL_0355</v>
          </cell>
          <cell r="S452" t="str">
            <v>TOUBA02</v>
          </cell>
          <cell r="T452" t="str">
            <v>THIES</v>
          </cell>
        </row>
        <row r="453">
          <cell r="A453" t="str">
            <v>KLD_0356</v>
          </cell>
          <cell r="S453" t="str">
            <v>VELINGARA</v>
          </cell>
          <cell r="T453" t="str">
            <v>ZIGUINCHOR</v>
          </cell>
        </row>
        <row r="454">
          <cell r="A454" t="str">
            <v>KLD_2748</v>
          </cell>
          <cell r="S454" t="str">
            <v>VELINGARA</v>
          </cell>
          <cell r="T454" t="str">
            <v>ZIGUINCHOR</v>
          </cell>
        </row>
        <row r="455">
          <cell r="A455" t="str">
            <v>STL_2774</v>
          </cell>
          <cell r="S455" t="str">
            <v>SAINT-LOUIS</v>
          </cell>
          <cell r="T455" t="str">
            <v>SAINT-LOUIS</v>
          </cell>
        </row>
        <row r="456">
          <cell r="A456" t="str">
            <v>KLK_0357</v>
          </cell>
          <cell r="S456" t="str">
            <v>KOUNGHEUL</v>
          </cell>
          <cell r="T456" t="str">
            <v>TAMBACOUNDA</v>
          </cell>
        </row>
        <row r="457">
          <cell r="A457" t="str">
            <v>KLD_0358</v>
          </cell>
          <cell r="S457" t="str">
            <v>KOLDA</v>
          </cell>
          <cell r="T457" t="str">
            <v>ZIGUINCHOR</v>
          </cell>
        </row>
        <row r="458">
          <cell r="A458" t="str">
            <v>DBL_0359</v>
          </cell>
          <cell r="S458" t="str">
            <v>TOUBA02</v>
          </cell>
          <cell r="T458" t="str">
            <v>THIES</v>
          </cell>
        </row>
        <row r="459">
          <cell r="A459" t="str">
            <v>DBL_0360</v>
          </cell>
          <cell r="S459" t="str">
            <v>TOUBA02</v>
          </cell>
          <cell r="T459" t="str">
            <v>THIES</v>
          </cell>
        </row>
        <row r="460">
          <cell r="A460" t="str">
            <v>DBL_0361</v>
          </cell>
          <cell r="S460" t="str">
            <v>TOUBA02</v>
          </cell>
          <cell r="T460" t="str">
            <v>THIES</v>
          </cell>
        </row>
        <row r="461">
          <cell r="A461" t="str">
            <v>DBL_0362</v>
          </cell>
          <cell r="S461" t="str">
            <v>TOUBA02</v>
          </cell>
          <cell r="T461" t="str">
            <v>THIES</v>
          </cell>
        </row>
        <row r="462">
          <cell r="A462" t="str">
            <v>DBL_0363</v>
          </cell>
          <cell r="S462" t="str">
            <v>TOUBA02</v>
          </cell>
          <cell r="T462" t="str">
            <v>THIES</v>
          </cell>
        </row>
        <row r="463">
          <cell r="A463" t="str">
            <v>DBL_0364</v>
          </cell>
          <cell r="S463" t="str">
            <v>TOUBA02</v>
          </cell>
          <cell r="T463" t="str">
            <v>THIES</v>
          </cell>
        </row>
        <row r="464">
          <cell r="A464" t="str">
            <v>DBL_0365</v>
          </cell>
          <cell r="S464" t="str">
            <v>TOUBA02</v>
          </cell>
          <cell r="T464" t="str">
            <v>THIES</v>
          </cell>
        </row>
        <row r="465">
          <cell r="A465" t="str">
            <v>DBL_0366</v>
          </cell>
          <cell r="S465" t="str">
            <v>TOUBA02</v>
          </cell>
          <cell r="T465" t="str">
            <v>THIES</v>
          </cell>
        </row>
        <row r="466">
          <cell r="A466" t="str">
            <v>KLK_0367</v>
          </cell>
          <cell r="S466" t="str">
            <v>KOUNGHEUL</v>
          </cell>
          <cell r="T466" t="str">
            <v>TAMBACOUNDA</v>
          </cell>
        </row>
        <row r="467">
          <cell r="A467" t="str">
            <v>DBL_0368</v>
          </cell>
          <cell r="S467" t="str">
            <v>TOUBA02</v>
          </cell>
          <cell r="T467" t="str">
            <v>THIES</v>
          </cell>
        </row>
        <row r="468">
          <cell r="A468" t="str">
            <v>DBL_0369</v>
          </cell>
          <cell r="S468" t="str">
            <v>TOUBA01</v>
          </cell>
          <cell r="T468" t="str">
            <v>THIES</v>
          </cell>
        </row>
        <row r="469">
          <cell r="A469" t="str">
            <v>DBL_0370</v>
          </cell>
          <cell r="S469" t="str">
            <v>KAFFRINE</v>
          </cell>
          <cell r="T469" t="str">
            <v>KAOLACK</v>
          </cell>
        </row>
        <row r="470">
          <cell r="A470" t="str">
            <v>DBL_0371</v>
          </cell>
          <cell r="S470" t="str">
            <v>TOUBA01</v>
          </cell>
          <cell r="T470" t="str">
            <v>THIES</v>
          </cell>
        </row>
        <row r="471">
          <cell r="A471" t="str">
            <v>DBL_0372</v>
          </cell>
          <cell r="S471" t="str">
            <v>TOUBA01</v>
          </cell>
          <cell r="T471" t="str">
            <v>THIES</v>
          </cell>
        </row>
        <row r="472">
          <cell r="A472" t="str">
            <v>DBL_0373</v>
          </cell>
          <cell r="S472" t="str">
            <v>TOUBA01</v>
          </cell>
          <cell r="T472" t="str">
            <v>THIES</v>
          </cell>
        </row>
        <row r="473">
          <cell r="A473" t="str">
            <v>DBL_0374</v>
          </cell>
          <cell r="S473" t="str">
            <v>TOUBA01</v>
          </cell>
          <cell r="T473" t="str">
            <v>THIES</v>
          </cell>
        </row>
        <row r="474">
          <cell r="A474" t="str">
            <v>DBL_0375</v>
          </cell>
          <cell r="S474" t="str">
            <v>TOUBA01</v>
          </cell>
          <cell r="T474" t="str">
            <v>THIES</v>
          </cell>
        </row>
        <row r="475">
          <cell r="A475" t="str">
            <v>DBL_2736</v>
          </cell>
          <cell r="S475" t="str">
            <v>TOUBA</v>
          </cell>
          <cell r="T475" t="str">
            <v>THIES</v>
          </cell>
        </row>
        <row r="476">
          <cell r="A476" t="str">
            <v>DBL_0376</v>
          </cell>
          <cell r="S476" t="str">
            <v>TOUBA02</v>
          </cell>
          <cell r="T476" t="str">
            <v>THIES</v>
          </cell>
        </row>
        <row r="477">
          <cell r="A477" t="str">
            <v>DBL_0377</v>
          </cell>
          <cell r="S477" t="str">
            <v>TOUBA02</v>
          </cell>
          <cell r="T477" t="str">
            <v>THIES</v>
          </cell>
        </row>
        <row r="478">
          <cell r="A478" t="str">
            <v>DBL_0378</v>
          </cell>
          <cell r="S478" t="str">
            <v>TOUBA02</v>
          </cell>
          <cell r="T478" t="str">
            <v>THIES</v>
          </cell>
        </row>
        <row r="479">
          <cell r="A479" t="str">
            <v>DBL_0379</v>
          </cell>
          <cell r="S479" t="str">
            <v>TOUBA02</v>
          </cell>
          <cell r="T479" t="str">
            <v>THIES</v>
          </cell>
        </row>
        <row r="480">
          <cell r="A480" t="str">
            <v>DBL_0380</v>
          </cell>
          <cell r="S480" t="str">
            <v>TOUBA02</v>
          </cell>
          <cell r="T480" t="str">
            <v>THIES</v>
          </cell>
        </row>
        <row r="481">
          <cell r="A481" t="str">
            <v>DBL_0381</v>
          </cell>
          <cell r="S481" t="str">
            <v>TOUBA02</v>
          </cell>
          <cell r="T481" t="str">
            <v>THIES</v>
          </cell>
        </row>
        <row r="482">
          <cell r="A482" t="str">
            <v>DBL_0382</v>
          </cell>
          <cell r="S482" t="str">
            <v>KOLDA</v>
          </cell>
          <cell r="T482" t="str">
            <v>ZIGUINCHOR</v>
          </cell>
        </row>
        <row r="483">
          <cell r="A483" t="str">
            <v>DBL_0383</v>
          </cell>
          <cell r="S483" t="str">
            <v>DIOURBEL</v>
          </cell>
          <cell r="T483" t="str">
            <v>THIES</v>
          </cell>
        </row>
        <row r="484">
          <cell r="A484" t="str">
            <v>DBL_2727</v>
          </cell>
          <cell r="S484" t="str">
            <v>TOUBA</v>
          </cell>
          <cell r="T484" t="str">
            <v>THIES</v>
          </cell>
        </row>
        <row r="485">
          <cell r="A485" t="str">
            <v>THS_2693</v>
          </cell>
          <cell r="S485" t="str">
            <v>LOUGA</v>
          </cell>
          <cell r="T485" t="str">
            <v>SAINT-LOUIS</v>
          </cell>
        </row>
        <row r="486">
          <cell r="A486" t="str">
            <v>TMB_0384</v>
          </cell>
          <cell r="S486" t="str">
            <v>GOUDIRY</v>
          </cell>
          <cell r="T486" t="str">
            <v>TAMBACOUNDA</v>
          </cell>
        </row>
        <row r="487">
          <cell r="A487" t="str">
            <v>DBL_0385</v>
          </cell>
          <cell r="S487" t="str">
            <v>LINGUERE</v>
          </cell>
          <cell r="T487" t="str">
            <v>THIES</v>
          </cell>
        </row>
        <row r="488">
          <cell r="A488" t="str">
            <v>STL_2734</v>
          </cell>
          <cell r="S488" t="str">
            <v>LOUGA</v>
          </cell>
          <cell r="T488" t="str">
            <v>SAINT-LOUIS</v>
          </cell>
        </row>
        <row r="489">
          <cell r="A489" t="str">
            <v>DKR_0386</v>
          </cell>
          <cell r="S489" t="str">
            <v>THIAROYE</v>
          </cell>
          <cell r="T489" t="str">
            <v>DAKAR</v>
          </cell>
        </row>
        <row r="490">
          <cell r="A490" t="str">
            <v>DBL_2752</v>
          </cell>
          <cell r="S490" t="str">
            <v>TOUBA</v>
          </cell>
          <cell r="T490" t="str">
            <v>THIES</v>
          </cell>
        </row>
        <row r="491">
          <cell r="A491" t="str">
            <v>DKR_0387</v>
          </cell>
          <cell r="S491" t="str">
            <v>THIAROYE</v>
          </cell>
          <cell r="T491" t="str">
            <v>DAKAR</v>
          </cell>
        </row>
        <row r="492">
          <cell r="A492" t="str">
            <v>KLK_2748</v>
          </cell>
          <cell r="S492" t="str">
            <v>NIORO</v>
          </cell>
          <cell r="T492" t="str">
            <v>KAOLACK</v>
          </cell>
        </row>
        <row r="493">
          <cell r="A493" t="str">
            <v>TMB_0402</v>
          </cell>
          <cell r="S493" t="str">
            <v>TAMBA</v>
          </cell>
          <cell r="T493" t="str">
            <v>TAMBACOUNDA</v>
          </cell>
        </row>
        <row r="494">
          <cell r="A494" t="str">
            <v>TMB_0388</v>
          </cell>
          <cell r="S494" t="str">
            <v>TAMBA</v>
          </cell>
          <cell r="T494" t="str">
            <v>TAMBACOUNDA</v>
          </cell>
        </row>
        <row r="495">
          <cell r="A495" t="str">
            <v>KLK_0389</v>
          </cell>
          <cell r="S495" t="str">
            <v>KOUNGHEUL</v>
          </cell>
          <cell r="T495" t="str">
            <v>TAMBACOUNDA</v>
          </cell>
        </row>
        <row r="496">
          <cell r="A496" t="str">
            <v>TMB_0390</v>
          </cell>
          <cell r="S496" t="str">
            <v>TAMBA</v>
          </cell>
          <cell r="T496" t="str">
            <v>TAMBACOUNDA</v>
          </cell>
        </row>
        <row r="497">
          <cell r="A497" t="str">
            <v>STL_2735</v>
          </cell>
          <cell r="S497" t="str">
            <v>LINGUERE</v>
          </cell>
          <cell r="T497" t="str">
            <v>SAINT-LOUIS</v>
          </cell>
        </row>
        <row r="498">
          <cell r="A498" t="str">
            <v>DBL_0391</v>
          </cell>
          <cell r="S498" t="str">
            <v>KAOLACK</v>
          </cell>
          <cell r="T498" t="str">
            <v>KAOLACK</v>
          </cell>
        </row>
        <row r="499">
          <cell r="A499" t="str">
            <v>DBL_0392</v>
          </cell>
          <cell r="S499" t="str">
            <v>TOUBA01</v>
          </cell>
          <cell r="T499" t="str">
            <v>THIES</v>
          </cell>
        </row>
        <row r="500">
          <cell r="A500" t="str">
            <v>KLK_0393</v>
          </cell>
          <cell r="S500" t="str">
            <v>KAFFRINE</v>
          </cell>
          <cell r="T500" t="str">
            <v>KAOLACK</v>
          </cell>
        </row>
        <row r="501">
          <cell r="A501" t="str">
            <v>DBL_0394</v>
          </cell>
          <cell r="S501" t="str">
            <v>TOUBA01</v>
          </cell>
          <cell r="T501" t="str">
            <v>THIES</v>
          </cell>
        </row>
        <row r="502">
          <cell r="A502" t="str">
            <v>DKR_0395</v>
          </cell>
          <cell r="S502" t="str">
            <v>GUEDIAWAYE</v>
          </cell>
          <cell r="T502" t="str">
            <v>DAKAR</v>
          </cell>
        </row>
        <row r="503">
          <cell r="A503" t="str">
            <v>DKR_03961</v>
          </cell>
          <cell r="S503" t="str">
            <v>GUEDIAWAYE</v>
          </cell>
          <cell r="T503" t="str">
            <v>DAKAR</v>
          </cell>
        </row>
        <row r="504">
          <cell r="A504" t="str">
            <v>DKR_0396</v>
          </cell>
          <cell r="S504" t="str">
            <v>GUEDIAWAYE</v>
          </cell>
          <cell r="T504" t="str">
            <v>DAKAR</v>
          </cell>
        </row>
        <row r="505">
          <cell r="A505" t="str">
            <v>DKR_0397</v>
          </cell>
          <cell r="S505" t="str">
            <v>GUEDIAWAYE</v>
          </cell>
          <cell r="T505" t="str">
            <v>DAKAR</v>
          </cell>
        </row>
        <row r="506">
          <cell r="A506" t="str">
            <v>DKR_0398</v>
          </cell>
          <cell r="S506" t="str">
            <v>GUEDIAWAYE</v>
          </cell>
          <cell r="T506" t="str">
            <v>DAKAR</v>
          </cell>
        </row>
        <row r="507">
          <cell r="A507" t="str">
            <v>DKR_0399</v>
          </cell>
          <cell r="S507" t="str">
            <v>GUEDIAWAYE</v>
          </cell>
          <cell r="T507" t="str">
            <v>DAKAR</v>
          </cell>
        </row>
        <row r="508">
          <cell r="A508" t="str">
            <v>DKR_0400</v>
          </cell>
          <cell r="S508" t="str">
            <v>GUEDIAWAYE</v>
          </cell>
          <cell r="T508" t="str">
            <v>DAKAR</v>
          </cell>
        </row>
        <row r="509">
          <cell r="A509" t="str">
            <v>DKR_0401</v>
          </cell>
          <cell r="S509" t="str">
            <v>GUEDIAWAYE</v>
          </cell>
          <cell r="T509" t="str">
            <v>DAKAR</v>
          </cell>
        </row>
        <row r="510">
          <cell r="A510" t="str">
            <v>DKR_2717</v>
          </cell>
          <cell r="S510" t="str">
            <v>GUEDIAWAYE</v>
          </cell>
          <cell r="T510" t="str">
            <v>DAKAR</v>
          </cell>
        </row>
        <row r="511">
          <cell r="A511" t="str">
            <v>THS_2839</v>
          </cell>
          <cell r="S511" t="str">
            <v>MBOUR</v>
          </cell>
          <cell r="T511" t="str">
            <v>THIES</v>
          </cell>
        </row>
        <row r="512">
          <cell r="A512" t="str">
            <v>DBL_0403</v>
          </cell>
          <cell r="S512" t="str">
            <v>TOUBA01</v>
          </cell>
          <cell r="T512" t="str">
            <v>THIES</v>
          </cell>
        </row>
        <row r="513">
          <cell r="A513" t="str">
            <v>DBL_0404</v>
          </cell>
          <cell r="S513" t="str">
            <v>TOUBA01</v>
          </cell>
          <cell r="T513" t="str">
            <v>THIES</v>
          </cell>
        </row>
        <row r="514">
          <cell r="A514" t="str">
            <v>DBL_0405</v>
          </cell>
          <cell r="S514" t="str">
            <v>TOUBA01</v>
          </cell>
          <cell r="T514" t="str">
            <v>THIES</v>
          </cell>
        </row>
        <row r="515">
          <cell r="A515" t="str">
            <v>DBL_0406</v>
          </cell>
          <cell r="S515" t="str">
            <v>TOUBA01</v>
          </cell>
          <cell r="T515" t="str">
            <v>THIES</v>
          </cell>
        </row>
        <row r="516">
          <cell r="A516" t="str">
            <v>DBL_0407</v>
          </cell>
          <cell r="S516" t="str">
            <v>TOUBA01</v>
          </cell>
          <cell r="T516" t="str">
            <v>THIES</v>
          </cell>
        </row>
        <row r="517">
          <cell r="A517" t="str">
            <v>DBL_0408</v>
          </cell>
          <cell r="S517" t="str">
            <v>TOUBA01</v>
          </cell>
          <cell r="T517" t="str">
            <v>THIES</v>
          </cell>
        </row>
        <row r="518">
          <cell r="A518" t="str">
            <v>DBL_0409</v>
          </cell>
          <cell r="S518" t="str">
            <v>TOUBA01</v>
          </cell>
          <cell r="T518" t="str">
            <v>THIES</v>
          </cell>
        </row>
        <row r="519">
          <cell r="A519" t="str">
            <v>DBL_2642</v>
          </cell>
          <cell r="S519" t="str">
            <v>TOUBA01</v>
          </cell>
          <cell r="T519" t="str">
            <v>THIES</v>
          </cell>
        </row>
        <row r="520">
          <cell r="A520" t="str">
            <v>DBL_2643</v>
          </cell>
          <cell r="S520" t="str">
            <v>TOUBA01</v>
          </cell>
          <cell r="T520" t="str">
            <v>THIES</v>
          </cell>
        </row>
        <row r="521">
          <cell r="A521" t="str">
            <v>DBL_2640</v>
          </cell>
          <cell r="S521" t="str">
            <v>TOUBA01</v>
          </cell>
          <cell r="T521" t="str">
            <v>THIES</v>
          </cell>
        </row>
        <row r="522">
          <cell r="A522" t="str">
            <v>DBL_2767</v>
          </cell>
          <cell r="S522" t="str">
            <v>DIOURBEL</v>
          </cell>
          <cell r="T522" t="str">
            <v>THIES</v>
          </cell>
        </row>
        <row r="523">
          <cell r="A523" t="str">
            <v>STL_2772</v>
          </cell>
          <cell r="S523" t="str">
            <v>LOUGA</v>
          </cell>
          <cell r="T523" t="str">
            <v>SAINT-LOUIS</v>
          </cell>
        </row>
        <row r="524">
          <cell r="A524" t="str">
            <v>TMB_0411</v>
          </cell>
          <cell r="S524" t="str">
            <v>TAMBA</v>
          </cell>
          <cell r="T524" t="str">
            <v>TAMBACOUNDA</v>
          </cell>
        </row>
        <row r="525">
          <cell r="A525" t="str">
            <v>TMB_0412</v>
          </cell>
          <cell r="S525" t="str">
            <v>TAMBA</v>
          </cell>
          <cell r="T525" t="str">
            <v>TAMBACOUNDA</v>
          </cell>
        </row>
        <row r="526">
          <cell r="A526" t="str">
            <v>TMB_2724</v>
          </cell>
          <cell r="S526" t="str">
            <v>TAMBA</v>
          </cell>
          <cell r="T526" t="str">
            <v>TAMBACOUNDA</v>
          </cell>
        </row>
        <row r="527">
          <cell r="A527" t="str">
            <v>KLD_0413</v>
          </cell>
          <cell r="S527" t="str">
            <v>SEDHIOU</v>
          </cell>
          <cell r="T527" t="str">
            <v>ZIGUINCHOR</v>
          </cell>
        </row>
        <row r="528">
          <cell r="A528" t="str">
            <v>KLD_2759</v>
          </cell>
          <cell r="S528" t="str">
            <v>SEDHIOU</v>
          </cell>
          <cell r="T528" t="str">
            <v>ZIGUINCHOR</v>
          </cell>
        </row>
        <row r="529">
          <cell r="A529" t="str">
            <v>TMB_0414</v>
          </cell>
          <cell r="S529" t="str">
            <v>TAMBA</v>
          </cell>
          <cell r="T529" t="str">
            <v>TAMBACOUNDA</v>
          </cell>
        </row>
        <row r="530">
          <cell r="A530" t="str">
            <v>DBL_0415</v>
          </cell>
          <cell r="S530" t="str">
            <v>LINGUERE</v>
          </cell>
          <cell r="T530" t="str">
            <v>THIES</v>
          </cell>
        </row>
        <row r="531">
          <cell r="A531" t="str">
            <v>DBL_0416</v>
          </cell>
          <cell r="S531" t="str">
            <v>DIOURBEL</v>
          </cell>
          <cell r="T531" t="str">
            <v>THIES</v>
          </cell>
        </row>
        <row r="532">
          <cell r="A532" t="str">
            <v>DBL_0417</v>
          </cell>
          <cell r="S532" t="str">
            <v>DIOURBEL</v>
          </cell>
          <cell r="T532" t="str">
            <v>THIES</v>
          </cell>
        </row>
        <row r="533">
          <cell r="A533" t="str">
            <v>DBL_0418</v>
          </cell>
          <cell r="S533" t="str">
            <v>DIOURBEL</v>
          </cell>
          <cell r="T533" t="str">
            <v>THIES</v>
          </cell>
        </row>
        <row r="534">
          <cell r="A534" t="str">
            <v>DBL_0419</v>
          </cell>
          <cell r="S534" t="str">
            <v>DIOURBEL</v>
          </cell>
          <cell r="T534" t="str">
            <v>THIES</v>
          </cell>
        </row>
        <row r="535">
          <cell r="A535" t="str">
            <v>DBL_0420</v>
          </cell>
          <cell r="S535" t="str">
            <v>DIOURBEL</v>
          </cell>
          <cell r="T535" t="str">
            <v>THIES</v>
          </cell>
        </row>
        <row r="536">
          <cell r="A536" t="str">
            <v>DBL_0421</v>
          </cell>
          <cell r="S536" t="str">
            <v>DIOURBEL</v>
          </cell>
          <cell r="T536" t="str">
            <v>THIES</v>
          </cell>
        </row>
        <row r="537">
          <cell r="A537" t="str">
            <v>DBL_0422</v>
          </cell>
          <cell r="S537" t="str">
            <v>DIOURBEL</v>
          </cell>
          <cell r="T537" t="str">
            <v>THIES</v>
          </cell>
        </row>
        <row r="538">
          <cell r="A538" t="str">
            <v>DBL_0423</v>
          </cell>
          <cell r="S538" t="str">
            <v>DIOURBEL</v>
          </cell>
          <cell r="T538" t="str">
            <v>THIES</v>
          </cell>
        </row>
        <row r="539">
          <cell r="A539" t="str">
            <v>DBL_0424</v>
          </cell>
          <cell r="S539" t="str">
            <v>DIOURBEL</v>
          </cell>
          <cell r="T539" t="str">
            <v>THIES</v>
          </cell>
        </row>
        <row r="540">
          <cell r="A540" t="str">
            <v>DBL_0425</v>
          </cell>
          <cell r="S540" t="str">
            <v>DIOURBEL</v>
          </cell>
          <cell r="T540" t="str">
            <v>THIES</v>
          </cell>
        </row>
        <row r="541">
          <cell r="A541" t="str">
            <v>DBL_0426</v>
          </cell>
          <cell r="S541" t="str">
            <v>DIOURBEL</v>
          </cell>
          <cell r="T541" t="str">
            <v>THIES</v>
          </cell>
        </row>
        <row r="542">
          <cell r="A542" t="str">
            <v>DBL_0427</v>
          </cell>
          <cell r="S542" t="str">
            <v>DIOURBEL</v>
          </cell>
          <cell r="T542" t="str">
            <v>THIES</v>
          </cell>
        </row>
        <row r="543">
          <cell r="A543" t="str">
            <v>DBL_0428</v>
          </cell>
          <cell r="S543" t="str">
            <v>DIOURBEL</v>
          </cell>
          <cell r="T543" t="str">
            <v>THIES</v>
          </cell>
        </row>
        <row r="544">
          <cell r="A544" t="str">
            <v>DBL_0429</v>
          </cell>
          <cell r="S544" t="str">
            <v>DIOURBEL</v>
          </cell>
          <cell r="T544" t="str">
            <v>THIES</v>
          </cell>
        </row>
        <row r="545">
          <cell r="A545" t="str">
            <v>DBL_0430</v>
          </cell>
          <cell r="S545" t="str">
            <v>DIOURBEL</v>
          </cell>
          <cell r="T545" t="str">
            <v>THIES</v>
          </cell>
        </row>
        <row r="546">
          <cell r="A546" t="str">
            <v>DBL_0431</v>
          </cell>
          <cell r="S546" t="str">
            <v>DIOURBEL</v>
          </cell>
          <cell r="T546" t="str">
            <v>THIES</v>
          </cell>
        </row>
        <row r="547">
          <cell r="A547" t="str">
            <v>DBL_0432</v>
          </cell>
          <cell r="S547" t="str">
            <v>DIOURBEL</v>
          </cell>
          <cell r="T547" t="str">
            <v>THIES</v>
          </cell>
        </row>
        <row r="548">
          <cell r="A548" t="str">
            <v>DBL_2754</v>
          </cell>
          <cell r="S548" t="str">
            <v>DIOURBEL</v>
          </cell>
          <cell r="T548" t="str">
            <v>THIES</v>
          </cell>
        </row>
        <row r="549">
          <cell r="A549" t="str">
            <v>DBL_0433</v>
          </cell>
          <cell r="S549" t="str">
            <v>TOUBA02</v>
          </cell>
          <cell r="T549" t="str">
            <v>THIES</v>
          </cell>
        </row>
        <row r="550">
          <cell r="A550" t="str">
            <v>DBL_0434</v>
          </cell>
          <cell r="S550" t="str">
            <v>KAFFRINE</v>
          </cell>
          <cell r="T550" t="str">
            <v>KAOLACK</v>
          </cell>
        </row>
        <row r="551">
          <cell r="A551" t="str">
            <v>DBL_0435</v>
          </cell>
          <cell r="S551" t="str">
            <v>KAOLACK</v>
          </cell>
          <cell r="T551" t="str">
            <v>KAOLACK</v>
          </cell>
        </row>
        <row r="552">
          <cell r="A552" t="str">
            <v>KDG_2732</v>
          </cell>
          <cell r="S552" t="str">
            <v>KEDOUGOU</v>
          </cell>
          <cell r="T552" t="str">
            <v>TAMBACOUNDA</v>
          </cell>
        </row>
        <row r="553">
          <cell r="A553" t="str">
            <v>BKL_0436</v>
          </cell>
          <cell r="S553" t="str">
            <v>BAKEL</v>
          </cell>
          <cell r="T553" t="str">
            <v>SAINT-LOUIS</v>
          </cell>
        </row>
        <row r="554">
          <cell r="A554" t="str">
            <v>NDM_0437</v>
          </cell>
          <cell r="S554" t="str">
            <v>NDIOUM</v>
          </cell>
          <cell r="T554" t="str">
            <v>SAINT-LOUIS</v>
          </cell>
        </row>
        <row r="555">
          <cell r="S555" t="e">
            <v>#N/A</v>
          </cell>
          <cell r="T555" t="e">
            <v>#N/A</v>
          </cell>
        </row>
        <row r="556">
          <cell r="A556" t="str">
            <v>TMB_0438</v>
          </cell>
          <cell r="S556" t="str">
            <v>GOUDIRY</v>
          </cell>
          <cell r="T556" t="str">
            <v>TAMBACOUNDA</v>
          </cell>
        </row>
        <row r="557">
          <cell r="A557" t="str">
            <v>ORG_0439</v>
          </cell>
          <cell r="S557" t="str">
            <v>MATAM</v>
          </cell>
          <cell r="T557" t="str">
            <v>SAINT-LOUIS</v>
          </cell>
        </row>
        <row r="558">
          <cell r="A558" t="str">
            <v>DKR_2738</v>
          </cell>
          <cell r="S558" t="str">
            <v>THIES</v>
          </cell>
          <cell r="T558" t="str">
            <v>DAKAR</v>
          </cell>
        </row>
        <row r="559">
          <cell r="A559" t="str">
            <v>DKR_0440</v>
          </cell>
          <cell r="S559" t="str">
            <v>RUFISQUE</v>
          </cell>
          <cell r="T559" t="str">
            <v>DAKAR</v>
          </cell>
        </row>
        <row r="560">
          <cell r="A560" t="str">
            <v>STL_2787</v>
          </cell>
          <cell r="S560" t="str">
            <v>LOUGA</v>
          </cell>
          <cell r="T560" t="str">
            <v>SAINT-LOUIS</v>
          </cell>
        </row>
        <row r="561">
          <cell r="A561" t="str">
            <v>DBL_0441</v>
          </cell>
          <cell r="S561" t="str">
            <v>LINGUERE</v>
          </cell>
          <cell r="T561" t="str">
            <v>THIES</v>
          </cell>
        </row>
        <row r="562">
          <cell r="A562" t="str">
            <v>STL_2736</v>
          </cell>
          <cell r="S562" t="str">
            <v>MATAM</v>
          </cell>
          <cell r="T562" t="str">
            <v>SAINT-LOUIS</v>
          </cell>
        </row>
        <row r="563">
          <cell r="A563" t="str">
            <v>BKL_0442</v>
          </cell>
          <cell r="S563" t="str">
            <v>BAKEL</v>
          </cell>
          <cell r="T563" t="str">
            <v>SAINT-LOUIS</v>
          </cell>
        </row>
        <row r="564">
          <cell r="A564" t="str">
            <v>DBL_0443</v>
          </cell>
          <cell r="S564" t="str">
            <v>TOUBA01</v>
          </cell>
          <cell r="T564" t="str">
            <v>THIES</v>
          </cell>
        </row>
        <row r="565">
          <cell r="A565" t="str">
            <v>ZIG_0444</v>
          </cell>
          <cell r="S565" t="str">
            <v>ZIGUINCHOR</v>
          </cell>
          <cell r="T565" t="str">
            <v>ZIGUINCHOR</v>
          </cell>
        </row>
        <row r="566">
          <cell r="A566" t="str">
            <v>ZIG_2719</v>
          </cell>
          <cell r="S566" t="str">
            <v>ZIGUINCHOR</v>
          </cell>
          <cell r="T566" t="str">
            <v>ZIGUINCHOR</v>
          </cell>
        </row>
        <row r="567">
          <cell r="A567" t="str">
            <v>THS_0446</v>
          </cell>
          <cell r="S567" t="str">
            <v>TIVAOUANE</v>
          </cell>
          <cell r="T567" t="str">
            <v>THIES</v>
          </cell>
        </row>
        <row r="568">
          <cell r="A568" t="str">
            <v>ZIG_0447</v>
          </cell>
          <cell r="S568" t="str">
            <v>SEDHIOU</v>
          </cell>
          <cell r="T568" t="str">
            <v>ZIGUINCHOR</v>
          </cell>
        </row>
        <row r="569">
          <cell r="A569" t="str">
            <v>STL_0448</v>
          </cell>
          <cell r="S569" t="str">
            <v>SAINT-LOUIS</v>
          </cell>
          <cell r="T569" t="str">
            <v>SAINT-LOUIS</v>
          </cell>
        </row>
        <row r="570">
          <cell r="A570" t="str">
            <v>STL_0449</v>
          </cell>
          <cell r="S570" t="str">
            <v>LOUGA</v>
          </cell>
          <cell r="T570" t="str">
            <v>SAINT-LOUIS</v>
          </cell>
        </row>
        <row r="571">
          <cell r="A571" t="str">
            <v>STL_0450</v>
          </cell>
          <cell r="S571" t="str">
            <v>SAINT-LOUIS</v>
          </cell>
          <cell r="T571" t="str">
            <v>SAINT-LOUIS</v>
          </cell>
        </row>
        <row r="572">
          <cell r="A572" t="str">
            <v>ZIG_0451</v>
          </cell>
          <cell r="S572" t="str">
            <v>SEDHIOU</v>
          </cell>
          <cell r="T572" t="str">
            <v>ZIGUINCHOR</v>
          </cell>
        </row>
        <row r="573">
          <cell r="A573" t="str">
            <v>DBL_2803</v>
          </cell>
          <cell r="S573" t="str">
            <v>Touba</v>
          </cell>
          <cell r="T573" t="str">
            <v>THIES</v>
          </cell>
        </row>
        <row r="574">
          <cell r="A574" t="str">
            <v>DBL_0452</v>
          </cell>
          <cell r="S574" t="str">
            <v>LINGUERE</v>
          </cell>
          <cell r="T574" t="str">
            <v>THIES</v>
          </cell>
        </row>
        <row r="575">
          <cell r="A575" t="str">
            <v>STL_0453</v>
          </cell>
          <cell r="S575" t="str">
            <v>SAINT-LOUIS</v>
          </cell>
          <cell r="T575" t="str">
            <v>SAINT-LOUIS</v>
          </cell>
        </row>
        <row r="576">
          <cell r="A576" t="str">
            <v>TMB_0454</v>
          </cell>
          <cell r="S576" t="str">
            <v>KOUNGHEUL</v>
          </cell>
          <cell r="T576" t="str">
            <v>TAMBACOUNDA</v>
          </cell>
        </row>
        <row r="577">
          <cell r="A577" t="str">
            <v>DBL_0455</v>
          </cell>
          <cell r="S577" t="str">
            <v>TOUBA01</v>
          </cell>
          <cell r="T577" t="str">
            <v>THIES</v>
          </cell>
        </row>
        <row r="578">
          <cell r="A578" t="str">
            <v>ZIG_0456</v>
          </cell>
          <cell r="S578" t="str">
            <v>ZIGUINCHOR</v>
          </cell>
          <cell r="T578" t="str">
            <v>ZIGUINCHOR</v>
          </cell>
        </row>
        <row r="579">
          <cell r="A579" t="str">
            <v>KDG_0457</v>
          </cell>
          <cell r="S579" t="str">
            <v>KEDOUGOU</v>
          </cell>
          <cell r="T579" t="str">
            <v>TAMBACOUNDA</v>
          </cell>
        </row>
        <row r="580">
          <cell r="A580" t="str">
            <v>KDG_2723</v>
          </cell>
          <cell r="S580" t="str">
            <v>KAOLACK</v>
          </cell>
          <cell r="T580" t="str">
            <v>KAOLACK</v>
          </cell>
        </row>
        <row r="581">
          <cell r="A581" t="str">
            <v>MBR_0458</v>
          </cell>
          <cell r="S581" t="str">
            <v>FATICK</v>
          </cell>
          <cell r="T581" t="str">
            <v>KAOLACK</v>
          </cell>
        </row>
        <row r="582">
          <cell r="A582" t="str">
            <v>KLK_0459</v>
          </cell>
          <cell r="S582" t="str">
            <v>KAFFRINE</v>
          </cell>
          <cell r="T582" t="str">
            <v>KAOLACK</v>
          </cell>
        </row>
        <row r="583">
          <cell r="A583" t="str">
            <v>STL_2737</v>
          </cell>
          <cell r="S583" t="str">
            <v>RICHARD_TOLL</v>
          </cell>
          <cell r="T583" t="str">
            <v>SAINT-LOUIS</v>
          </cell>
        </row>
        <row r="584">
          <cell r="A584" t="str">
            <v>DKR_0460</v>
          </cell>
          <cell r="S584" t="str">
            <v>THIAROYE</v>
          </cell>
          <cell r="T584" t="str">
            <v>DAKAR</v>
          </cell>
        </row>
        <row r="585">
          <cell r="A585" t="str">
            <v>KLK_2717</v>
          </cell>
          <cell r="S585" t="str">
            <v>KAOLACK</v>
          </cell>
          <cell r="T585" t="str">
            <v>KAOLACK</v>
          </cell>
        </row>
        <row r="586">
          <cell r="A586" t="str">
            <v>ORG_2551</v>
          </cell>
          <cell r="S586" t="str">
            <v>MATAM</v>
          </cell>
          <cell r="T586" t="str">
            <v>SAINT-LOUIS</v>
          </cell>
        </row>
        <row r="587">
          <cell r="A587" t="str">
            <v>TMB_0461</v>
          </cell>
          <cell r="S587" t="str">
            <v>TAMBA</v>
          </cell>
          <cell r="T587" t="str">
            <v>TAMBACOUNDA</v>
          </cell>
        </row>
        <row r="588">
          <cell r="A588" t="str">
            <v>KLD_0462</v>
          </cell>
          <cell r="S588" t="str">
            <v>VELINGARA</v>
          </cell>
          <cell r="T588" t="str">
            <v>ZIGUINCHOR</v>
          </cell>
        </row>
        <row r="589">
          <cell r="A589" t="str">
            <v>KLD_0463</v>
          </cell>
          <cell r="S589" t="str">
            <v>VELINGARA</v>
          </cell>
          <cell r="T589" t="str">
            <v>ZIGUINCHOR</v>
          </cell>
        </row>
        <row r="590">
          <cell r="A590" t="str">
            <v>KDG_2724</v>
          </cell>
          <cell r="S590" t="str">
            <v>TAMBACOUNDA</v>
          </cell>
          <cell r="T590" t="str">
            <v>TAMBACOUNDA</v>
          </cell>
        </row>
        <row r="591">
          <cell r="A591" t="str">
            <v>TMB_0464</v>
          </cell>
          <cell r="S591" t="str">
            <v>TAMBA</v>
          </cell>
          <cell r="T591" t="str">
            <v>TAMBACOUNDA</v>
          </cell>
        </row>
        <row r="592">
          <cell r="A592" t="str">
            <v>TMB_2751</v>
          </cell>
          <cell r="S592" t="str">
            <v>TAMBACOUNDA</v>
          </cell>
          <cell r="T592" t="str">
            <v>TAMBACOUNDA</v>
          </cell>
        </row>
        <row r="593">
          <cell r="A593" t="str">
            <v>KLD_0465</v>
          </cell>
          <cell r="S593" t="str">
            <v>SEDHIOU</v>
          </cell>
          <cell r="T593" t="str">
            <v>ZIGUINCHOR</v>
          </cell>
        </row>
        <row r="594">
          <cell r="A594" t="str">
            <v>BKL_0466</v>
          </cell>
          <cell r="S594" t="str">
            <v>BAKEL</v>
          </cell>
          <cell r="T594" t="str">
            <v>SAINT-LOUIS</v>
          </cell>
        </row>
        <row r="595">
          <cell r="A595" t="str">
            <v>THS_0467</v>
          </cell>
          <cell r="S595" t="str">
            <v>TIVAOUANE</v>
          </cell>
          <cell r="T595" t="str">
            <v>THIES</v>
          </cell>
        </row>
        <row r="596">
          <cell r="A596" t="str">
            <v>THS_0468</v>
          </cell>
          <cell r="S596" t="str">
            <v>TIVAOUANE</v>
          </cell>
          <cell r="T596" t="str">
            <v>THIES</v>
          </cell>
        </row>
        <row r="597">
          <cell r="A597" t="str">
            <v>THS_0469</v>
          </cell>
          <cell r="S597" t="str">
            <v>TIVAOUANE</v>
          </cell>
          <cell r="T597" t="str">
            <v>THIES</v>
          </cell>
        </row>
        <row r="598">
          <cell r="A598" t="str">
            <v>THS_0470</v>
          </cell>
          <cell r="S598" t="str">
            <v>TIVAOUANE</v>
          </cell>
          <cell r="T598" t="str">
            <v>THIES</v>
          </cell>
        </row>
        <row r="599">
          <cell r="A599" t="str">
            <v>THS_2761</v>
          </cell>
          <cell r="S599" t="str">
            <v>TIVAOUANE</v>
          </cell>
          <cell r="T599" t="str">
            <v>THIES</v>
          </cell>
        </row>
        <row r="600">
          <cell r="A600" t="str">
            <v>THS_0471</v>
          </cell>
          <cell r="S600" t="str">
            <v>TIVAOUANE</v>
          </cell>
          <cell r="T600" t="str">
            <v>THIES</v>
          </cell>
        </row>
        <row r="601">
          <cell r="A601" t="str">
            <v>THS_0472</v>
          </cell>
          <cell r="S601" t="str">
            <v>TIVAOUANE</v>
          </cell>
          <cell r="T601" t="str">
            <v>THIES</v>
          </cell>
        </row>
        <row r="602">
          <cell r="A602" t="str">
            <v>KLK_2789</v>
          </cell>
          <cell r="S602" t="str">
            <v>KAOLACK</v>
          </cell>
          <cell r="T602" t="str">
            <v>KAOLACK</v>
          </cell>
        </row>
        <row r="603">
          <cell r="A603" t="str">
            <v>TMB_0473</v>
          </cell>
          <cell r="S603" t="str">
            <v>KOUNGHEUL</v>
          </cell>
          <cell r="T603" t="str">
            <v>TAMBACOUNDA</v>
          </cell>
        </row>
        <row r="604">
          <cell r="A604" t="str">
            <v>KLK_2721</v>
          </cell>
          <cell r="S604" t="str">
            <v>KAFFRINE</v>
          </cell>
          <cell r="T604" t="str">
            <v>KAOLACK</v>
          </cell>
        </row>
        <row r="605">
          <cell r="A605" t="str">
            <v>DKR_0474</v>
          </cell>
          <cell r="S605" t="str">
            <v>OUAKAM</v>
          </cell>
          <cell r="T605" t="str">
            <v>DAKAR</v>
          </cell>
        </row>
        <row r="606">
          <cell r="A606" t="str">
            <v>DKR_0475</v>
          </cell>
          <cell r="S606" t="str">
            <v>OUAKAM</v>
          </cell>
          <cell r="T606" t="str">
            <v>DAKAR</v>
          </cell>
        </row>
        <row r="607">
          <cell r="A607" t="str">
            <v>DKR_0476</v>
          </cell>
          <cell r="S607" t="str">
            <v>OUAKAM</v>
          </cell>
          <cell r="T607" t="str">
            <v>DAKAR</v>
          </cell>
        </row>
        <row r="608">
          <cell r="A608" t="str">
            <v>DKR_0477</v>
          </cell>
          <cell r="S608" t="str">
            <v>OUAKAM</v>
          </cell>
          <cell r="T608" t="str">
            <v>DAKAR</v>
          </cell>
        </row>
        <row r="609">
          <cell r="A609" t="str">
            <v>DKR_0478</v>
          </cell>
          <cell r="S609" t="str">
            <v>OUAKAM</v>
          </cell>
          <cell r="T609" t="str">
            <v>DAKAR</v>
          </cell>
        </row>
        <row r="610">
          <cell r="A610" t="str">
            <v>KLD_0479</v>
          </cell>
          <cell r="S610" t="str">
            <v>SEDHIOU</v>
          </cell>
          <cell r="T610" t="str">
            <v>ZIGUINCHOR</v>
          </cell>
        </row>
        <row r="611">
          <cell r="A611" t="str">
            <v>DKR_2711</v>
          </cell>
          <cell r="S611" t="str">
            <v>THIAROYE</v>
          </cell>
          <cell r="T611" t="str">
            <v>DAKAR</v>
          </cell>
        </row>
        <row r="612">
          <cell r="A612" t="str">
            <v>DKR_0480</v>
          </cell>
          <cell r="S612" t="str">
            <v>THIAROYE</v>
          </cell>
          <cell r="T612" t="str">
            <v>DAKAR</v>
          </cell>
        </row>
        <row r="613">
          <cell r="A613" t="str">
            <v>DKR_0481</v>
          </cell>
          <cell r="S613" t="str">
            <v>THIAROYE</v>
          </cell>
          <cell r="T613" t="str">
            <v>DAKAR</v>
          </cell>
        </row>
        <row r="614">
          <cell r="A614" t="str">
            <v>DKR_0482</v>
          </cell>
          <cell r="S614" t="str">
            <v>THIAROYE</v>
          </cell>
          <cell r="T614" t="str">
            <v>DAKAR</v>
          </cell>
        </row>
        <row r="615">
          <cell r="A615" t="str">
            <v>ORG_2569</v>
          </cell>
          <cell r="S615" t="str">
            <v>OUROSSOGUI</v>
          </cell>
          <cell r="T615" t="str">
            <v>SAINT-LOUIS</v>
          </cell>
        </row>
        <row r="616">
          <cell r="A616" t="str">
            <v>TMB_0483</v>
          </cell>
          <cell r="S616" t="str">
            <v>TAMBA</v>
          </cell>
          <cell r="T616" t="str">
            <v>TAMBACOUNDA</v>
          </cell>
        </row>
        <row r="617">
          <cell r="A617" t="str">
            <v>DKR_0484</v>
          </cell>
          <cell r="S617" t="str">
            <v>RUFISQUE</v>
          </cell>
          <cell r="T617" t="str">
            <v>DAKAR</v>
          </cell>
        </row>
        <row r="618">
          <cell r="A618" t="str">
            <v>DKR_0485</v>
          </cell>
          <cell r="S618" t="str">
            <v>RUFISQUE</v>
          </cell>
          <cell r="T618" t="str">
            <v>DAKAR</v>
          </cell>
        </row>
        <row r="619">
          <cell r="A619" t="str">
            <v>KLK_2785</v>
          </cell>
          <cell r="S619" t="str">
            <v>FATICK</v>
          </cell>
          <cell r="T619" t="str">
            <v>KAOLACK</v>
          </cell>
        </row>
        <row r="620">
          <cell r="A620" t="str">
            <v>DKR_0486</v>
          </cell>
          <cell r="S620" t="str">
            <v>RUFISQUE</v>
          </cell>
          <cell r="T620" t="str">
            <v>DAKAR</v>
          </cell>
        </row>
        <row r="621">
          <cell r="A621" t="str">
            <v>DKR_0487</v>
          </cell>
          <cell r="S621" t="str">
            <v>RUFISQUE</v>
          </cell>
          <cell r="T621" t="str">
            <v>DAKAR</v>
          </cell>
        </row>
        <row r="622">
          <cell r="A622" t="str">
            <v>DKR_0488</v>
          </cell>
          <cell r="S622" t="str">
            <v>RUFISQUE</v>
          </cell>
          <cell r="T622" t="str">
            <v>DAKAR</v>
          </cell>
        </row>
        <row r="623">
          <cell r="A623" t="str">
            <v>DKR_2791</v>
          </cell>
          <cell r="S623" t="str">
            <v>DIAMNIADIO</v>
          </cell>
          <cell r="T623" t="str">
            <v>DAKAR</v>
          </cell>
        </row>
        <row r="624">
          <cell r="A624" t="str">
            <v>ORG_2567</v>
          </cell>
          <cell r="S624" t="str">
            <v>MATAM</v>
          </cell>
          <cell r="T624" t="str">
            <v>SAINT-LOUIS</v>
          </cell>
        </row>
        <row r="625">
          <cell r="A625" t="str">
            <v>BKL_0489</v>
          </cell>
          <cell r="S625" t="str">
            <v>BAKEL</v>
          </cell>
          <cell r="T625" t="str">
            <v>SAINT-LOUIS</v>
          </cell>
        </row>
        <row r="626">
          <cell r="A626" t="str">
            <v>TMB_0490</v>
          </cell>
          <cell r="S626" t="str">
            <v>GOUDIRY</v>
          </cell>
          <cell r="T626" t="str">
            <v>TAMBACOUNDA</v>
          </cell>
        </row>
        <row r="627">
          <cell r="A627" t="str">
            <v>TMB_0491</v>
          </cell>
          <cell r="S627" t="str">
            <v>TAMBA</v>
          </cell>
          <cell r="T627" t="str">
            <v>TAMBACOUNDA</v>
          </cell>
        </row>
        <row r="628">
          <cell r="A628" t="str">
            <v>TMB_2752</v>
          </cell>
          <cell r="S628" t="str">
            <v>TAMBACOUNDA</v>
          </cell>
          <cell r="T628" t="str">
            <v>TAMBACOUNDA</v>
          </cell>
        </row>
        <row r="629">
          <cell r="A629" t="str">
            <v>KLD_0492</v>
          </cell>
          <cell r="S629" t="str">
            <v>SEDHIOU</v>
          </cell>
          <cell r="T629" t="str">
            <v>ZIGUINCHOR</v>
          </cell>
        </row>
        <row r="630">
          <cell r="A630" t="str">
            <v>ORG_2553</v>
          </cell>
          <cell r="S630" t="str">
            <v>MATAM</v>
          </cell>
          <cell r="T630" t="str">
            <v>SAINT-LOUIS</v>
          </cell>
        </row>
        <row r="631">
          <cell r="A631" t="str">
            <v>DBL_0493</v>
          </cell>
          <cell r="S631" t="str">
            <v>FATICK</v>
          </cell>
          <cell r="T631" t="str">
            <v>KAOLACK</v>
          </cell>
        </row>
        <row r="632">
          <cell r="A632" t="str">
            <v>TMB_0494</v>
          </cell>
          <cell r="S632" t="str">
            <v>KOUNGHEUL</v>
          </cell>
          <cell r="T632" t="str">
            <v>TAMBACOUNDA</v>
          </cell>
        </row>
        <row r="633">
          <cell r="A633" t="str">
            <v>KLD_0495</v>
          </cell>
          <cell r="S633" t="str">
            <v>VELINGARA</v>
          </cell>
          <cell r="T633" t="str">
            <v>ZIGUINCHOR</v>
          </cell>
        </row>
        <row r="634">
          <cell r="A634" t="str">
            <v>TMB_0496</v>
          </cell>
          <cell r="S634" t="str">
            <v>GOUDIRY</v>
          </cell>
          <cell r="T634" t="str">
            <v>TAMBACOUNDA</v>
          </cell>
        </row>
        <row r="635">
          <cell r="A635" t="str">
            <v>KLK_0497</v>
          </cell>
          <cell r="S635" t="str">
            <v>KAFFRINE</v>
          </cell>
          <cell r="T635" t="str">
            <v>KAOLACK</v>
          </cell>
        </row>
        <row r="636">
          <cell r="A636" t="str">
            <v>ZIG_0498</v>
          </cell>
          <cell r="S636" t="str">
            <v>ZIGUINCHOR</v>
          </cell>
          <cell r="T636" t="str">
            <v>ZIGUINCHOR</v>
          </cell>
        </row>
        <row r="637">
          <cell r="A637" t="str">
            <v>ZIG_0499</v>
          </cell>
          <cell r="S637" t="str">
            <v>SEDHIOU</v>
          </cell>
          <cell r="T637" t="str">
            <v>ZIGUINCHOR</v>
          </cell>
        </row>
        <row r="638">
          <cell r="A638" t="str">
            <v>KLD_2726</v>
          </cell>
          <cell r="S638" t="str">
            <v>SEDHIOU</v>
          </cell>
          <cell r="T638" t="str">
            <v>ZIGUINCHOR</v>
          </cell>
        </row>
        <row r="639">
          <cell r="A639" t="str">
            <v>KLD_0500</v>
          </cell>
          <cell r="S639" t="str">
            <v>VELINGARA</v>
          </cell>
          <cell r="T639" t="str">
            <v>ZIGUINCHOR</v>
          </cell>
        </row>
        <row r="640">
          <cell r="A640" t="str">
            <v>KLD_0501</v>
          </cell>
          <cell r="S640" t="str">
            <v>VELINGARA</v>
          </cell>
          <cell r="T640" t="str">
            <v>ZIGUINCHOR</v>
          </cell>
        </row>
        <row r="641">
          <cell r="A641" t="str">
            <v>KLD_0502</v>
          </cell>
          <cell r="S641" t="str">
            <v>VELINGARA</v>
          </cell>
          <cell r="T641" t="str">
            <v>ZIGUINCHOR</v>
          </cell>
        </row>
        <row r="642">
          <cell r="A642" t="str">
            <v>KLK_0503</v>
          </cell>
          <cell r="S642" t="str">
            <v>FATICK</v>
          </cell>
          <cell r="T642" t="str">
            <v>KAOLACK</v>
          </cell>
        </row>
        <row r="643">
          <cell r="A643" t="str">
            <v>TMB_0504</v>
          </cell>
          <cell r="S643" t="str">
            <v>TAMBA</v>
          </cell>
          <cell r="T643" t="str">
            <v>TAMBACOUNDA</v>
          </cell>
        </row>
        <row r="644">
          <cell r="A644" t="str">
            <v>TMB_0505</v>
          </cell>
          <cell r="S644" t="str">
            <v>TAMBA</v>
          </cell>
          <cell r="T644" t="str">
            <v>TAMBACOUNDA</v>
          </cell>
        </row>
        <row r="645">
          <cell r="A645" t="str">
            <v>ZIG_2700</v>
          </cell>
          <cell r="S645" t="str">
            <v>SEDHIOU</v>
          </cell>
          <cell r="T645" t="str">
            <v>ZIGUINCHOR</v>
          </cell>
        </row>
        <row r="646">
          <cell r="A646" t="str">
            <v>KLD_0506</v>
          </cell>
          <cell r="S646" t="str">
            <v>SEDHIOU</v>
          </cell>
          <cell r="T646" t="str">
            <v>ZIGUINCHOR</v>
          </cell>
        </row>
        <row r="647">
          <cell r="A647" t="str">
            <v>STL_2725</v>
          </cell>
          <cell r="S647" t="str">
            <v>MATAM</v>
          </cell>
          <cell r="T647" t="str">
            <v>SAINT-LOUIS</v>
          </cell>
        </row>
        <row r="648">
          <cell r="A648" t="str">
            <v>MBR_0507</v>
          </cell>
          <cell r="S648" t="str">
            <v>FATICK</v>
          </cell>
          <cell r="T648" t="str">
            <v>KAOLACK</v>
          </cell>
        </row>
        <row r="649">
          <cell r="A649" t="str">
            <v>STL_2738</v>
          </cell>
          <cell r="S649" t="str">
            <v>RICHARD_TOLL</v>
          </cell>
          <cell r="T649" t="str">
            <v>SAINT-LOUIS</v>
          </cell>
        </row>
        <row r="650">
          <cell r="A650" t="str">
            <v>STL_2739</v>
          </cell>
          <cell r="S650" t="str">
            <v>LOUGA</v>
          </cell>
          <cell r="T650" t="str">
            <v>SAINT-LOUIS</v>
          </cell>
        </row>
        <row r="651">
          <cell r="A651" t="str">
            <v>KLD_0508</v>
          </cell>
          <cell r="S651" t="str">
            <v>KOLDA</v>
          </cell>
          <cell r="T651" t="str">
            <v>ZIGUINCHOR</v>
          </cell>
        </row>
        <row r="652">
          <cell r="A652" t="str">
            <v>NDM_0509</v>
          </cell>
          <cell r="S652" t="str">
            <v>NDIOUM</v>
          </cell>
          <cell r="T652" t="str">
            <v>SAINT-LOUIS</v>
          </cell>
        </row>
        <row r="653">
          <cell r="A653" t="str">
            <v>TMB_0510</v>
          </cell>
          <cell r="S653" t="str">
            <v>KOUNGHEUL</v>
          </cell>
          <cell r="T653" t="str">
            <v>TAMBACOUNDA</v>
          </cell>
        </row>
        <row r="654">
          <cell r="A654" t="str">
            <v>ZIG_0511</v>
          </cell>
          <cell r="S654" t="str">
            <v>ZIGUINCHOR</v>
          </cell>
          <cell r="T654" t="str">
            <v>ZIGUINCHOR</v>
          </cell>
        </row>
        <row r="655">
          <cell r="A655" t="str">
            <v>ZIG_0512</v>
          </cell>
          <cell r="S655" t="str">
            <v>KOLDA</v>
          </cell>
          <cell r="T655" t="str">
            <v>ZIGUINCHOR</v>
          </cell>
        </row>
        <row r="656">
          <cell r="A656" t="str">
            <v>KLD_0513</v>
          </cell>
          <cell r="S656" t="str">
            <v>VELINGARA</v>
          </cell>
          <cell r="T656" t="str">
            <v>ZIGUINCHOR</v>
          </cell>
        </row>
        <row r="657">
          <cell r="A657" t="str">
            <v>ZIG_0514</v>
          </cell>
          <cell r="S657" t="str">
            <v>SEDHIOU</v>
          </cell>
          <cell r="T657" t="str">
            <v>ZIGUINCHOR</v>
          </cell>
        </row>
        <row r="658">
          <cell r="A658" t="str">
            <v>THS_2796</v>
          </cell>
          <cell r="S658" t="str">
            <v>MBOUR</v>
          </cell>
          <cell r="T658" t="str">
            <v>THIES</v>
          </cell>
        </row>
        <row r="659">
          <cell r="A659" t="str">
            <v>STL_0515</v>
          </cell>
          <cell r="S659" t="str">
            <v>SAINT-LOUIS</v>
          </cell>
          <cell r="T659" t="str">
            <v>SAINT-LOUIS</v>
          </cell>
        </row>
        <row r="660">
          <cell r="A660" t="str">
            <v>BKL_0516</v>
          </cell>
          <cell r="S660" t="str">
            <v>BAKEL</v>
          </cell>
          <cell r="T660" t="str">
            <v>SAINT-LOUIS</v>
          </cell>
        </row>
        <row r="661">
          <cell r="A661" t="str">
            <v>BKL_0517</v>
          </cell>
          <cell r="S661" t="str">
            <v>BAKEL</v>
          </cell>
          <cell r="T661" t="str">
            <v>SAINT-LOUIS</v>
          </cell>
        </row>
        <row r="662">
          <cell r="A662" t="str">
            <v>THS_0518</v>
          </cell>
          <cell r="S662" t="str">
            <v>THIES</v>
          </cell>
          <cell r="T662" t="str">
            <v>THIES</v>
          </cell>
        </row>
        <row r="663">
          <cell r="A663" t="str">
            <v>NDM_0519</v>
          </cell>
          <cell r="S663" t="str">
            <v>NDIOUM</v>
          </cell>
          <cell r="T663" t="str">
            <v>SAINT-LOUIS</v>
          </cell>
        </row>
        <row r="664">
          <cell r="A664" t="str">
            <v>BKL_0520</v>
          </cell>
          <cell r="S664" t="str">
            <v>GOUDIRY</v>
          </cell>
          <cell r="T664" t="str">
            <v>TAMBACOUNDA</v>
          </cell>
        </row>
        <row r="665">
          <cell r="A665" t="str">
            <v>ZIG_0521</v>
          </cell>
          <cell r="S665" t="str">
            <v>ZIGUINCHOR</v>
          </cell>
          <cell r="T665" t="str">
            <v>ZIGUINCHOR</v>
          </cell>
        </row>
        <row r="666">
          <cell r="A666" t="str">
            <v>STL_2835</v>
          </cell>
          <cell r="S666" t="str">
            <v>LOUGA</v>
          </cell>
          <cell r="T666" t="str">
            <v>SAINT-LOUIS</v>
          </cell>
        </row>
        <row r="667">
          <cell r="A667" t="str">
            <v>ORG_2554</v>
          </cell>
          <cell r="S667" t="str">
            <v>MATAM</v>
          </cell>
          <cell r="T667" t="str">
            <v>SAINT-LOUIS</v>
          </cell>
        </row>
        <row r="668">
          <cell r="A668" t="str">
            <v>STL_0522</v>
          </cell>
          <cell r="S668" t="str">
            <v>LOUGA</v>
          </cell>
          <cell r="T668" t="str">
            <v>SAINT-LOUIS</v>
          </cell>
        </row>
        <row r="669">
          <cell r="A669" t="str">
            <v>KLD_0523</v>
          </cell>
          <cell r="S669" t="str">
            <v>SEDHIOU</v>
          </cell>
          <cell r="T669" t="str">
            <v>ZIGUINCHOR</v>
          </cell>
        </row>
        <row r="670">
          <cell r="A670" t="str">
            <v>ZIG_0524</v>
          </cell>
          <cell r="S670" t="str">
            <v>SEDHIOU</v>
          </cell>
          <cell r="T670" t="str">
            <v>ZIGUINCHOR</v>
          </cell>
        </row>
        <row r="671">
          <cell r="A671" t="str">
            <v>TMB_0525</v>
          </cell>
          <cell r="S671" t="str">
            <v>TAMBA</v>
          </cell>
          <cell r="T671" t="str">
            <v>TAMBACOUNDA</v>
          </cell>
        </row>
        <row r="672">
          <cell r="A672" t="str">
            <v>TMB_0526</v>
          </cell>
          <cell r="S672" t="str">
            <v>TAMBA</v>
          </cell>
          <cell r="T672" t="str">
            <v>TAMBACOUNDA</v>
          </cell>
        </row>
        <row r="673">
          <cell r="A673" t="str">
            <v>DKR_0527</v>
          </cell>
          <cell r="S673" t="str">
            <v>SACRE_COEUR</v>
          </cell>
          <cell r="T673" t="str">
            <v>DAKAR</v>
          </cell>
        </row>
        <row r="674">
          <cell r="A674" t="str">
            <v>DKR_0528</v>
          </cell>
          <cell r="S674" t="str">
            <v>SACRE_COEUR</v>
          </cell>
          <cell r="T674" t="str">
            <v>DAKAR</v>
          </cell>
        </row>
        <row r="675">
          <cell r="A675" t="str">
            <v>DKR_0529</v>
          </cell>
          <cell r="S675" t="str">
            <v>SACRE_COEUR</v>
          </cell>
          <cell r="T675" t="str">
            <v>DAKAR</v>
          </cell>
        </row>
        <row r="676">
          <cell r="A676" t="str">
            <v>TMB_2731</v>
          </cell>
          <cell r="S676" t="str">
            <v>GOUDIRY</v>
          </cell>
          <cell r="T676" t="str">
            <v>TAMBACOUNDA</v>
          </cell>
        </row>
        <row r="677">
          <cell r="A677" t="str">
            <v>KLD_0530</v>
          </cell>
          <cell r="S677" t="str">
            <v>SEDHIOU</v>
          </cell>
          <cell r="T677" t="str">
            <v>ZIGUINCHOR</v>
          </cell>
        </row>
        <row r="678">
          <cell r="A678" t="str">
            <v>STL_2832</v>
          </cell>
          <cell r="S678" t="str">
            <v>LOUGA</v>
          </cell>
          <cell r="T678" t="str">
            <v>SAINT-LOUIS</v>
          </cell>
        </row>
        <row r="679">
          <cell r="A679" t="str">
            <v>KDG_2734</v>
          </cell>
          <cell r="S679" t="str">
            <v>KEDOUGOU</v>
          </cell>
          <cell r="T679" t="str">
            <v>TAMBACOUNDA</v>
          </cell>
        </row>
        <row r="680">
          <cell r="A680" t="str">
            <v>KLK_0531</v>
          </cell>
          <cell r="S680" t="str">
            <v>KAFFRINE</v>
          </cell>
          <cell r="T680" t="str">
            <v>KAOLACK</v>
          </cell>
        </row>
        <row r="681">
          <cell r="A681" t="str">
            <v>KDG_0532</v>
          </cell>
          <cell r="S681" t="str">
            <v>KEDOUGOU</v>
          </cell>
          <cell r="T681" t="str">
            <v>TAMBACOUNDA</v>
          </cell>
        </row>
        <row r="682">
          <cell r="A682" t="str">
            <v>STL_2673</v>
          </cell>
          <cell r="S682" t="str">
            <v>MATAM</v>
          </cell>
          <cell r="T682" t="str">
            <v>SAINT-LOUIS</v>
          </cell>
        </row>
        <row r="683">
          <cell r="A683" t="str">
            <v>KLK_0533</v>
          </cell>
          <cell r="S683" t="str">
            <v>SOKONE</v>
          </cell>
          <cell r="T683" t="str">
            <v>KAOLACK</v>
          </cell>
        </row>
        <row r="684">
          <cell r="A684" t="str">
            <v>TMB_0534</v>
          </cell>
          <cell r="S684" t="str">
            <v>VELINGARA</v>
          </cell>
          <cell r="T684" t="str">
            <v>ZIGUINCHOR</v>
          </cell>
        </row>
        <row r="685">
          <cell r="A685" t="str">
            <v>ZIG_0535</v>
          </cell>
          <cell r="S685" t="str">
            <v>ZIGUINCHOR</v>
          </cell>
          <cell r="T685" t="str">
            <v>ZIGUINCHOR</v>
          </cell>
        </row>
        <row r="686">
          <cell r="A686" t="str">
            <v>MBR_0536</v>
          </cell>
          <cell r="S686" t="str">
            <v>FATICK</v>
          </cell>
          <cell r="T686" t="str">
            <v>KAOLACK</v>
          </cell>
        </row>
        <row r="687">
          <cell r="A687" t="str">
            <v>KLK_2844</v>
          </cell>
          <cell r="S687" t="str">
            <v>KAOLACK</v>
          </cell>
          <cell r="T687" t="str">
            <v>KAOLACK</v>
          </cell>
        </row>
        <row r="688">
          <cell r="A688" t="str">
            <v>THS_0537</v>
          </cell>
          <cell r="S688" t="str">
            <v>TIVAOUANE</v>
          </cell>
          <cell r="T688" t="str">
            <v>THIES</v>
          </cell>
        </row>
        <row r="689">
          <cell r="A689" t="str">
            <v>THS_2689</v>
          </cell>
          <cell r="S689" t="str">
            <v>TIVAOUANE</v>
          </cell>
          <cell r="T689" t="str">
            <v>THIES</v>
          </cell>
        </row>
        <row r="690">
          <cell r="A690" t="str">
            <v>ZIG_0538</v>
          </cell>
          <cell r="S690" t="str">
            <v>ZIGUINCHOR</v>
          </cell>
          <cell r="T690" t="str">
            <v>ZIGUINCHOR</v>
          </cell>
        </row>
        <row r="691">
          <cell r="A691" t="str">
            <v>MBR_0539</v>
          </cell>
          <cell r="S691" t="str">
            <v>FATICK</v>
          </cell>
          <cell r="T691" t="str">
            <v>KAOLACK</v>
          </cell>
        </row>
        <row r="692">
          <cell r="A692" t="str">
            <v>KLK_0540</v>
          </cell>
          <cell r="S692" t="str">
            <v>FATICK</v>
          </cell>
          <cell r="T692" t="str">
            <v>KAOLACK</v>
          </cell>
        </row>
        <row r="693">
          <cell r="A693" t="str">
            <v>STL_2740</v>
          </cell>
          <cell r="S693" t="str">
            <v>LOUGA</v>
          </cell>
          <cell r="T693" t="str">
            <v>SAINT-LOUIS</v>
          </cell>
        </row>
        <row r="694">
          <cell r="A694" t="str">
            <v>KLK_0541</v>
          </cell>
          <cell r="S694" t="str">
            <v>KAFFRINE</v>
          </cell>
          <cell r="T694" t="str">
            <v>KAOLACK</v>
          </cell>
        </row>
        <row r="695">
          <cell r="A695" t="str">
            <v>ORG_0542</v>
          </cell>
          <cell r="S695" t="str">
            <v>MATAM</v>
          </cell>
          <cell r="T695" t="str">
            <v>SAINT-LOUIS</v>
          </cell>
        </row>
        <row r="696">
          <cell r="A696" t="str">
            <v>KLK_0543</v>
          </cell>
          <cell r="S696" t="str">
            <v>KAFFRINE</v>
          </cell>
          <cell r="T696" t="str">
            <v>KAOLACK</v>
          </cell>
        </row>
        <row r="697">
          <cell r="A697" t="str">
            <v>MBR_0544</v>
          </cell>
          <cell r="S697" t="str">
            <v>FATICK</v>
          </cell>
          <cell r="T697" t="str">
            <v>KAOLACK</v>
          </cell>
        </row>
        <row r="698">
          <cell r="A698" t="str">
            <v>DBL_2800</v>
          </cell>
          <cell r="S698" t="str">
            <v>DIOURBEL</v>
          </cell>
          <cell r="T698" t="str">
            <v>THIES</v>
          </cell>
        </row>
        <row r="699">
          <cell r="A699" t="str">
            <v>NDM_2556</v>
          </cell>
          <cell r="S699" t="str">
            <v>NDIOUM</v>
          </cell>
          <cell r="T699" t="str">
            <v>SAINT-LOUIS</v>
          </cell>
        </row>
        <row r="700">
          <cell r="A700" t="str">
            <v>KLK_2764</v>
          </cell>
          <cell r="S700" t="str">
            <v>KAOLACK</v>
          </cell>
          <cell r="T700" t="str">
            <v>KAOLACK</v>
          </cell>
        </row>
        <row r="701">
          <cell r="A701" t="str">
            <v>KLK_0545</v>
          </cell>
          <cell r="S701" t="str">
            <v>SOKONE</v>
          </cell>
          <cell r="T701" t="str">
            <v>KAOLACK</v>
          </cell>
        </row>
        <row r="702">
          <cell r="A702" t="str">
            <v>KLD_0546</v>
          </cell>
          <cell r="S702" t="str">
            <v>KOLDA</v>
          </cell>
          <cell r="T702" t="str">
            <v>ZIGUINCHOR</v>
          </cell>
        </row>
        <row r="703">
          <cell r="A703" t="str">
            <v>DBL_0547</v>
          </cell>
          <cell r="S703" t="str">
            <v>LINGUERE</v>
          </cell>
          <cell r="T703" t="str">
            <v>THIES</v>
          </cell>
        </row>
        <row r="704">
          <cell r="A704" t="str">
            <v>ZIG_0548</v>
          </cell>
          <cell r="S704" t="str">
            <v>ZIGUINCHOR</v>
          </cell>
          <cell r="T704" t="str">
            <v>ZIGUINCHOR</v>
          </cell>
        </row>
        <row r="705">
          <cell r="A705" t="str">
            <v>DBL_0549</v>
          </cell>
          <cell r="S705" t="str">
            <v>TOUBA01</v>
          </cell>
          <cell r="T705" t="str">
            <v>THIES</v>
          </cell>
        </row>
        <row r="706">
          <cell r="A706" t="str">
            <v>MBR_0550</v>
          </cell>
          <cell r="S706" t="str">
            <v>FATICK</v>
          </cell>
          <cell r="T706" t="str">
            <v>KAOLACK</v>
          </cell>
        </row>
        <row r="707">
          <cell r="A707" t="str">
            <v>NDM_0551</v>
          </cell>
          <cell r="S707" t="str">
            <v>NDIOUM</v>
          </cell>
          <cell r="T707" t="str">
            <v>SAINT-LOUIS</v>
          </cell>
        </row>
        <row r="708">
          <cell r="A708" t="str">
            <v>ORG_0552</v>
          </cell>
          <cell r="S708" t="str">
            <v>MATAM</v>
          </cell>
          <cell r="T708" t="str">
            <v>SAINT-LOUIS</v>
          </cell>
        </row>
        <row r="709">
          <cell r="A709" t="str">
            <v>DBL_0553</v>
          </cell>
          <cell r="S709" t="str">
            <v>TOUBA02</v>
          </cell>
          <cell r="T709" t="str">
            <v>THIES</v>
          </cell>
        </row>
        <row r="710">
          <cell r="A710" t="str">
            <v>TMB_0554</v>
          </cell>
          <cell r="S710" t="str">
            <v>GOUDIRY</v>
          </cell>
          <cell r="T710" t="str">
            <v>TAMBACOUNDA</v>
          </cell>
        </row>
        <row r="711">
          <cell r="A711" t="str">
            <v>TMB_2732</v>
          </cell>
          <cell r="S711" t="str">
            <v>TAMBACOUNDA</v>
          </cell>
          <cell r="T711" t="str">
            <v>TAMBACOUNDA</v>
          </cell>
        </row>
        <row r="712">
          <cell r="A712" t="str">
            <v>KDG_2712</v>
          </cell>
          <cell r="S712" t="str">
            <v>KEDOUGOU</v>
          </cell>
          <cell r="T712" t="str">
            <v>TAMBACOUNDA</v>
          </cell>
        </row>
        <row r="713">
          <cell r="A713" t="str">
            <v>STL_2799</v>
          </cell>
          <cell r="S713" t="str">
            <v>MATAM</v>
          </cell>
          <cell r="T713" t="str">
            <v>SAINT-LOUIS</v>
          </cell>
        </row>
        <row r="714">
          <cell r="A714" t="str">
            <v>ZIG_0555</v>
          </cell>
          <cell r="S714" t="str">
            <v>ZIGUINCHOR</v>
          </cell>
          <cell r="T714" t="str">
            <v>ZIGUINCHOR</v>
          </cell>
        </row>
        <row r="715">
          <cell r="A715" t="str">
            <v>KLD_2742</v>
          </cell>
          <cell r="S715" t="str">
            <v>KOLDA</v>
          </cell>
          <cell r="T715" t="str">
            <v>ZIGUINCHOR</v>
          </cell>
        </row>
        <row r="716">
          <cell r="A716" t="str">
            <v>ZIG_0556</v>
          </cell>
          <cell r="S716" t="str">
            <v>ZIGUINCHOR</v>
          </cell>
          <cell r="T716" t="str">
            <v>ZIGUINCHOR</v>
          </cell>
        </row>
        <row r="717">
          <cell r="A717" t="str">
            <v>ZIG_0557</v>
          </cell>
          <cell r="S717" t="str">
            <v>ZIGUINCHOR</v>
          </cell>
          <cell r="T717" t="str">
            <v>ZIGUINCHOR</v>
          </cell>
        </row>
        <row r="718">
          <cell r="A718" t="str">
            <v>KLK_0559</v>
          </cell>
          <cell r="S718" t="str">
            <v>SOKONE</v>
          </cell>
          <cell r="T718" t="str">
            <v>KAOLACK</v>
          </cell>
        </row>
        <row r="719">
          <cell r="A719" t="str">
            <v>KLK_2722</v>
          </cell>
          <cell r="S719" t="str">
            <v>NIORO</v>
          </cell>
          <cell r="T719" t="str">
            <v>KAOLACK</v>
          </cell>
        </row>
        <row r="720">
          <cell r="A720" t="str">
            <v>MBR_0560</v>
          </cell>
          <cell r="S720" t="str">
            <v>FATICK</v>
          </cell>
          <cell r="T720" t="str">
            <v>KAOLACK</v>
          </cell>
        </row>
        <row r="721">
          <cell r="A721" t="str">
            <v>KLK_2723</v>
          </cell>
          <cell r="S721" t="str">
            <v>SOKONE</v>
          </cell>
          <cell r="T721" t="str">
            <v>KAOLACK</v>
          </cell>
        </row>
        <row r="722">
          <cell r="A722" t="str">
            <v>KLK_0561</v>
          </cell>
          <cell r="S722" t="str">
            <v>SOKONE</v>
          </cell>
          <cell r="T722" t="str">
            <v>KAOLACK</v>
          </cell>
        </row>
        <row r="723">
          <cell r="A723" t="str">
            <v>KLD_2727</v>
          </cell>
          <cell r="S723" t="str">
            <v>KOLDA</v>
          </cell>
          <cell r="T723" t="str">
            <v>ZIGUINCHOR</v>
          </cell>
        </row>
        <row r="724">
          <cell r="A724" t="str">
            <v>DBL_0562</v>
          </cell>
          <cell r="S724" t="str">
            <v>LINGUERE</v>
          </cell>
          <cell r="T724" t="str">
            <v>THIES</v>
          </cell>
        </row>
        <row r="725">
          <cell r="A725" t="str">
            <v>BKL_0563</v>
          </cell>
          <cell r="S725" t="str">
            <v>BAKEL</v>
          </cell>
          <cell r="T725" t="str">
            <v>SAINT-LOUIS</v>
          </cell>
        </row>
        <row r="726">
          <cell r="A726" t="str">
            <v>ZIG_0564</v>
          </cell>
          <cell r="S726" t="str">
            <v>ZIGUINCHOR</v>
          </cell>
          <cell r="T726" t="str">
            <v>ZIGUINCHOR</v>
          </cell>
        </row>
        <row r="727">
          <cell r="A727" t="str">
            <v>TMB_0565</v>
          </cell>
          <cell r="S727" t="str">
            <v>TAMBA</v>
          </cell>
          <cell r="T727" t="str">
            <v>TAMBACOUNDA</v>
          </cell>
        </row>
        <row r="728">
          <cell r="A728" t="str">
            <v>ZIG_0566</v>
          </cell>
          <cell r="S728" t="str">
            <v>SEDHIOU</v>
          </cell>
          <cell r="T728" t="str">
            <v>ZIGUINCHOR</v>
          </cell>
        </row>
        <row r="729">
          <cell r="A729" t="str">
            <v>STL_2741</v>
          </cell>
          <cell r="S729" t="str">
            <v>LOUGA</v>
          </cell>
          <cell r="T729" t="str">
            <v>SAINT-LOUIS</v>
          </cell>
        </row>
        <row r="730">
          <cell r="A730" t="str">
            <v>MBR_0567</v>
          </cell>
          <cell r="S730" t="str">
            <v>SOKONE</v>
          </cell>
          <cell r="T730" t="str">
            <v>KAOLACK</v>
          </cell>
        </row>
        <row r="731">
          <cell r="A731" t="str">
            <v>ZIG_0568</v>
          </cell>
          <cell r="S731" t="str">
            <v>ZIGUINCHOR</v>
          </cell>
          <cell r="T731" t="str">
            <v>ZIGUINCHOR</v>
          </cell>
        </row>
        <row r="732">
          <cell r="A732" t="str">
            <v>STL_0569</v>
          </cell>
          <cell r="S732" t="str">
            <v>SAINT-LOUIS</v>
          </cell>
          <cell r="T732" t="str">
            <v>SAINT-LOUIS</v>
          </cell>
        </row>
        <row r="733">
          <cell r="A733" t="str">
            <v>NDM_0570</v>
          </cell>
          <cell r="S733" t="str">
            <v>NDIOUM</v>
          </cell>
          <cell r="T733" t="str">
            <v>SAINT-LOUIS</v>
          </cell>
        </row>
        <row r="734">
          <cell r="A734" t="str">
            <v>DBL_0571</v>
          </cell>
          <cell r="S734" t="str">
            <v>LINGUERE</v>
          </cell>
          <cell r="T734" t="str">
            <v>THIES</v>
          </cell>
        </row>
        <row r="735">
          <cell r="A735" t="str">
            <v>DBL_0572</v>
          </cell>
          <cell r="S735" t="str">
            <v>DIOURBEL</v>
          </cell>
          <cell r="T735" t="str">
            <v>THIES</v>
          </cell>
        </row>
        <row r="736">
          <cell r="A736" t="str">
            <v>ORG_0573</v>
          </cell>
          <cell r="S736" t="str">
            <v>MATAM</v>
          </cell>
          <cell r="T736" t="str">
            <v>SAINT-LOUIS</v>
          </cell>
        </row>
        <row r="737">
          <cell r="A737" t="str">
            <v>KLK_2771</v>
          </cell>
          <cell r="S737" t="str">
            <v>KAOLACK</v>
          </cell>
          <cell r="T737" t="str">
            <v xml:space="preserve"> KAOLACK</v>
          </cell>
        </row>
        <row r="738">
          <cell r="A738" t="str">
            <v>TMB_2683</v>
          </cell>
          <cell r="S738" t="str">
            <v>KOUNGHEUL</v>
          </cell>
          <cell r="T738" t="str">
            <v>TAMBACOUNDA</v>
          </cell>
        </row>
        <row r="739">
          <cell r="A739" t="str">
            <v>KLD_0574</v>
          </cell>
          <cell r="S739" t="str">
            <v>VELINGARA</v>
          </cell>
          <cell r="T739" t="str">
            <v>ZIGUINCHOR</v>
          </cell>
        </row>
        <row r="740">
          <cell r="A740" t="str">
            <v>DKR_0575</v>
          </cell>
          <cell r="S740" t="str">
            <v>RUFISQUE</v>
          </cell>
          <cell r="T740" t="str">
            <v>DAKAR</v>
          </cell>
        </row>
        <row r="741">
          <cell r="A741" t="str">
            <v>DKR_0576</v>
          </cell>
          <cell r="S741" t="str">
            <v>RUFISQUE</v>
          </cell>
          <cell r="T741" t="str">
            <v>DAKAR</v>
          </cell>
        </row>
        <row r="742">
          <cell r="A742" t="str">
            <v>THS_0577</v>
          </cell>
          <cell r="S742" t="str">
            <v>TIVAOUANE</v>
          </cell>
          <cell r="T742" t="str">
            <v>THIES</v>
          </cell>
        </row>
        <row r="743">
          <cell r="A743" t="str">
            <v>TMB_0578</v>
          </cell>
          <cell r="S743" t="str">
            <v>GOUDIRY</v>
          </cell>
          <cell r="T743" t="str">
            <v>TAMBACOUNDA</v>
          </cell>
        </row>
        <row r="744">
          <cell r="A744" t="str">
            <v>TMB_0579</v>
          </cell>
          <cell r="S744" t="str">
            <v>GOUDIRY</v>
          </cell>
          <cell r="T744" t="str">
            <v>TAMBACOUNDA</v>
          </cell>
        </row>
        <row r="745">
          <cell r="A745" t="str">
            <v>NDM_0580</v>
          </cell>
          <cell r="S745" t="str">
            <v>NDIOUM</v>
          </cell>
          <cell r="T745" t="str">
            <v>SAINT-LOUIS</v>
          </cell>
        </row>
        <row r="746">
          <cell r="A746" t="str">
            <v>ORG_0581</v>
          </cell>
          <cell r="S746" t="str">
            <v>MATAM</v>
          </cell>
          <cell r="T746" t="str">
            <v>SAINT-LOUIS</v>
          </cell>
        </row>
        <row r="747">
          <cell r="A747" t="str">
            <v>STL_2672</v>
          </cell>
          <cell r="S747" t="str">
            <v>MATAM</v>
          </cell>
          <cell r="T747" t="str">
            <v>SAINT-LOUIS</v>
          </cell>
        </row>
        <row r="748">
          <cell r="A748" t="str">
            <v>ORG_0582</v>
          </cell>
          <cell r="S748" t="str">
            <v>MATAM</v>
          </cell>
          <cell r="T748" t="str">
            <v>SAINT-LOUIS</v>
          </cell>
        </row>
        <row r="749">
          <cell r="A749" t="str">
            <v>ORG_0583</v>
          </cell>
          <cell r="S749" t="str">
            <v>BAKEL</v>
          </cell>
          <cell r="T749" t="str">
            <v>SAINT-LOUIS</v>
          </cell>
        </row>
        <row r="750">
          <cell r="A750" t="str">
            <v>BKL_0584</v>
          </cell>
          <cell r="S750" t="str">
            <v>GOUDIRY</v>
          </cell>
          <cell r="T750" t="str">
            <v>TAMBACOUNDA</v>
          </cell>
        </row>
        <row r="751">
          <cell r="A751" t="str">
            <v>DBL_0585</v>
          </cell>
          <cell r="S751" t="str">
            <v>LINGUERE</v>
          </cell>
          <cell r="T751" t="str">
            <v>THIES</v>
          </cell>
        </row>
        <row r="752">
          <cell r="A752" t="str">
            <v>NDM_0586</v>
          </cell>
          <cell r="S752" t="str">
            <v>NDIOUM</v>
          </cell>
          <cell r="T752" t="str">
            <v>SAINT-LOUIS</v>
          </cell>
        </row>
        <row r="753">
          <cell r="A753" t="str">
            <v>KDG_0587</v>
          </cell>
          <cell r="S753" t="str">
            <v>KEDOUGOU</v>
          </cell>
          <cell r="T753" t="str">
            <v>TAMBACOUNDA</v>
          </cell>
        </row>
        <row r="754">
          <cell r="A754" t="str">
            <v>TMB_0588</v>
          </cell>
          <cell r="S754" t="str">
            <v>TAMBA</v>
          </cell>
          <cell r="T754" t="str">
            <v>TAMBACOUNDA</v>
          </cell>
        </row>
        <row r="755">
          <cell r="A755" t="str">
            <v>DBL_2804</v>
          </cell>
          <cell r="S755" t="str">
            <v>DIOURBEL</v>
          </cell>
          <cell r="T755" t="str">
            <v>THIES</v>
          </cell>
        </row>
        <row r="756">
          <cell r="A756" t="str">
            <v>DKR_0589</v>
          </cell>
          <cell r="S756" t="str">
            <v>MEDINA</v>
          </cell>
          <cell r="T756" t="str">
            <v>DAKAR</v>
          </cell>
        </row>
        <row r="757">
          <cell r="A757" t="str">
            <v>KDG_0591</v>
          </cell>
          <cell r="S757" t="str">
            <v>KEDOUGOU</v>
          </cell>
          <cell r="T757" t="str">
            <v>TAMBACOUNDA</v>
          </cell>
        </row>
        <row r="758">
          <cell r="A758" t="str">
            <v>ZIG_2726</v>
          </cell>
          <cell r="S758" t="str">
            <v>ZIGUINCHOR</v>
          </cell>
          <cell r="T758" t="str">
            <v>ZIGUINCHOR</v>
          </cell>
        </row>
        <row r="759">
          <cell r="A759" t="str">
            <v>KDG_0592</v>
          </cell>
          <cell r="S759" t="str">
            <v>KEDOUGOU</v>
          </cell>
          <cell r="T759" t="str">
            <v>TAMBACOUNDA</v>
          </cell>
        </row>
        <row r="760">
          <cell r="A760" t="str">
            <v>ZIG_0593</v>
          </cell>
          <cell r="S760" t="str">
            <v>ZIGUINCHOR</v>
          </cell>
          <cell r="T760" t="str">
            <v>ZIGUINCHOR</v>
          </cell>
        </row>
        <row r="761">
          <cell r="A761" t="str">
            <v>ZIG_0594</v>
          </cell>
          <cell r="S761" t="str">
            <v>ZIGUINCHOR</v>
          </cell>
          <cell r="T761" t="str">
            <v>ZIGUINCHOR</v>
          </cell>
        </row>
        <row r="762">
          <cell r="A762" t="str">
            <v>KDG_0595</v>
          </cell>
          <cell r="S762" t="str">
            <v>KEDOUGOU</v>
          </cell>
          <cell r="T762" t="str">
            <v>TAMBACOUNDA</v>
          </cell>
        </row>
        <row r="763">
          <cell r="A763" t="str">
            <v>ZIG_0596</v>
          </cell>
          <cell r="S763" t="str">
            <v>ZIGUINCHOR</v>
          </cell>
          <cell r="T763" t="str">
            <v>ZIGUINCHOR</v>
          </cell>
        </row>
        <row r="764">
          <cell r="A764" t="str">
            <v>DKR_0597</v>
          </cell>
          <cell r="S764" t="str">
            <v>MEDINA</v>
          </cell>
          <cell r="T764" t="str">
            <v>DAKAR</v>
          </cell>
        </row>
        <row r="765">
          <cell r="A765" t="str">
            <v>ZIG_0598</v>
          </cell>
          <cell r="S765" t="str">
            <v>ZIGUINCHOR</v>
          </cell>
          <cell r="T765" t="str">
            <v>ZIGUINCHOR</v>
          </cell>
        </row>
        <row r="766">
          <cell r="A766" t="str">
            <v>DKR_0599</v>
          </cell>
          <cell r="S766" t="str">
            <v>MEDINA</v>
          </cell>
          <cell r="T766" t="str">
            <v>DAKAR</v>
          </cell>
        </row>
        <row r="767">
          <cell r="A767" t="str">
            <v>DKR_0600</v>
          </cell>
          <cell r="S767" t="str">
            <v>MEDINA</v>
          </cell>
          <cell r="T767" t="str">
            <v>DAKAR</v>
          </cell>
        </row>
        <row r="768">
          <cell r="A768" t="str">
            <v>DKR_0601</v>
          </cell>
          <cell r="S768" t="str">
            <v>MEDINA</v>
          </cell>
          <cell r="T768" t="str">
            <v>DAKAR</v>
          </cell>
        </row>
        <row r="769">
          <cell r="A769" t="str">
            <v>DKR_0602</v>
          </cell>
          <cell r="S769" t="str">
            <v>MEDINA</v>
          </cell>
          <cell r="T769" t="str">
            <v>DAKAR</v>
          </cell>
        </row>
        <row r="770">
          <cell r="A770" t="str">
            <v>THS_0603</v>
          </cell>
          <cell r="S770" t="str">
            <v>THIES</v>
          </cell>
          <cell r="T770" t="str">
            <v>THIES</v>
          </cell>
        </row>
        <row r="771">
          <cell r="A771" t="str">
            <v>KDG_0604</v>
          </cell>
          <cell r="S771" t="str">
            <v>KEDOUGOU</v>
          </cell>
          <cell r="T771" t="str">
            <v>TAMBACOUNDA</v>
          </cell>
        </row>
        <row r="772">
          <cell r="A772" t="str">
            <v>ZIG_0605</v>
          </cell>
          <cell r="S772" t="str">
            <v>ZIGUINCHOR</v>
          </cell>
          <cell r="T772" t="str">
            <v>ZIGUINCHOR</v>
          </cell>
        </row>
        <row r="773">
          <cell r="A773" t="str">
            <v>TMB_0606</v>
          </cell>
          <cell r="S773" t="str">
            <v>KOUNGHEUL</v>
          </cell>
          <cell r="T773" t="str">
            <v>TAMBACOUNDA</v>
          </cell>
        </row>
        <row r="774">
          <cell r="A774" t="str">
            <v>MBR_0607</v>
          </cell>
          <cell r="S774" t="str">
            <v>MBOUR</v>
          </cell>
          <cell r="T774" t="str">
            <v>THIES</v>
          </cell>
        </row>
        <row r="775">
          <cell r="A775" t="str">
            <v>BKL_0608</v>
          </cell>
          <cell r="S775" t="str">
            <v>BAKEL</v>
          </cell>
          <cell r="T775" t="str">
            <v>SAINT-LOUIS</v>
          </cell>
        </row>
        <row r="776">
          <cell r="A776" t="str">
            <v>MBR_0609</v>
          </cell>
          <cell r="S776" t="str">
            <v>MBOUR</v>
          </cell>
          <cell r="T776" t="str">
            <v>THIES</v>
          </cell>
        </row>
        <row r="777">
          <cell r="A777" t="str">
            <v>KLD_0610</v>
          </cell>
          <cell r="S777" t="str">
            <v>VELINGARA</v>
          </cell>
          <cell r="T777" t="str">
            <v>ZIGUINCHOR</v>
          </cell>
        </row>
        <row r="778">
          <cell r="A778" t="str">
            <v>MBR_0611</v>
          </cell>
          <cell r="S778" t="str">
            <v>MBOUR</v>
          </cell>
          <cell r="T778" t="str">
            <v>THIES</v>
          </cell>
        </row>
        <row r="779">
          <cell r="A779" t="str">
            <v>MBR_0612</v>
          </cell>
          <cell r="S779" t="str">
            <v>MBOUR</v>
          </cell>
          <cell r="T779" t="str">
            <v>THIES</v>
          </cell>
        </row>
        <row r="780">
          <cell r="A780" t="str">
            <v>DKR_0613</v>
          </cell>
          <cell r="S780" t="str">
            <v>MEDINA</v>
          </cell>
          <cell r="T780" t="str">
            <v>DAKAR</v>
          </cell>
        </row>
        <row r="781">
          <cell r="A781" t="str">
            <v>KLK_0614</v>
          </cell>
          <cell r="S781" t="str">
            <v>SOKONE</v>
          </cell>
          <cell r="T781" t="str">
            <v>KAOLACK</v>
          </cell>
        </row>
        <row r="782">
          <cell r="A782" t="str">
            <v>ZIG_2711</v>
          </cell>
          <cell r="S782" t="str">
            <v>ZIGUINCHOR</v>
          </cell>
          <cell r="T782" t="str">
            <v>ZIGUINCHOR</v>
          </cell>
        </row>
        <row r="783">
          <cell r="A783" t="str">
            <v>NDM_0615</v>
          </cell>
          <cell r="S783" t="str">
            <v>NDIOUM</v>
          </cell>
          <cell r="T783" t="str">
            <v>SAINT-LOUIS</v>
          </cell>
        </row>
        <row r="784">
          <cell r="A784" t="str">
            <v>ZIG_0616</v>
          </cell>
          <cell r="S784" t="str">
            <v>ZIGUINCHOR</v>
          </cell>
          <cell r="T784" t="str">
            <v>ZIGUINCHOR</v>
          </cell>
        </row>
        <row r="785">
          <cell r="A785" t="str">
            <v>THS_0617</v>
          </cell>
          <cell r="S785" t="str">
            <v>THIES</v>
          </cell>
          <cell r="T785" t="str">
            <v>THIES</v>
          </cell>
        </row>
        <row r="786">
          <cell r="A786" t="str">
            <v>DKR_0618</v>
          </cell>
          <cell r="S786" t="str">
            <v>MEDINA</v>
          </cell>
          <cell r="T786" t="str">
            <v>DAKAR</v>
          </cell>
        </row>
        <row r="787">
          <cell r="A787" t="str">
            <v>DKR_0619</v>
          </cell>
          <cell r="S787" t="str">
            <v>MEDINA</v>
          </cell>
          <cell r="T787" t="str">
            <v>DAKAR</v>
          </cell>
        </row>
        <row r="788">
          <cell r="A788" t="str">
            <v>DKR_0620</v>
          </cell>
          <cell r="S788" t="str">
            <v>MEDINA</v>
          </cell>
          <cell r="T788" t="str">
            <v>DAKAR</v>
          </cell>
        </row>
        <row r="789">
          <cell r="A789" t="str">
            <v>DKR_0621</v>
          </cell>
          <cell r="S789" t="str">
            <v>MEDINA</v>
          </cell>
          <cell r="T789" t="str">
            <v>DAKAR</v>
          </cell>
        </row>
        <row r="790">
          <cell r="A790" t="str">
            <v>DKR_0622</v>
          </cell>
          <cell r="S790" t="str">
            <v>MEDINA</v>
          </cell>
          <cell r="T790" t="str">
            <v>DAKAR</v>
          </cell>
        </row>
        <row r="791">
          <cell r="A791" t="str">
            <v>KLD_0623</v>
          </cell>
          <cell r="S791" t="str">
            <v>SEDHIOU</v>
          </cell>
          <cell r="T791" t="str">
            <v>ZIGUINCHOR</v>
          </cell>
        </row>
        <row r="792">
          <cell r="A792" t="str">
            <v>KDG_0624</v>
          </cell>
          <cell r="S792" t="str">
            <v>KEDOUGOU</v>
          </cell>
          <cell r="T792" t="str">
            <v>TAMBACOUNDA</v>
          </cell>
        </row>
        <row r="793">
          <cell r="A793" t="str">
            <v>DBL_0625</v>
          </cell>
          <cell r="S793" t="str">
            <v>DIOURBEL</v>
          </cell>
          <cell r="T793" t="str">
            <v>THIES</v>
          </cell>
        </row>
        <row r="794">
          <cell r="A794" t="str">
            <v>DKR_0626</v>
          </cell>
          <cell r="S794" t="str">
            <v>MEDINA</v>
          </cell>
          <cell r="T794" t="str">
            <v>DAKAR</v>
          </cell>
        </row>
        <row r="795">
          <cell r="A795" t="str">
            <v>THS_0627</v>
          </cell>
          <cell r="S795" t="str">
            <v>TIVAOUANE</v>
          </cell>
          <cell r="T795" t="str">
            <v>THIES</v>
          </cell>
        </row>
        <row r="796">
          <cell r="A796" t="str">
            <v>DKR_0628</v>
          </cell>
          <cell r="S796" t="str">
            <v>MEDINA</v>
          </cell>
          <cell r="T796" t="str">
            <v>DAKAR</v>
          </cell>
        </row>
        <row r="797">
          <cell r="A797" t="str">
            <v>DKR_2743</v>
          </cell>
          <cell r="S797" t="str">
            <v>MEDINA</v>
          </cell>
          <cell r="T797" t="str">
            <v>DAKAR</v>
          </cell>
        </row>
        <row r="798">
          <cell r="A798" t="str">
            <v>TMB_0629</v>
          </cell>
          <cell r="S798" t="str">
            <v>KOUNGHEUL</v>
          </cell>
          <cell r="T798" t="str">
            <v>TAMBACOUNDA</v>
          </cell>
        </row>
        <row r="799">
          <cell r="A799" t="str">
            <v>KLK_0630</v>
          </cell>
          <cell r="S799" t="str">
            <v>KAOLACK</v>
          </cell>
          <cell r="T799" t="str">
            <v>KAOLACK</v>
          </cell>
        </row>
        <row r="800">
          <cell r="A800" t="str">
            <v>STL_2811</v>
          </cell>
          <cell r="S800" t="str">
            <v>SAINT-LOUIS</v>
          </cell>
          <cell r="T800" t="str">
            <v>SAINT-LOUIS</v>
          </cell>
        </row>
        <row r="801">
          <cell r="A801" t="str">
            <v>KLD_0631</v>
          </cell>
          <cell r="S801" t="str">
            <v>KOLDA</v>
          </cell>
          <cell r="T801" t="str">
            <v>ZIGUINCHOR</v>
          </cell>
        </row>
        <row r="802">
          <cell r="A802" t="str">
            <v>TMB_0632</v>
          </cell>
          <cell r="S802" t="str">
            <v>KOUNGHEUL</v>
          </cell>
          <cell r="T802" t="str">
            <v>TAMBACOUNDA</v>
          </cell>
        </row>
        <row r="803">
          <cell r="A803" t="str">
            <v>STL_0633</v>
          </cell>
          <cell r="S803" t="str">
            <v>SAINT-LOUIS</v>
          </cell>
          <cell r="T803" t="str">
            <v>SAINT-LOUIS</v>
          </cell>
        </row>
        <row r="804">
          <cell r="A804" t="str">
            <v>KLD_2728</v>
          </cell>
          <cell r="S804" t="str">
            <v>TAMBACOUNDA</v>
          </cell>
          <cell r="T804" t="str">
            <v>TAMBACOUNDA</v>
          </cell>
        </row>
        <row r="805">
          <cell r="A805" t="str">
            <v>KLK_0634</v>
          </cell>
          <cell r="S805" t="str">
            <v>SOKONE</v>
          </cell>
          <cell r="T805" t="str">
            <v>KAOLACK</v>
          </cell>
        </row>
        <row r="806">
          <cell r="A806" t="str">
            <v>THS_0635</v>
          </cell>
          <cell r="S806" t="str">
            <v>TIVAOUANE</v>
          </cell>
          <cell r="T806" t="str">
            <v>THIES</v>
          </cell>
        </row>
        <row r="807">
          <cell r="A807" t="str">
            <v>DBL_0636</v>
          </cell>
          <cell r="S807" t="str">
            <v>TOUBA02</v>
          </cell>
          <cell r="T807" t="str">
            <v>THIES</v>
          </cell>
        </row>
        <row r="808">
          <cell r="A808" t="str">
            <v>KLD_0637</v>
          </cell>
          <cell r="S808" t="str">
            <v>KOLDA</v>
          </cell>
          <cell r="T808" t="str">
            <v>ZIGUINCHOR</v>
          </cell>
        </row>
        <row r="809">
          <cell r="A809" t="str">
            <v>MBR_0638</v>
          </cell>
          <cell r="S809" t="str">
            <v>FATICK</v>
          </cell>
          <cell r="T809" t="str">
            <v>KAOLACK</v>
          </cell>
        </row>
        <row r="810">
          <cell r="A810" t="str">
            <v>MBR_0639</v>
          </cell>
          <cell r="S810" t="str">
            <v>FATICK</v>
          </cell>
          <cell r="T810" t="str">
            <v>KAOLACK</v>
          </cell>
        </row>
        <row r="811">
          <cell r="A811" t="str">
            <v>MBR_0640</v>
          </cell>
          <cell r="S811" t="str">
            <v>FATICK</v>
          </cell>
          <cell r="T811" t="str">
            <v>KAOLACK</v>
          </cell>
        </row>
        <row r="812">
          <cell r="A812" t="str">
            <v>MBR_0642</v>
          </cell>
          <cell r="S812" t="str">
            <v>FATICK</v>
          </cell>
          <cell r="T812" t="str">
            <v>KAOLACK</v>
          </cell>
        </row>
        <row r="813">
          <cell r="A813" t="str">
            <v>KLK_2782</v>
          </cell>
          <cell r="S813" t="str">
            <v>FATICK</v>
          </cell>
          <cell r="T813" t="str">
            <v>KAOLACK</v>
          </cell>
        </row>
        <row r="814">
          <cell r="A814" t="str">
            <v>KLK_2821</v>
          </cell>
          <cell r="S814" t="str">
            <v>KAOLACK</v>
          </cell>
          <cell r="T814" t="str">
            <v>KAOLACK</v>
          </cell>
        </row>
        <row r="815">
          <cell r="A815" t="str">
            <v>MBR_0643</v>
          </cell>
          <cell r="S815" t="str">
            <v>FATICK</v>
          </cell>
          <cell r="T815" t="str">
            <v>KAOLACK</v>
          </cell>
        </row>
        <row r="816">
          <cell r="A816" t="str">
            <v>KLK_2838</v>
          </cell>
          <cell r="S816" t="str">
            <v>FATICK</v>
          </cell>
          <cell r="T816" t="str">
            <v>KAOLACK</v>
          </cell>
        </row>
        <row r="817">
          <cell r="A817" t="str">
            <v>ORG_0644</v>
          </cell>
          <cell r="S817" t="str">
            <v>MATAM</v>
          </cell>
          <cell r="T817" t="str">
            <v>SAINT-LOUIS</v>
          </cell>
        </row>
        <row r="818">
          <cell r="A818" t="str">
            <v>MBR_0645</v>
          </cell>
          <cell r="S818" t="str">
            <v>FATICK</v>
          </cell>
          <cell r="T818" t="str">
            <v>KAOLACK</v>
          </cell>
        </row>
        <row r="819">
          <cell r="A819" t="str">
            <v>KLK_0646</v>
          </cell>
          <cell r="S819" t="str">
            <v>SOKONE</v>
          </cell>
          <cell r="T819" t="str">
            <v>KAOLACK</v>
          </cell>
        </row>
        <row r="820">
          <cell r="A820" t="str">
            <v>MBR_0647</v>
          </cell>
          <cell r="S820" t="str">
            <v>DIOURBEL</v>
          </cell>
          <cell r="T820" t="str">
            <v>THIES</v>
          </cell>
        </row>
        <row r="821">
          <cell r="A821" t="str">
            <v>THS_0648</v>
          </cell>
          <cell r="S821" t="str">
            <v>TIVAOUANE</v>
          </cell>
          <cell r="T821" t="str">
            <v>THIES</v>
          </cell>
        </row>
        <row r="822">
          <cell r="A822" t="str">
            <v>THS_0649</v>
          </cell>
          <cell r="S822" t="str">
            <v>TIVAOUANE</v>
          </cell>
          <cell r="T822" t="str">
            <v>THIES</v>
          </cell>
        </row>
        <row r="823">
          <cell r="A823" t="str">
            <v>THS_0650</v>
          </cell>
          <cell r="S823" t="str">
            <v>TIVAOUANE</v>
          </cell>
          <cell r="T823" t="str">
            <v>THIES</v>
          </cell>
        </row>
        <row r="824">
          <cell r="A824" t="str">
            <v>DKR_0651</v>
          </cell>
          <cell r="S824" t="str">
            <v>MEDINA</v>
          </cell>
          <cell r="T824" t="str">
            <v>DAKAR</v>
          </cell>
        </row>
        <row r="825">
          <cell r="A825" t="str">
            <v>DKR_2842</v>
          </cell>
          <cell r="S825" t="str">
            <v>MEDINA</v>
          </cell>
          <cell r="T825" t="str">
            <v>DAKAR</v>
          </cell>
        </row>
        <row r="826">
          <cell r="A826" t="str">
            <v>TMB_0652</v>
          </cell>
          <cell r="S826" t="str">
            <v>KOUNGHEUL</v>
          </cell>
          <cell r="T826" t="str">
            <v>TAMBACOUNDA</v>
          </cell>
        </row>
        <row r="827">
          <cell r="A827" t="str">
            <v>THS_0653</v>
          </cell>
          <cell r="S827" t="str">
            <v>THIES</v>
          </cell>
          <cell r="T827" t="str">
            <v>THIES</v>
          </cell>
        </row>
        <row r="828">
          <cell r="A828" t="str">
            <v>MBR_0654</v>
          </cell>
          <cell r="S828" t="str">
            <v>SOKONE</v>
          </cell>
          <cell r="T828" t="str">
            <v>KAOLACK</v>
          </cell>
        </row>
        <row r="829">
          <cell r="A829" t="str">
            <v>MBR_0655</v>
          </cell>
          <cell r="S829" t="str">
            <v>SOKONE</v>
          </cell>
          <cell r="T829" t="str">
            <v>KAOLACK</v>
          </cell>
        </row>
        <row r="830">
          <cell r="A830" t="str">
            <v>DBL_0656</v>
          </cell>
          <cell r="S830" t="str">
            <v>LINGUERE</v>
          </cell>
          <cell r="T830" t="str">
            <v>THIES</v>
          </cell>
        </row>
        <row r="831">
          <cell r="A831" t="str">
            <v>STL_2742</v>
          </cell>
          <cell r="S831" t="str">
            <v>LINGUERE</v>
          </cell>
          <cell r="T831" t="str">
            <v>SAINT-LOUIS</v>
          </cell>
        </row>
        <row r="832">
          <cell r="A832" t="str">
            <v>ZIG_0657</v>
          </cell>
          <cell r="S832" t="str">
            <v>SEDHIOU</v>
          </cell>
          <cell r="T832" t="str">
            <v>ZIGUINCHOR</v>
          </cell>
        </row>
        <row r="833">
          <cell r="A833" t="str">
            <v>ORG_0658</v>
          </cell>
          <cell r="S833" t="str">
            <v>MATAM</v>
          </cell>
          <cell r="T833" t="str">
            <v>SAINT-LOUIS</v>
          </cell>
        </row>
        <row r="834">
          <cell r="A834" t="str">
            <v>BKL_0659</v>
          </cell>
          <cell r="S834" t="str">
            <v>BAKEL</v>
          </cell>
          <cell r="T834" t="str">
            <v>SAINT-LOUIS</v>
          </cell>
        </row>
        <row r="835">
          <cell r="A835" t="str">
            <v>STL_2797</v>
          </cell>
          <cell r="S835" t="str">
            <v>LOUGA</v>
          </cell>
          <cell r="T835" t="str">
            <v>SAINT-LOUIS</v>
          </cell>
        </row>
        <row r="836">
          <cell r="A836" t="str">
            <v>NDM_0660</v>
          </cell>
          <cell r="S836" t="str">
            <v>NDIOUM</v>
          </cell>
          <cell r="T836" t="str">
            <v>SAINT-LOUIS</v>
          </cell>
        </row>
        <row r="837">
          <cell r="A837" t="str">
            <v>KLK_0661</v>
          </cell>
          <cell r="S837" t="str">
            <v>KAOLACK</v>
          </cell>
          <cell r="T837" t="str">
            <v>KAOLACK</v>
          </cell>
        </row>
        <row r="838">
          <cell r="A838" t="str">
            <v>KLK_0662</v>
          </cell>
          <cell r="S838" t="str">
            <v>SOKONE</v>
          </cell>
          <cell r="T838" t="str">
            <v>KAOLACK</v>
          </cell>
        </row>
        <row r="839">
          <cell r="A839" t="str">
            <v>KLK_0663</v>
          </cell>
          <cell r="S839" t="str">
            <v>KAFFRINE</v>
          </cell>
          <cell r="T839" t="str">
            <v>KAOLACK</v>
          </cell>
        </row>
        <row r="840">
          <cell r="A840" t="str">
            <v>KLK_0664</v>
          </cell>
          <cell r="S840" t="str">
            <v>KAFFRINE</v>
          </cell>
          <cell r="T840" t="str">
            <v>KAOLACK</v>
          </cell>
        </row>
        <row r="841">
          <cell r="A841" t="str">
            <v>TMB_2733</v>
          </cell>
          <cell r="S841" t="str">
            <v>GOUDIRY</v>
          </cell>
          <cell r="T841" t="str">
            <v>TAMBACOUNDA</v>
          </cell>
        </row>
        <row r="842">
          <cell r="A842" t="str">
            <v>ORG_0665</v>
          </cell>
          <cell r="S842" t="str">
            <v>MATAM</v>
          </cell>
          <cell r="T842" t="str">
            <v>SAINT-LOUIS</v>
          </cell>
        </row>
        <row r="843">
          <cell r="A843" t="str">
            <v>NDM_0666</v>
          </cell>
          <cell r="S843" t="str">
            <v>NDIOUM</v>
          </cell>
          <cell r="T843" t="str">
            <v>SAINT-LOUIS</v>
          </cell>
        </row>
        <row r="844">
          <cell r="A844" t="str">
            <v>KLK_0667</v>
          </cell>
          <cell r="S844" t="str">
            <v>FATICK</v>
          </cell>
          <cell r="T844" t="str">
            <v>KAOLACK</v>
          </cell>
        </row>
        <row r="845">
          <cell r="A845" t="str">
            <v>KLK_0668</v>
          </cell>
          <cell r="S845" t="str">
            <v>KAFFRINE</v>
          </cell>
          <cell r="T845" t="str">
            <v>KAOLACK</v>
          </cell>
        </row>
        <row r="846">
          <cell r="A846" t="str">
            <v>TMB_2658</v>
          </cell>
          <cell r="S846" t="str">
            <v>TAMBA</v>
          </cell>
          <cell r="T846" t="str">
            <v>TAMBACOUNDA</v>
          </cell>
        </row>
        <row r="847">
          <cell r="A847" t="str">
            <v>STL_0669</v>
          </cell>
          <cell r="S847" t="str">
            <v>LOUGA</v>
          </cell>
          <cell r="T847" t="str">
            <v>SAINT-LOUIS</v>
          </cell>
        </row>
        <row r="848">
          <cell r="A848" t="str">
            <v>TMB_2755</v>
          </cell>
          <cell r="S848" t="str">
            <v>BAKEL</v>
          </cell>
          <cell r="T848" t="str">
            <v>SAINT-LOUIS</v>
          </cell>
        </row>
        <row r="849">
          <cell r="A849" t="str">
            <v>KLK_0670</v>
          </cell>
          <cell r="S849" t="str">
            <v>FATICK</v>
          </cell>
          <cell r="T849" t="str">
            <v>KAOLACK</v>
          </cell>
        </row>
        <row r="850">
          <cell r="A850" t="str">
            <v>MBR_0671</v>
          </cell>
          <cell r="S850" t="str">
            <v>MBOUR</v>
          </cell>
          <cell r="T850" t="str">
            <v>THIES</v>
          </cell>
        </row>
        <row r="851">
          <cell r="A851" t="str">
            <v>STL_0672</v>
          </cell>
          <cell r="S851" t="str">
            <v>SAINT-LOUIS</v>
          </cell>
          <cell r="T851" t="str">
            <v>SAINT-LOUIS</v>
          </cell>
        </row>
        <row r="852">
          <cell r="A852" t="str">
            <v>STL_0673</v>
          </cell>
          <cell r="S852" t="str">
            <v>SAINT-LOUIS</v>
          </cell>
          <cell r="T852" t="str">
            <v>SAINT-LOUIS</v>
          </cell>
        </row>
        <row r="853">
          <cell r="A853" t="str">
            <v>DKR_0674</v>
          </cell>
          <cell r="S853" t="str">
            <v>RUFISQUE</v>
          </cell>
          <cell r="T853" t="str">
            <v>DAKAR</v>
          </cell>
        </row>
        <row r="854">
          <cell r="A854" t="str">
            <v>STL_2743</v>
          </cell>
          <cell r="S854" t="str">
            <v>LINGUERE</v>
          </cell>
          <cell r="T854" t="str">
            <v>SAINT-LOUIS</v>
          </cell>
        </row>
        <row r="855">
          <cell r="A855" t="str">
            <v>BKL_0675</v>
          </cell>
          <cell r="S855" t="str">
            <v>BAKEL</v>
          </cell>
          <cell r="T855" t="str">
            <v>SAINT-LOUIS</v>
          </cell>
        </row>
        <row r="856">
          <cell r="A856" t="str">
            <v>ORG_0676</v>
          </cell>
          <cell r="S856" t="str">
            <v>MATAM</v>
          </cell>
          <cell r="T856" t="str">
            <v>SAINT-LOUIS</v>
          </cell>
        </row>
        <row r="857">
          <cell r="A857" t="str">
            <v>STL_2809</v>
          </cell>
          <cell r="S857" t="str">
            <v>LOUGA</v>
          </cell>
          <cell r="T857" t="str">
            <v>SAINT-LOUIS</v>
          </cell>
        </row>
        <row r="858">
          <cell r="A858" t="str">
            <v>ORG_0677</v>
          </cell>
          <cell r="S858" t="str">
            <v>MATAM</v>
          </cell>
          <cell r="T858" t="str">
            <v>SAINT-LOUIS</v>
          </cell>
        </row>
        <row r="859">
          <cell r="A859" t="str">
            <v>STL_2804</v>
          </cell>
          <cell r="S859" t="str">
            <v>MATAM</v>
          </cell>
          <cell r="T859" t="str">
            <v>SAINT-LOUIS</v>
          </cell>
        </row>
        <row r="860">
          <cell r="A860" t="str">
            <v>KLK_0678</v>
          </cell>
          <cell r="S860" t="str">
            <v>SOKONE</v>
          </cell>
          <cell r="T860" t="str">
            <v>KAOLACK</v>
          </cell>
        </row>
        <row r="861">
          <cell r="A861" t="str">
            <v>DBL_2638</v>
          </cell>
          <cell r="S861" t="str">
            <v>TOUBA01</v>
          </cell>
          <cell r="T861" t="str">
            <v>THIES</v>
          </cell>
        </row>
        <row r="862">
          <cell r="A862" t="str">
            <v>ORG_0679</v>
          </cell>
          <cell r="S862" t="str">
            <v>MATAM</v>
          </cell>
          <cell r="T862" t="str">
            <v>SAINT-LOUIS</v>
          </cell>
        </row>
        <row r="863">
          <cell r="A863" t="str">
            <v>DBL_0680</v>
          </cell>
          <cell r="S863" t="str">
            <v>TOUBA02</v>
          </cell>
          <cell r="T863" t="str">
            <v>THIES</v>
          </cell>
        </row>
        <row r="864">
          <cell r="A864" t="str">
            <v>STL_2727</v>
          </cell>
          <cell r="S864" t="str">
            <v>LOUGA</v>
          </cell>
          <cell r="T864" t="str">
            <v>SAINT-LOUIS</v>
          </cell>
        </row>
        <row r="865">
          <cell r="A865" t="str">
            <v>TMB_2697</v>
          </cell>
          <cell r="S865" t="str">
            <v>KOUNGHEUL</v>
          </cell>
          <cell r="T865" t="str">
            <v>TAMBACOUNDA</v>
          </cell>
        </row>
        <row r="866">
          <cell r="A866" t="str">
            <v>THS_2815</v>
          </cell>
          <cell r="S866" t="str">
            <v>THIES</v>
          </cell>
          <cell r="T866" t="str">
            <v>THIES</v>
          </cell>
        </row>
        <row r="867">
          <cell r="A867" t="str">
            <v>BKL_0681</v>
          </cell>
          <cell r="S867" t="str">
            <v>GOUDIRY</v>
          </cell>
          <cell r="T867" t="str">
            <v>TAMBACOUNDA</v>
          </cell>
        </row>
        <row r="868">
          <cell r="A868" t="str">
            <v>DBL_0682</v>
          </cell>
          <cell r="S868" t="str">
            <v>DIOURBEL</v>
          </cell>
          <cell r="T868" t="str">
            <v>THIES</v>
          </cell>
        </row>
        <row r="869">
          <cell r="A869" t="str">
            <v>KLK_0683</v>
          </cell>
          <cell r="S869" t="str">
            <v>KAFFRINE</v>
          </cell>
          <cell r="T869" t="str">
            <v>KAOLACK</v>
          </cell>
        </row>
        <row r="870">
          <cell r="A870" t="str">
            <v>DBL_0684</v>
          </cell>
          <cell r="S870" t="str">
            <v>DIOURBEL</v>
          </cell>
          <cell r="T870" t="str">
            <v>THIES</v>
          </cell>
        </row>
        <row r="871">
          <cell r="A871" t="str">
            <v>DBL_0685</v>
          </cell>
          <cell r="S871" t="str">
            <v>LINGUERE</v>
          </cell>
          <cell r="T871" t="str">
            <v>THIES</v>
          </cell>
        </row>
        <row r="872">
          <cell r="A872" t="str">
            <v>DBL_0686</v>
          </cell>
          <cell r="S872" t="str">
            <v>TOUBA01</v>
          </cell>
          <cell r="T872" t="str">
            <v>THIES</v>
          </cell>
        </row>
        <row r="873">
          <cell r="A873" t="str">
            <v>TMB_0687</v>
          </cell>
          <cell r="S873" t="str">
            <v>GOUDIRY</v>
          </cell>
          <cell r="T873" t="str">
            <v>TAMBACOUNDA</v>
          </cell>
        </row>
        <row r="874">
          <cell r="A874" t="str">
            <v>DKR_0688</v>
          </cell>
          <cell r="S874" t="str">
            <v>SACRE_COEUR</v>
          </cell>
          <cell r="T874" t="str">
            <v>DAKAR</v>
          </cell>
        </row>
        <row r="875">
          <cell r="A875" t="str">
            <v>DKR_0689</v>
          </cell>
          <cell r="S875" t="str">
            <v>SACRE_COEUR</v>
          </cell>
          <cell r="T875" t="str">
            <v>DAKAR</v>
          </cell>
        </row>
        <row r="876">
          <cell r="A876" t="str">
            <v>DKR_0690</v>
          </cell>
          <cell r="S876" t="str">
            <v>SACRE_COEUR</v>
          </cell>
          <cell r="T876" t="str">
            <v>DAKAR</v>
          </cell>
        </row>
        <row r="877">
          <cell r="A877" t="str">
            <v>DKR_0691</v>
          </cell>
          <cell r="S877" t="str">
            <v>OUAKAM</v>
          </cell>
          <cell r="T877" t="str">
            <v>DAKAR</v>
          </cell>
        </row>
        <row r="878">
          <cell r="A878" t="str">
            <v>DKR_0692</v>
          </cell>
          <cell r="S878" t="str">
            <v>SACRE_COEUR</v>
          </cell>
          <cell r="T878" t="str">
            <v>DAKAR</v>
          </cell>
        </row>
        <row r="879">
          <cell r="A879" t="str">
            <v>DKR_0693</v>
          </cell>
          <cell r="S879" t="str">
            <v>SACRE_COEUR</v>
          </cell>
          <cell r="T879" t="str">
            <v>DAKAR</v>
          </cell>
        </row>
        <row r="880">
          <cell r="A880" t="str">
            <v>DKR_0694</v>
          </cell>
          <cell r="S880" t="str">
            <v>SACRE_COEUR</v>
          </cell>
          <cell r="T880" t="str">
            <v>DAKAR</v>
          </cell>
        </row>
        <row r="881">
          <cell r="A881" t="str">
            <v>DKR_0695</v>
          </cell>
          <cell r="S881" t="str">
            <v>SACRE_COEUR</v>
          </cell>
          <cell r="T881" t="str">
            <v>DAKAR</v>
          </cell>
        </row>
        <row r="882">
          <cell r="A882" t="str">
            <v>DKR_0696</v>
          </cell>
          <cell r="S882" t="str">
            <v>SACRE_COEUR</v>
          </cell>
          <cell r="T882" t="str">
            <v>DAKAR</v>
          </cell>
        </row>
        <row r="883">
          <cell r="A883" t="str">
            <v>DKR_0697</v>
          </cell>
          <cell r="S883" t="str">
            <v>SACRE_COEUR</v>
          </cell>
          <cell r="T883" t="str">
            <v>DAKAR</v>
          </cell>
        </row>
        <row r="884">
          <cell r="A884" t="str">
            <v>DKR_0698</v>
          </cell>
          <cell r="S884" t="str">
            <v>GUEDIAWAYE</v>
          </cell>
          <cell r="T884" t="str">
            <v>DAKAR</v>
          </cell>
        </row>
        <row r="885">
          <cell r="A885" t="str">
            <v>DKR_0699</v>
          </cell>
          <cell r="S885" t="str">
            <v>GUEDIAWAYE</v>
          </cell>
          <cell r="T885" t="str">
            <v>DAKAR</v>
          </cell>
        </row>
        <row r="886">
          <cell r="A886" t="str">
            <v>DKR_0700</v>
          </cell>
          <cell r="S886" t="str">
            <v>GUEDIAWAYE</v>
          </cell>
          <cell r="T886" t="str">
            <v>DAKAR</v>
          </cell>
        </row>
        <row r="887">
          <cell r="A887" t="str">
            <v>DKR_0701</v>
          </cell>
          <cell r="S887" t="str">
            <v>GUEDIAWAYE</v>
          </cell>
          <cell r="T887" t="str">
            <v>DAKAR</v>
          </cell>
        </row>
        <row r="888">
          <cell r="A888" t="str">
            <v>DKR_0702</v>
          </cell>
          <cell r="S888" t="str">
            <v>GUEDIAWAYE</v>
          </cell>
          <cell r="T888" t="str">
            <v>DAKAR</v>
          </cell>
        </row>
        <row r="889">
          <cell r="A889" t="str">
            <v>DKR_0703</v>
          </cell>
          <cell r="S889" t="str">
            <v>GUEDIAWAYE</v>
          </cell>
          <cell r="T889" t="str">
            <v>DAKAR</v>
          </cell>
        </row>
        <row r="890">
          <cell r="A890" t="str">
            <v>DKR_0704</v>
          </cell>
          <cell r="S890" t="str">
            <v>GUEDIAWAYE</v>
          </cell>
          <cell r="T890" t="str">
            <v>DAKAR</v>
          </cell>
        </row>
        <row r="891">
          <cell r="A891" t="str">
            <v>DKR_0705</v>
          </cell>
          <cell r="S891" t="str">
            <v>GUEDIAWAYE</v>
          </cell>
          <cell r="T891" t="str">
            <v>DAKAR</v>
          </cell>
        </row>
        <row r="892">
          <cell r="A892" t="str">
            <v>DKR_0706</v>
          </cell>
          <cell r="S892" t="str">
            <v>GUEDIAWAYE</v>
          </cell>
          <cell r="T892" t="str">
            <v>DAKAR</v>
          </cell>
        </row>
        <row r="893">
          <cell r="A893" t="str">
            <v>DKR_0707</v>
          </cell>
          <cell r="S893" t="str">
            <v>GUEDIAWAYE</v>
          </cell>
          <cell r="T893" t="str">
            <v>DAKAR</v>
          </cell>
        </row>
        <row r="894">
          <cell r="A894" t="str">
            <v>DKR_0708</v>
          </cell>
          <cell r="S894" t="str">
            <v>GUEDIAWAYE</v>
          </cell>
          <cell r="T894" t="str">
            <v>DAKAR</v>
          </cell>
        </row>
        <row r="895">
          <cell r="A895" t="str">
            <v>DKR_2735</v>
          </cell>
          <cell r="S895" t="str">
            <v>DAKAR</v>
          </cell>
          <cell r="T895" t="str">
            <v>DAKAR</v>
          </cell>
        </row>
        <row r="896">
          <cell r="A896" t="str">
            <v>DKR_2824</v>
          </cell>
          <cell r="S896" t="str">
            <v>DAKAR</v>
          </cell>
          <cell r="T896" t="str">
            <v>DAKAR</v>
          </cell>
        </row>
        <row r="897">
          <cell r="A897" t="str">
            <v>DKR_2819</v>
          </cell>
          <cell r="S897" t="str">
            <v>DAKAR</v>
          </cell>
          <cell r="T897" t="str">
            <v>DAKAR</v>
          </cell>
        </row>
        <row r="898">
          <cell r="A898" t="str">
            <v>DBL_0709</v>
          </cell>
          <cell r="S898" t="str">
            <v>TOUBA01</v>
          </cell>
          <cell r="T898" t="str">
            <v>THIES</v>
          </cell>
        </row>
        <row r="899">
          <cell r="A899" t="str">
            <v>DBL_0710</v>
          </cell>
          <cell r="S899" t="str">
            <v>TOUBA01</v>
          </cell>
          <cell r="T899" t="str">
            <v>THIES</v>
          </cell>
        </row>
        <row r="900">
          <cell r="A900" t="str">
            <v>DBL_0711</v>
          </cell>
          <cell r="S900" t="str">
            <v>TOUBA01</v>
          </cell>
          <cell r="T900" t="str">
            <v>THIES</v>
          </cell>
        </row>
        <row r="901">
          <cell r="A901" t="str">
            <v>DBL_0712</v>
          </cell>
          <cell r="S901" t="str">
            <v>TOUBA01</v>
          </cell>
          <cell r="T901" t="str">
            <v>THIES</v>
          </cell>
        </row>
        <row r="902">
          <cell r="A902" t="str">
            <v>DBL_0713</v>
          </cell>
          <cell r="S902" t="str">
            <v>TOUBA01</v>
          </cell>
          <cell r="T902" t="str">
            <v>THIES</v>
          </cell>
        </row>
        <row r="903">
          <cell r="A903" t="str">
            <v>DKR_0714</v>
          </cell>
          <cell r="S903" t="str">
            <v>MEDINA</v>
          </cell>
          <cell r="T903" t="str">
            <v>DAKAR</v>
          </cell>
        </row>
        <row r="904">
          <cell r="A904" t="str">
            <v>KLK_0715</v>
          </cell>
          <cell r="S904" t="str">
            <v>KAFFRINE</v>
          </cell>
          <cell r="T904" t="str">
            <v>KAOLACK</v>
          </cell>
        </row>
        <row r="905">
          <cell r="A905" t="str">
            <v>STL_0716</v>
          </cell>
          <cell r="S905" t="str">
            <v>LOUGA</v>
          </cell>
          <cell r="T905" t="str">
            <v>SAINT-LOUIS</v>
          </cell>
        </row>
        <row r="906">
          <cell r="A906" t="str">
            <v>DKR_0717</v>
          </cell>
          <cell r="S906" t="str">
            <v>GUEDIAWAYE</v>
          </cell>
          <cell r="T906" t="str">
            <v>DAKAR</v>
          </cell>
        </row>
        <row r="907">
          <cell r="A907" t="str">
            <v>DKR_0718</v>
          </cell>
          <cell r="S907" t="str">
            <v>GUEDIAWAYE</v>
          </cell>
          <cell r="T907" t="str">
            <v>DAKAR</v>
          </cell>
        </row>
        <row r="908">
          <cell r="A908" t="str">
            <v>DKR_0719</v>
          </cell>
          <cell r="S908" t="str">
            <v>GUEDIAWAYE</v>
          </cell>
          <cell r="T908" t="str">
            <v>DAKAR</v>
          </cell>
        </row>
        <row r="909">
          <cell r="A909" t="str">
            <v>DKR_0720</v>
          </cell>
          <cell r="S909" t="str">
            <v>GUEDIAWAYE</v>
          </cell>
          <cell r="T909" t="str">
            <v>DAKAR</v>
          </cell>
        </row>
        <row r="910">
          <cell r="A910" t="str">
            <v>DKR_0721</v>
          </cell>
          <cell r="S910" t="str">
            <v>GUEDIAWAYE</v>
          </cell>
          <cell r="T910" t="str">
            <v>DAKAR</v>
          </cell>
        </row>
        <row r="911">
          <cell r="A911" t="str">
            <v>DKR_0722</v>
          </cell>
          <cell r="S911" t="str">
            <v>GUEDIAWAYE</v>
          </cell>
          <cell r="T911" t="str">
            <v>DAKAR</v>
          </cell>
        </row>
        <row r="912">
          <cell r="A912" t="str">
            <v>DKR_0723</v>
          </cell>
          <cell r="S912" t="str">
            <v>GUEDIAWAYE</v>
          </cell>
          <cell r="T912" t="str">
            <v>DAKAR</v>
          </cell>
        </row>
        <row r="913">
          <cell r="A913" t="str">
            <v>NDM_0724</v>
          </cell>
          <cell r="S913" t="str">
            <v>NDIOUM</v>
          </cell>
          <cell r="T913" t="str">
            <v>SAINT-LOUIS</v>
          </cell>
        </row>
        <row r="914">
          <cell r="A914" t="str">
            <v>BKL_0725</v>
          </cell>
          <cell r="S914" t="str">
            <v>BAKEL</v>
          </cell>
          <cell r="T914" t="str">
            <v>SAINT-LOUIS</v>
          </cell>
        </row>
        <row r="915">
          <cell r="A915" t="str">
            <v>THS_2762</v>
          </cell>
          <cell r="S915" t="str">
            <v>TIVAOUANE</v>
          </cell>
          <cell r="T915" t="str">
            <v>THIES</v>
          </cell>
        </row>
        <row r="916">
          <cell r="A916" t="str">
            <v>DKR_2714</v>
          </cell>
          <cell r="S916" t="str">
            <v>MEDINA</v>
          </cell>
          <cell r="T916" t="str">
            <v>DAKAR</v>
          </cell>
        </row>
        <row r="917">
          <cell r="A917" t="str">
            <v>DKR_0727</v>
          </cell>
          <cell r="S917" t="str">
            <v>MEDINA</v>
          </cell>
          <cell r="T917" t="str">
            <v>DAKAR</v>
          </cell>
        </row>
        <row r="918">
          <cell r="A918" t="str">
            <v>DBL_0728</v>
          </cell>
          <cell r="S918" t="str">
            <v>KAOLACK</v>
          </cell>
          <cell r="T918" t="str">
            <v>KAOLACK</v>
          </cell>
        </row>
        <row r="919">
          <cell r="A919" t="str">
            <v>KLK_0729</v>
          </cell>
          <cell r="S919" t="str">
            <v>SOKONE</v>
          </cell>
          <cell r="T919" t="str">
            <v>KAOLACK</v>
          </cell>
        </row>
        <row r="920">
          <cell r="A920" t="str">
            <v>TMB_0730</v>
          </cell>
          <cell r="S920" t="str">
            <v>GOUDIRY</v>
          </cell>
          <cell r="T920" t="str">
            <v>TAMBACOUNDA</v>
          </cell>
        </row>
        <row r="921">
          <cell r="A921" t="str">
            <v>TMB_0731</v>
          </cell>
          <cell r="S921" t="str">
            <v>GOUDIRY</v>
          </cell>
          <cell r="T921" t="str">
            <v>TAMBACOUNDA</v>
          </cell>
        </row>
        <row r="922">
          <cell r="A922" t="str">
            <v>ZIG_0732</v>
          </cell>
          <cell r="S922" t="str">
            <v>ZIGUINCHOR</v>
          </cell>
          <cell r="T922" t="str">
            <v>ZIGUINCHOR</v>
          </cell>
        </row>
        <row r="923">
          <cell r="A923" t="str">
            <v>ORG_0733</v>
          </cell>
          <cell r="S923" t="str">
            <v>MATAM</v>
          </cell>
          <cell r="T923" t="str">
            <v>SAINT-LOUIS</v>
          </cell>
        </row>
        <row r="924">
          <cell r="A924" t="str">
            <v>TMB_0734</v>
          </cell>
          <cell r="S924" t="str">
            <v>TAMBA</v>
          </cell>
          <cell r="T924" t="str">
            <v>TAMBACOUNDA</v>
          </cell>
        </row>
        <row r="925">
          <cell r="A925" t="str">
            <v>TMB_0735</v>
          </cell>
          <cell r="S925" t="str">
            <v>GOUDIRY</v>
          </cell>
          <cell r="T925" t="str">
            <v>TAMBACOUNDA</v>
          </cell>
        </row>
        <row r="926">
          <cell r="A926" t="str">
            <v>NDM_0736</v>
          </cell>
          <cell r="S926" t="str">
            <v>NDIOUM</v>
          </cell>
          <cell r="T926" t="str">
            <v>SAINT-LOUIS</v>
          </cell>
        </row>
        <row r="927">
          <cell r="A927" t="str">
            <v>DKR_0737</v>
          </cell>
          <cell r="S927" t="str">
            <v>GUEDIAWAYE</v>
          </cell>
          <cell r="T927" t="str">
            <v>DAKAR</v>
          </cell>
        </row>
        <row r="928">
          <cell r="A928" t="str">
            <v>DKR_2744</v>
          </cell>
          <cell r="S928" t="str">
            <v>MEDINA</v>
          </cell>
          <cell r="T928" t="str">
            <v>DAKAR</v>
          </cell>
        </row>
        <row r="929">
          <cell r="A929" t="str">
            <v>TMB_0738</v>
          </cell>
          <cell r="S929" t="str">
            <v>KOUNGHEUL</v>
          </cell>
          <cell r="T929" t="str">
            <v>TAMBACOUNDA</v>
          </cell>
        </row>
        <row r="930">
          <cell r="A930" t="str">
            <v>TMB_2813</v>
          </cell>
          <cell r="S930" t="str">
            <v>TAMBACOUNDA</v>
          </cell>
          <cell r="T930" t="str">
            <v>TAMBACOUNDA</v>
          </cell>
        </row>
        <row r="931">
          <cell r="A931" t="str">
            <v>TMB_0739</v>
          </cell>
          <cell r="S931" t="str">
            <v>GOUDIRY</v>
          </cell>
          <cell r="T931" t="str">
            <v>TAMBACOUNDA</v>
          </cell>
        </row>
        <row r="932">
          <cell r="A932" t="str">
            <v>TMB_2734</v>
          </cell>
          <cell r="S932" t="str">
            <v>TAMBACOUNDA</v>
          </cell>
          <cell r="T932" t="str">
            <v>TAMBACOUNDA</v>
          </cell>
        </row>
        <row r="933">
          <cell r="A933" t="str">
            <v>STL_0740</v>
          </cell>
          <cell r="S933" t="str">
            <v>LOUGA</v>
          </cell>
          <cell r="T933" t="str">
            <v>SAINT-LOUIS</v>
          </cell>
        </row>
        <row r="934">
          <cell r="A934" t="str">
            <v>STL_0741</v>
          </cell>
          <cell r="S934" t="str">
            <v>LOUGA</v>
          </cell>
          <cell r="T934" t="str">
            <v>SAINT-LOUIS</v>
          </cell>
        </row>
        <row r="935">
          <cell r="A935" t="str">
            <v>DBL_0742</v>
          </cell>
          <cell r="S935" t="str">
            <v>TOUBA02</v>
          </cell>
          <cell r="T935" t="str">
            <v>THIES</v>
          </cell>
        </row>
        <row r="936">
          <cell r="A936" t="str">
            <v>DKR_0743</v>
          </cell>
          <cell r="S936" t="str">
            <v>THIAROYE</v>
          </cell>
          <cell r="T936" t="str">
            <v>DAKAR</v>
          </cell>
        </row>
        <row r="937">
          <cell r="A937" t="str">
            <v>DKR_0744</v>
          </cell>
          <cell r="S937" t="str">
            <v>THIAROYE</v>
          </cell>
          <cell r="T937" t="str">
            <v>DAKAR</v>
          </cell>
        </row>
        <row r="938">
          <cell r="A938" t="str">
            <v>DKR_2792</v>
          </cell>
          <cell r="S938" t="str">
            <v>DAKAR</v>
          </cell>
          <cell r="T938" t="str">
            <v>DAKAR</v>
          </cell>
        </row>
        <row r="939">
          <cell r="A939" t="str">
            <v>KLK_0745</v>
          </cell>
          <cell r="S939" t="str">
            <v>KAOLACK</v>
          </cell>
          <cell r="T939" t="str">
            <v>KAOLACK</v>
          </cell>
        </row>
        <row r="940">
          <cell r="A940" t="str">
            <v>DKR_0746</v>
          </cell>
          <cell r="S940" t="str">
            <v>OUAKAM</v>
          </cell>
          <cell r="T940" t="str">
            <v>DAKAR</v>
          </cell>
        </row>
        <row r="941">
          <cell r="A941" t="str">
            <v>KDG_0748</v>
          </cell>
          <cell r="S941" t="str">
            <v>KEDOUGOU</v>
          </cell>
          <cell r="T941" t="str">
            <v>TAMBACOUNDA</v>
          </cell>
        </row>
        <row r="942">
          <cell r="A942" t="str">
            <v>DBL_0749</v>
          </cell>
          <cell r="S942" t="str">
            <v>DIOURBEL</v>
          </cell>
          <cell r="T942" t="str">
            <v>THIES</v>
          </cell>
        </row>
        <row r="943">
          <cell r="A943" t="str">
            <v>NDM_0750</v>
          </cell>
          <cell r="S943" t="str">
            <v>NDIOUM</v>
          </cell>
          <cell r="T943" t="str">
            <v>SAINT-LOUIS</v>
          </cell>
        </row>
        <row r="944">
          <cell r="A944" t="str">
            <v>STL_2792</v>
          </cell>
          <cell r="S944" t="str">
            <v>LINGUERE</v>
          </cell>
          <cell r="T944" t="str">
            <v>SAINT-LOUIS</v>
          </cell>
        </row>
        <row r="945">
          <cell r="A945" t="str">
            <v>THS_2814</v>
          </cell>
          <cell r="S945" t="str">
            <v>THIES</v>
          </cell>
          <cell r="T945" t="str">
            <v>THIES</v>
          </cell>
        </row>
        <row r="946">
          <cell r="A946" t="str">
            <v>TMB_0751</v>
          </cell>
          <cell r="S946" t="str">
            <v>GOUDIRY</v>
          </cell>
          <cell r="T946" t="str">
            <v>TAMBACOUNDA</v>
          </cell>
        </row>
        <row r="947">
          <cell r="A947" t="str">
            <v>THS_0752</v>
          </cell>
          <cell r="S947" t="str">
            <v>THIES</v>
          </cell>
          <cell r="T947" t="str">
            <v>THIES</v>
          </cell>
        </row>
        <row r="948">
          <cell r="A948" t="str">
            <v>KDG_0753</v>
          </cell>
          <cell r="S948" t="str">
            <v>KEDOUGOU</v>
          </cell>
          <cell r="T948" t="str">
            <v>TAMBACOUNDA</v>
          </cell>
        </row>
        <row r="949">
          <cell r="A949" t="str">
            <v>STL_0754</v>
          </cell>
          <cell r="S949" t="str">
            <v>LOUGA</v>
          </cell>
          <cell r="T949" t="str">
            <v>SAINT-LOUIS</v>
          </cell>
        </row>
        <row r="950">
          <cell r="A950" t="str">
            <v>MBR_0755</v>
          </cell>
          <cell r="S950" t="str">
            <v>MBOUR</v>
          </cell>
          <cell r="T950" t="str">
            <v>THIES</v>
          </cell>
        </row>
        <row r="951">
          <cell r="A951" t="str">
            <v>DBL_0756</v>
          </cell>
          <cell r="S951" t="str">
            <v>TOUBA02</v>
          </cell>
          <cell r="T951" t="str">
            <v>THIES</v>
          </cell>
        </row>
        <row r="952">
          <cell r="A952" t="str">
            <v>DKR_0757</v>
          </cell>
          <cell r="S952" t="str">
            <v>MEDINA</v>
          </cell>
          <cell r="T952" t="str">
            <v>DAKAR</v>
          </cell>
        </row>
        <row r="953">
          <cell r="A953" t="str">
            <v>DKR_0758</v>
          </cell>
          <cell r="S953" t="str">
            <v>MEDINA</v>
          </cell>
          <cell r="T953" t="str">
            <v>DAKAR</v>
          </cell>
        </row>
        <row r="954">
          <cell r="A954" t="str">
            <v>DKR_0759</v>
          </cell>
          <cell r="S954" t="str">
            <v>MEDINA</v>
          </cell>
          <cell r="T954" t="str">
            <v>DAKAR</v>
          </cell>
        </row>
        <row r="955">
          <cell r="A955" t="str">
            <v>NDM_2557</v>
          </cell>
          <cell r="S955" t="str">
            <v>SAINT-LOUIS</v>
          </cell>
          <cell r="T955" t="str">
            <v>SAINT-LOUIS</v>
          </cell>
        </row>
        <row r="956">
          <cell r="A956" t="str">
            <v>STL_0760</v>
          </cell>
          <cell r="S956" t="str">
            <v>SAINT-LOUIS</v>
          </cell>
          <cell r="T956" t="str">
            <v>SAINT-LOUIS</v>
          </cell>
        </row>
        <row r="957">
          <cell r="A957" t="str">
            <v>MBR_0761</v>
          </cell>
          <cell r="S957" t="str">
            <v>THIAROYE</v>
          </cell>
          <cell r="T957" t="str">
            <v>DAKAR</v>
          </cell>
        </row>
        <row r="958">
          <cell r="A958" t="str">
            <v>DKR_0762</v>
          </cell>
          <cell r="S958" t="str">
            <v>THIAROYE</v>
          </cell>
          <cell r="T958" t="str">
            <v>DAKAR</v>
          </cell>
        </row>
        <row r="959">
          <cell r="A959" t="str">
            <v>DKR_2764</v>
          </cell>
          <cell r="S959" t="str">
            <v>THIAROYE</v>
          </cell>
          <cell r="T959" t="str">
            <v>DAKAR</v>
          </cell>
        </row>
        <row r="960">
          <cell r="A960" t="str">
            <v>KLK_0763</v>
          </cell>
          <cell r="S960" t="str">
            <v>KAOLACK</v>
          </cell>
          <cell r="T960" t="str">
            <v>KAOLACK</v>
          </cell>
        </row>
        <row r="961">
          <cell r="A961" t="str">
            <v>KLK_0764</v>
          </cell>
          <cell r="S961" t="str">
            <v>KAOLACK</v>
          </cell>
          <cell r="T961" t="str">
            <v>KAOLACK</v>
          </cell>
        </row>
        <row r="962">
          <cell r="A962" t="str">
            <v>KLD_0765</v>
          </cell>
          <cell r="S962" t="str">
            <v>KOLDA</v>
          </cell>
          <cell r="T962" t="str">
            <v>ZIGUINCHOR</v>
          </cell>
        </row>
        <row r="963">
          <cell r="A963" t="str">
            <v>BKL_0766</v>
          </cell>
          <cell r="S963" t="str">
            <v>GOUDIRY</v>
          </cell>
          <cell r="T963" t="str">
            <v>TAMBACOUNDA</v>
          </cell>
        </row>
        <row r="964">
          <cell r="A964" t="str">
            <v>KLK_0767</v>
          </cell>
          <cell r="S964" t="str">
            <v>KAFFRINE</v>
          </cell>
          <cell r="T964" t="str">
            <v>KAOLACK</v>
          </cell>
        </row>
        <row r="965">
          <cell r="A965" t="str">
            <v>KLK_2780</v>
          </cell>
          <cell r="S965" t="str">
            <v>KAFFRINE</v>
          </cell>
          <cell r="T965" t="str">
            <v>KAOLACK</v>
          </cell>
        </row>
        <row r="966">
          <cell r="A966" t="str">
            <v>BKL_0768</v>
          </cell>
          <cell r="S966" t="str">
            <v>BAKEL</v>
          </cell>
          <cell r="T966" t="str">
            <v>SAINT-LOUIS</v>
          </cell>
        </row>
        <row r="967">
          <cell r="A967" t="str">
            <v>ORG_0769</v>
          </cell>
          <cell r="S967" t="str">
            <v>MATAM</v>
          </cell>
          <cell r="T967" t="str">
            <v>SAINT-LOUIS</v>
          </cell>
        </row>
        <row r="968">
          <cell r="A968" t="str">
            <v>KLD_0770</v>
          </cell>
          <cell r="S968" t="str">
            <v>SEDHIOU</v>
          </cell>
          <cell r="T968" t="str">
            <v>ZIGUINCHOR</v>
          </cell>
        </row>
        <row r="969">
          <cell r="A969" t="str">
            <v>KLD_0771</v>
          </cell>
          <cell r="S969" t="str">
            <v>KOLDA</v>
          </cell>
          <cell r="T969" t="str">
            <v>ZIGUINCHOR</v>
          </cell>
        </row>
        <row r="970">
          <cell r="A970" t="str">
            <v>TMB_0772</v>
          </cell>
          <cell r="S970" t="str">
            <v>TAMBA</v>
          </cell>
          <cell r="T970" t="str">
            <v>TAMBACOUNDA</v>
          </cell>
        </row>
        <row r="971">
          <cell r="A971" t="str">
            <v>KLD_0773</v>
          </cell>
          <cell r="S971" t="str">
            <v>KOLDA</v>
          </cell>
          <cell r="T971" t="str">
            <v>ZIGUINCHOR</v>
          </cell>
        </row>
        <row r="972">
          <cell r="A972" t="str">
            <v>TMB_0774</v>
          </cell>
          <cell r="S972" t="str">
            <v>TAMBA</v>
          </cell>
          <cell r="T972" t="str">
            <v>TAMBACOUNDA</v>
          </cell>
        </row>
        <row r="973">
          <cell r="A973" t="str">
            <v>KLD_0775</v>
          </cell>
          <cell r="S973" t="str">
            <v>VELINGARA</v>
          </cell>
          <cell r="T973" t="str">
            <v>ZIGUINCHOR</v>
          </cell>
        </row>
        <row r="974">
          <cell r="A974" t="str">
            <v>DKR_0776</v>
          </cell>
          <cell r="S974" t="str">
            <v>GUEDIAWAYE</v>
          </cell>
          <cell r="T974" t="str">
            <v>DAKAR</v>
          </cell>
        </row>
        <row r="975">
          <cell r="A975" t="str">
            <v>DKR_0777</v>
          </cell>
          <cell r="S975" t="str">
            <v>GUEDIAWAYE</v>
          </cell>
          <cell r="T975" t="str">
            <v>DAKAR</v>
          </cell>
        </row>
        <row r="976">
          <cell r="A976" t="str">
            <v>DKR_0778</v>
          </cell>
          <cell r="S976" t="str">
            <v>MEDINA</v>
          </cell>
          <cell r="T976" t="str">
            <v>DAKAR</v>
          </cell>
        </row>
        <row r="977">
          <cell r="A977" t="str">
            <v>DKR_0779</v>
          </cell>
          <cell r="S977" t="str">
            <v>MEDINA</v>
          </cell>
          <cell r="T977" t="str">
            <v>DAKAR</v>
          </cell>
        </row>
        <row r="978">
          <cell r="A978" t="str">
            <v>DKR_0780</v>
          </cell>
          <cell r="S978" t="str">
            <v>MEDINA</v>
          </cell>
          <cell r="T978" t="str">
            <v>DAKAR</v>
          </cell>
        </row>
        <row r="979">
          <cell r="A979" t="str">
            <v>DKR_0781</v>
          </cell>
          <cell r="S979" t="str">
            <v>THIAROYE</v>
          </cell>
          <cell r="T979" t="str">
            <v>DAKAR</v>
          </cell>
        </row>
        <row r="980">
          <cell r="A980" t="str">
            <v>DKR_0782</v>
          </cell>
          <cell r="S980" t="str">
            <v>THIAROYE</v>
          </cell>
          <cell r="T980" t="str">
            <v>DAKAR</v>
          </cell>
        </row>
        <row r="981">
          <cell r="A981" t="str">
            <v>DKR_0783</v>
          </cell>
          <cell r="S981" t="str">
            <v>THIAROYE</v>
          </cell>
          <cell r="T981" t="str">
            <v>DAKAR</v>
          </cell>
        </row>
        <row r="982">
          <cell r="A982" t="str">
            <v>DKR_0784</v>
          </cell>
          <cell r="S982" t="str">
            <v>THIAROYE</v>
          </cell>
          <cell r="T982" t="str">
            <v>DAKAR</v>
          </cell>
        </row>
        <row r="983">
          <cell r="A983" t="str">
            <v>KLK_0785</v>
          </cell>
          <cell r="S983" t="str">
            <v>KAFFRINE</v>
          </cell>
          <cell r="T983" t="str">
            <v>KAOLACK</v>
          </cell>
        </row>
        <row r="984">
          <cell r="A984" t="str">
            <v>KLK_2778</v>
          </cell>
          <cell r="S984" t="str">
            <v>LOUGA</v>
          </cell>
          <cell r="T984" t="str">
            <v>SAINT-LOUIS</v>
          </cell>
        </row>
        <row r="985">
          <cell r="A985" t="str">
            <v>ORG_0786</v>
          </cell>
          <cell r="S985" t="str">
            <v>MATAM</v>
          </cell>
          <cell r="T985" t="str">
            <v>SAINT-LOUIS</v>
          </cell>
        </row>
        <row r="986">
          <cell r="A986" t="str">
            <v>ZIG_0787</v>
          </cell>
          <cell r="S986" t="str">
            <v>ZIGUINCHOR</v>
          </cell>
          <cell r="T986" t="str">
            <v>ZIGUINCHOR</v>
          </cell>
        </row>
        <row r="987">
          <cell r="A987" t="str">
            <v>DKR_0788</v>
          </cell>
          <cell r="S987" t="str">
            <v>MEDINA</v>
          </cell>
          <cell r="T987" t="str">
            <v>DAKAR</v>
          </cell>
        </row>
        <row r="988">
          <cell r="A988" t="str">
            <v>DKR_0789</v>
          </cell>
          <cell r="S988" t="str">
            <v>SACRE_COEUR</v>
          </cell>
          <cell r="T988" t="str">
            <v>DAKAR</v>
          </cell>
        </row>
        <row r="989">
          <cell r="A989" t="str">
            <v>DKR_0790</v>
          </cell>
          <cell r="S989" t="str">
            <v>THIAROYE</v>
          </cell>
          <cell r="T989" t="str">
            <v>DAKAR</v>
          </cell>
        </row>
        <row r="990">
          <cell r="A990" t="str">
            <v>DKR_0791</v>
          </cell>
          <cell r="S990" t="str">
            <v>THIAROYE</v>
          </cell>
          <cell r="T990" t="str">
            <v>DAKAR</v>
          </cell>
        </row>
        <row r="991">
          <cell r="A991" t="str">
            <v>DKR_0792</v>
          </cell>
          <cell r="S991" t="str">
            <v>THIAROYE</v>
          </cell>
          <cell r="T991" t="str">
            <v>DAKAR</v>
          </cell>
        </row>
        <row r="992">
          <cell r="A992" t="str">
            <v>DKR_0793</v>
          </cell>
          <cell r="S992" t="str">
            <v>SACRE_COEUR</v>
          </cell>
          <cell r="T992" t="str">
            <v>DAKAR</v>
          </cell>
        </row>
        <row r="993">
          <cell r="A993" t="str">
            <v>THS_0794</v>
          </cell>
          <cell r="S993" t="str">
            <v>TIVAOUANE</v>
          </cell>
          <cell r="T993" t="str">
            <v>THIES</v>
          </cell>
        </row>
        <row r="994">
          <cell r="A994" t="str">
            <v>DKR_0795</v>
          </cell>
          <cell r="S994" t="str">
            <v>SACRE_COEUR</v>
          </cell>
          <cell r="T994" t="str">
            <v>DAKAR</v>
          </cell>
        </row>
        <row r="995">
          <cell r="A995" t="str">
            <v>DKR_0796</v>
          </cell>
          <cell r="S995" t="str">
            <v>SACRE_COEUR</v>
          </cell>
          <cell r="T995" t="str">
            <v>DAKAR</v>
          </cell>
        </row>
        <row r="996">
          <cell r="A996" t="str">
            <v>DKR_0797</v>
          </cell>
          <cell r="S996" t="str">
            <v>SACRE_COEUR</v>
          </cell>
          <cell r="T996" t="str">
            <v>DAKAR</v>
          </cell>
        </row>
        <row r="997">
          <cell r="A997" t="str">
            <v>DKR_0798</v>
          </cell>
          <cell r="S997" t="str">
            <v>SACRE_COEUR</v>
          </cell>
          <cell r="T997" t="str">
            <v>DAKAR</v>
          </cell>
        </row>
        <row r="998">
          <cell r="A998" t="str">
            <v>DKR_0799</v>
          </cell>
          <cell r="S998" t="str">
            <v>SACRE_COEUR</v>
          </cell>
          <cell r="T998" t="str">
            <v>DAKAR</v>
          </cell>
        </row>
        <row r="999">
          <cell r="A999" t="str">
            <v>DKR_0800</v>
          </cell>
          <cell r="S999" t="str">
            <v>SACRE_COEUR</v>
          </cell>
          <cell r="T999" t="str">
            <v>DAKAR</v>
          </cell>
        </row>
        <row r="1000">
          <cell r="A1000" t="str">
            <v>ORG_0801</v>
          </cell>
          <cell r="S1000" t="str">
            <v>MATAM</v>
          </cell>
          <cell r="T1000" t="str">
            <v>SAINT-LOUIS</v>
          </cell>
        </row>
        <row r="1001">
          <cell r="A1001" t="str">
            <v>DBL_2735</v>
          </cell>
          <cell r="S1001" t="str">
            <v>TOUBA</v>
          </cell>
          <cell r="T1001" t="str">
            <v>THIES</v>
          </cell>
        </row>
        <row r="1002">
          <cell r="A1002" t="str">
            <v>KLK_2787</v>
          </cell>
          <cell r="S1002" t="str">
            <v>KAFFRINE</v>
          </cell>
          <cell r="T1002" t="str">
            <v>KAOLACK</v>
          </cell>
        </row>
        <row r="1003">
          <cell r="A1003" t="str">
            <v>KDG_2716</v>
          </cell>
          <cell r="S1003" t="str">
            <v>KEDOUGOU</v>
          </cell>
          <cell r="T1003" t="str">
            <v>TAMBACOUNDA</v>
          </cell>
        </row>
        <row r="1004">
          <cell r="A1004" t="str">
            <v>KLD_2751</v>
          </cell>
          <cell r="S1004" t="str">
            <v>SEDHIOU</v>
          </cell>
          <cell r="T1004" t="str">
            <v>ZIGUINCHOR</v>
          </cell>
        </row>
        <row r="1005">
          <cell r="A1005" t="str">
            <v>THS_2808</v>
          </cell>
          <cell r="S1005" t="str">
            <v>TIVAOUANE</v>
          </cell>
          <cell r="T1005" t="str">
            <v>THIES</v>
          </cell>
        </row>
        <row r="1006">
          <cell r="A1006" t="str">
            <v>KDG_0802</v>
          </cell>
          <cell r="S1006" t="str">
            <v>KEDOUGOU</v>
          </cell>
          <cell r="T1006" t="str">
            <v>TAMBACOUNDA</v>
          </cell>
        </row>
        <row r="1007">
          <cell r="A1007" t="str">
            <v>THS_2751</v>
          </cell>
          <cell r="S1007" t="str">
            <v>THIES</v>
          </cell>
          <cell r="T1007" t="str">
            <v>THIES</v>
          </cell>
        </row>
        <row r="1008">
          <cell r="A1008" t="str">
            <v>ORG_0804</v>
          </cell>
          <cell r="S1008" t="str">
            <v>MATAM</v>
          </cell>
          <cell r="T1008" t="str">
            <v>SAINT-LOUIS</v>
          </cell>
        </row>
        <row r="1009">
          <cell r="A1009" t="str">
            <v>KDG_0805</v>
          </cell>
          <cell r="S1009" t="str">
            <v>KEDOUGOU</v>
          </cell>
          <cell r="T1009" t="str">
            <v>TAMBACOUNDA</v>
          </cell>
        </row>
        <row r="1010">
          <cell r="A1010" t="str">
            <v>DKR_0806</v>
          </cell>
          <cell r="S1010" t="str">
            <v>THIAROYE</v>
          </cell>
          <cell r="T1010" t="str">
            <v>DAKAR</v>
          </cell>
        </row>
        <row r="1011">
          <cell r="A1011" t="str">
            <v>THS_0807</v>
          </cell>
          <cell r="S1011" t="str">
            <v>TIVAOUANE</v>
          </cell>
          <cell r="T1011" t="str">
            <v>THIES</v>
          </cell>
        </row>
        <row r="1012">
          <cell r="A1012" t="str">
            <v>DKR_0808</v>
          </cell>
          <cell r="S1012" t="str">
            <v>THIAROYE</v>
          </cell>
          <cell r="T1012" t="str">
            <v>DAKAR</v>
          </cell>
        </row>
        <row r="1013">
          <cell r="A1013" t="str">
            <v>KLK_0809</v>
          </cell>
          <cell r="S1013" t="str">
            <v>KOUNGHEUL</v>
          </cell>
          <cell r="T1013" t="str">
            <v>TAMBACOUNDA</v>
          </cell>
        </row>
        <row r="1014">
          <cell r="A1014" t="str">
            <v>ORG_2570</v>
          </cell>
          <cell r="S1014" t="str">
            <v>MATAM</v>
          </cell>
          <cell r="T1014" t="str">
            <v>SAINT-LOUIS</v>
          </cell>
        </row>
        <row r="1015">
          <cell r="A1015" t="str">
            <v>KDG_0810</v>
          </cell>
          <cell r="S1015" t="str">
            <v>KEDOUGOU</v>
          </cell>
          <cell r="T1015" t="str">
            <v>TAMBACOUNDA</v>
          </cell>
        </row>
        <row r="1016">
          <cell r="A1016" t="str">
            <v>DKR_0811</v>
          </cell>
          <cell r="S1016" t="str">
            <v>MEDINA</v>
          </cell>
          <cell r="T1016" t="str">
            <v>DAKAR</v>
          </cell>
        </row>
        <row r="1017">
          <cell r="A1017" t="str">
            <v>KLD_0812</v>
          </cell>
          <cell r="S1017" t="str">
            <v>SEDHIOU</v>
          </cell>
          <cell r="T1017" t="str">
            <v>ZIGUINCHOR</v>
          </cell>
        </row>
        <row r="1018">
          <cell r="A1018" t="str">
            <v>KLD_2729</v>
          </cell>
          <cell r="S1018" t="str">
            <v>SEDHIOU</v>
          </cell>
          <cell r="T1018" t="str">
            <v>ZIGUINCHOR</v>
          </cell>
        </row>
        <row r="1019">
          <cell r="A1019" t="str">
            <v>KDG_0813</v>
          </cell>
          <cell r="S1019" t="str">
            <v>KEDOUGOU</v>
          </cell>
          <cell r="T1019" t="str">
            <v>TAMBACOUNDA</v>
          </cell>
        </row>
        <row r="1020">
          <cell r="A1020" t="str">
            <v>THS_0814</v>
          </cell>
          <cell r="S1020" t="str">
            <v>TIVAOUANE</v>
          </cell>
          <cell r="T1020" t="str">
            <v>THIES</v>
          </cell>
        </row>
        <row r="1021">
          <cell r="A1021" t="str">
            <v>THS_0815</v>
          </cell>
          <cell r="S1021" t="str">
            <v>TIVAOUANE</v>
          </cell>
          <cell r="T1021" t="str">
            <v>THIES</v>
          </cell>
        </row>
        <row r="1022">
          <cell r="A1022" t="str">
            <v>THS_0816</v>
          </cell>
          <cell r="S1022" t="str">
            <v>TIVAOUANE</v>
          </cell>
          <cell r="T1022" t="str">
            <v>THIES</v>
          </cell>
        </row>
        <row r="1023">
          <cell r="A1023" t="str">
            <v>THS_0817</v>
          </cell>
          <cell r="S1023" t="str">
            <v>TIVAOUANE</v>
          </cell>
          <cell r="T1023" t="str">
            <v>THIES</v>
          </cell>
        </row>
        <row r="1024">
          <cell r="A1024" t="str">
            <v>DKR_0818</v>
          </cell>
          <cell r="S1024" t="str">
            <v>SACRE_COEUR</v>
          </cell>
          <cell r="T1024" t="str">
            <v>DAKAR</v>
          </cell>
        </row>
        <row r="1025">
          <cell r="A1025" t="str">
            <v>MBR_0819</v>
          </cell>
          <cell r="S1025" t="str">
            <v>MBOUR</v>
          </cell>
          <cell r="T1025" t="str">
            <v>THIES</v>
          </cell>
        </row>
        <row r="1026">
          <cell r="A1026" t="str">
            <v>MBR_0820</v>
          </cell>
          <cell r="S1026" t="str">
            <v>MBOUR</v>
          </cell>
          <cell r="T1026" t="str">
            <v>THIES</v>
          </cell>
        </row>
        <row r="1027">
          <cell r="A1027" t="str">
            <v>MBR_0821</v>
          </cell>
          <cell r="S1027" t="str">
            <v>MBOUR</v>
          </cell>
          <cell r="T1027" t="str">
            <v>THIES</v>
          </cell>
        </row>
        <row r="1028">
          <cell r="A1028" t="str">
            <v>MBR_0822</v>
          </cell>
          <cell r="S1028" t="str">
            <v>MBOUR</v>
          </cell>
          <cell r="T1028" t="str">
            <v>THIES</v>
          </cell>
        </row>
        <row r="1029">
          <cell r="A1029" t="str">
            <v>MBR_0823</v>
          </cell>
          <cell r="S1029" t="str">
            <v>MBOUR</v>
          </cell>
          <cell r="T1029" t="str">
            <v>THIES</v>
          </cell>
        </row>
        <row r="1030">
          <cell r="A1030" t="str">
            <v>THS_2771</v>
          </cell>
          <cell r="S1030" t="str">
            <v>MBOUR</v>
          </cell>
          <cell r="T1030" t="str">
            <v>THIES</v>
          </cell>
        </row>
        <row r="1031">
          <cell r="A1031" t="str">
            <v>STL_0824</v>
          </cell>
          <cell r="S1031" t="str">
            <v>LOUGA</v>
          </cell>
          <cell r="T1031" t="str">
            <v>SAINT-LOUIS</v>
          </cell>
        </row>
        <row r="1032">
          <cell r="A1032" t="str">
            <v>THS_0825</v>
          </cell>
          <cell r="S1032" t="str">
            <v>THIES</v>
          </cell>
          <cell r="T1032" t="str">
            <v>THIES</v>
          </cell>
        </row>
        <row r="1033">
          <cell r="A1033" t="str">
            <v>ZIG_0826</v>
          </cell>
          <cell r="S1033" t="str">
            <v>ZIGUINCHOR</v>
          </cell>
          <cell r="T1033" t="str">
            <v>ZIGUINCHOR</v>
          </cell>
        </row>
        <row r="1034">
          <cell r="A1034" t="str">
            <v>KLK_2824</v>
          </cell>
          <cell r="S1034" t="str">
            <v>KAOLACK</v>
          </cell>
          <cell r="T1034" t="str">
            <v>KAOLACK</v>
          </cell>
        </row>
        <row r="1035">
          <cell r="A1035" t="str">
            <v>TMB_2713</v>
          </cell>
          <cell r="S1035" t="str">
            <v>TAMBA</v>
          </cell>
          <cell r="T1035" t="str">
            <v>TAMBACOUNDA</v>
          </cell>
        </row>
        <row r="1036">
          <cell r="A1036" t="str">
            <v>ZIG_0827</v>
          </cell>
          <cell r="S1036" t="str">
            <v>SEDHIOU</v>
          </cell>
          <cell r="T1036" t="str">
            <v>ZIGUINCHOR</v>
          </cell>
        </row>
        <row r="1037">
          <cell r="A1037" t="str">
            <v>KLD_2730</v>
          </cell>
          <cell r="S1037" t="str">
            <v>SEDHIOU</v>
          </cell>
          <cell r="T1037" t="str">
            <v>ZIGUINCHOR</v>
          </cell>
        </row>
        <row r="1038">
          <cell r="A1038" t="str">
            <v>ZIG_0828</v>
          </cell>
          <cell r="S1038" t="str">
            <v>ZIGUINCHOR</v>
          </cell>
          <cell r="T1038" t="str">
            <v>ZIGUINCHOR</v>
          </cell>
        </row>
        <row r="1039">
          <cell r="A1039" t="str">
            <v>DBL_2750</v>
          </cell>
          <cell r="S1039" t="str">
            <v>DIOURBEL</v>
          </cell>
          <cell r="T1039" t="str">
            <v>THIES</v>
          </cell>
        </row>
        <row r="1040">
          <cell r="A1040" t="str">
            <v>BKL_0829</v>
          </cell>
          <cell r="S1040" t="str">
            <v>BAKEL</v>
          </cell>
          <cell r="T1040" t="str">
            <v>SAINT-LOUIS</v>
          </cell>
        </row>
        <row r="1041">
          <cell r="A1041" t="str">
            <v>DBL_0830</v>
          </cell>
          <cell r="S1041" t="str">
            <v>LINGUERE</v>
          </cell>
          <cell r="T1041" t="str">
            <v>THIES</v>
          </cell>
        </row>
        <row r="1042">
          <cell r="A1042" t="str">
            <v>KLK_2825</v>
          </cell>
          <cell r="S1042" t="str">
            <v>KAFFRINE</v>
          </cell>
          <cell r="T1042" t="str">
            <v>KAOLACK</v>
          </cell>
        </row>
        <row r="1043">
          <cell r="A1043" t="str">
            <v>KDG_0831</v>
          </cell>
          <cell r="S1043" t="str">
            <v>KEDOUGOU</v>
          </cell>
          <cell r="T1043" t="str">
            <v>TAMBACOUNDA</v>
          </cell>
        </row>
        <row r="1044">
          <cell r="A1044" t="str">
            <v>KLK_0832</v>
          </cell>
          <cell r="S1044" t="str">
            <v>KAFFRINE</v>
          </cell>
          <cell r="T1044" t="str">
            <v>KAOLACK</v>
          </cell>
        </row>
        <row r="1045">
          <cell r="A1045" t="str">
            <v>KLK_0833</v>
          </cell>
          <cell r="S1045" t="str">
            <v>KAFFRINE</v>
          </cell>
          <cell r="T1045" t="str">
            <v>KAOLACK</v>
          </cell>
        </row>
        <row r="1046">
          <cell r="A1046" t="str">
            <v>KLK_0834</v>
          </cell>
          <cell r="S1046" t="str">
            <v>KAFFRINE</v>
          </cell>
          <cell r="T1046" t="str">
            <v>KAOLACK</v>
          </cell>
        </row>
        <row r="1047">
          <cell r="A1047" t="str">
            <v>KLK_0835</v>
          </cell>
          <cell r="S1047" t="str">
            <v>KAFFRINE</v>
          </cell>
          <cell r="T1047" t="str">
            <v>KAOLACK</v>
          </cell>
        </row>
        <row r="1048">
          <cell r="A1048" t="str">
            <v>ZIG_0837</v>
          </cell>
          <cell r="S1048" t="str">
            <v>ZIGUINCHOR</v>
          </cell>
          <cell r="T1048" t="str">
            <v>ZIGUINCHOR</v>
          </cell>
        </row>
        <row r="1049">
          <cell r="A1049" t="str">
            <v>ZIG_0838</v>
          </cell>
          <cell r="S1049" t="str">
            <v>ZIGUINCHOR</v>
          </cell>
          <cell r="T1049" t="str">
            <v>ZIGUINCHOR</v>
          </cell>
        </row>
        <row r="1050">
          <cell r="A1050" t="str">
            <v>ZIG_0839</v>
          </cell>
          <cell r="S1050" t="str">
            <v>ZIGUINCHOR</v>
          </cell>
          <cell r="T1050" t="str">
            <v>ZIGUINCHOR</v>
          </cell>
        </row>
        <row r="1051">
          <cell r="A1051" t="str">
            <v>ZIG_0840</v>
          </cell>
          <cell r="S1051" t="str">
            <v>ZIGUINCHOR</v>
          </cell>
          <cell r="T1051" t="str">
            <v>ZIGUINCHOR</v>
          </cell>
        </row>
        <row r="1052">
          <cell r="A1052" t="str">
            <v>ZIG_2710</v>
          </cell>
          <cell r="S1052" t="str">
            <v>ZIGUINCHOR</v>
          </cell>
          <cell r="T1052" t="str">
            <v>ZIGUINCHOR</v>
          </cell>
        </row>
        <row r="1053">
          <cell r="A1053" t="str">
            <v>TMB_0841</v>
          </cell>
          <cell r="S1053" t="str">
            <v>GOUDIRY</v>
          </cell>
          <cell r="T1053" t="str">
            <v>TAMBACOUNDA</v>
          </cell>
        </row>
        <row r="1054">
          <cell r="A1054" t="str">
            <v>TMB_2753</v>
          </cell>
          <cell r="S1054" t="str">
            <v>KOUNGHEUL</v>
          </cell>
          <cell r="T1054" t="str">
            <v>TAMBACOUNDA</v>
          </cell>
        </row>
        <row r="1055">
          <cell r="A1055" t="str">
            <v>ZIG_0842</v>
          </cell>
          <cell r="S1055" t="str">
            <v>ZIGUINCHOR</v>
          </cell>
          <cell r="T1055" t="str">
            <v>ZIGUINCHOR</v>
          </cell>
        </row>
        <row r="1056">
          <cell r="A1056" t="str">
            <v>ZIG_0843</v>
          </cell>
          <cell r="S1056" t="str">
            <v>ZIGUINCHOR</v>
          </cell>
          <cell r="T1056" t="str">
            <v>ZIGUINCHOR</v>
          </cell>
        </row>
        <row r="1057">
          <cell r="A1057" t="str">
            <v>TMB_2735</v>
          </cell>
          <cell r="S1057" t="str">
            <v>BAKEL</v>
          </cell>
          <cell r="T1057" t="str">
            <v>SAINT-LOUIS</v>
          </cell>
        </row>
        <row r="1058">
          <cell r="A1058" t="str">
            <v>TMB_0845</v>
          </cell>
          <cell r="S1058" t="str">
            <v>KOUNGHEUL</v>
          </cell>
          <cell r="T1058" t="str">
            <v>TAMBACOUNDA</v>
          </cell>
        </row>
        <row r="1059">
          <cell r="A1059" t="str">
            <v>KLK_2681</v>
          </cell>
          <cell r="S1059" t="str">
            <v>KAFFRINE</v>
          </cell>
          <cell r="T1059" t="str">
            <v>KAOLACK</v>
          </cell>
        </row>
        <row r="1060">
          <cell r="A1060" t="str">
            <v>TMB_0846</v>
          </cell>
          <cell r="S1060" t="str">
            <v>TAMBA</v>
          </cell>
          <cell r="T1060" t="str">
            <v>TAMBACOUNDA</v>
          </cell>
        </row>
        <row r="1061">
          <cell r="A1061" t="str">
            <v>TMB_0847</v>
          </cell>
          <cell r="S1061" t="str">
            <v>KOUNGHEUL</v>
          </cell>
          <cell r="T1061" t="str">
            <v>TAMBACOUNDA</v>
          </cell>
        </row>
        <row r="1062">
          <cell r="A1062" t="str">
            <v>DBL_0848</v>
          </cell>
          <cell r="S1062" t="str">
            <v>FATICK</v>
          </cell>
          <cell r="T1062" t="str">
            <v>KAOLACK</v>
          </cell>
        </row>
        <row r="1063">
          <cell r="A1063" t="str">
            <v>THS_0849</v>
          </cell>
          <cell r="S1063" t="str">
            <v>THIES</v>
          </cell>
          <cell r="T1063" t="str">
            <v>THIES</v>
          </cell>
        </row>
        <row r="1064">
          <cell r="A1064" t="str">
            <v>KLD_0850</v>
          </cell>
          <cell r="S1064" t="str">
            <v>KOLDA</v>
          </cell>
          <cell r="T1064" t="str">
            <v>ZIGUINCHOR</v>
          </cell>
        </row>
        <row r="1065">
          <cell r="A1065" t="str">
            <v>KLK_0851</v>
          </cell>
          <cell r="S1065" t="str">
            <v>KAOLACK</v>
          </cell>
          <cell r="T1065" t="str">
            <v>KAOLACK</v>
          </cell>
        </row>
        <row r="1066">
          <cell r="A1066" t="str">
            <v>DBL_0852</v>
          </cell>
          <cell r="S1066" t="str">
            <v>LINGUERE</v>
          </cell>
          <cell r="T1066" t="str">
            <v>THIES</v>
          </cell>
        </row>
        <row r="1067">
          <cell r="A1067" t="str">
            <v>KLD_0853</v>
          </cell>
          <cell r="S1067" t="str">
            <v>VELINGARA</v>
          </cell>
          <cell r="T1067" t="str">
            <v>ZIGUINCHOR</v>
          </cell>
        </row>
        <row r="1068">
          <cell r="A1068" t="str">
            <v>ZIG_0854</v>
          </cell>
          <cell r="S1068" t="str">
            <v>SEDHIOU</v>
          </cell>
          <cell r="T1068" t="str">
            <v>ZIGUINCHOR</v>
          </cell>
        </row>
        <row r="1069">
          <cell r="A1069" t="str">
            <v>KDG_0855</v>
          </cell>
          <cell r="S1069" t="str">
            <v>KEDOUGOU</v>
          </cell>
          <cell r="T1069" t="str">
            <v>TAMBACOUNDA</v>
          </cell>
        </row>
        <row r="1070">
          <cell r="A1070" t="str">
            <v>ZIG_0856</v>
          </cell>
          <cell r="S1070" t="str">
            <v>SEDHIOU</v>
          </cell>
          <cell r="T1070" t="str">
            <v>ZIGUINCHOR</v>
          </cell>
        </row>
        <row r="1071">
          <cell r="A1071" t="str">
            <v>KLD_0857</v>
          </cell>
          <cell r="S1071" t="str">
            <v>VELINGARA</v>
          </cell>
          <cell r="T1071" t="str">
            <v>ZIGUINCHOR</v>
          </cell>
        </row>
        <row r="1072">
          <cell r="A1072" t="str">
            <v>KLD_0858</v>
          </cell>
          <cell r="S1072" t="str">
            <v>VELINGARA</v>
          </cell>
          <cell r="T1072" t="str">
            <v>ZIGUINCHOR</v>
          </cell>
        </row>
        <row r="1073">
          <cell r="A1073" t="str">
            <v>KLD_0859</v>
          </cell>
          <cell r="S1073" t="str">
            <v>SEDHIOU</v>
          </cell>
          <cell r="T1073" t="str">
            <v>ZIGUINCHOR</v>
          </cell>
        </row>
        <row r="1074">
          <cell r="A1074" t="str">
            <v>KLD_0860</v>
          </cell>
          <cell r="S1074" t="str">
            <v>VELINGARA</v>
          </cell>
          <cell r="T1074" t="str">
            <v>ZIGUINCHOR</v>
          </cell>
        </row>
        <row r="1075">
          <cell r="A1075" t="str">
            <v>KLD_0861</v>
          </cell>
          <cell r="S1075" t="str">
            <v>SEDHIOU</v>
          </cell>
          <cell r="T1075" t="str">
            <v>ZIGUINCHOR</v>
          </cell>
        </row>
        <row r="1076">
          <cell r="A1076" t="str">
            <v>ORG_0862</v>
          </cell>
          <cell r="S1076" t="str">
            <v>MATAM</v>
          </cell>
          <cell r="T1076" t="str">
            <v>SAINT-LOUIS</v>
          </cell>
        </row>
        <row r="1077">
          <cell r="A1077" t="str">
            <v>ORG_0863</v>
          </cell>
          <cell r="S1077" t="str">
            <v>MATAM</v>
          </cell>
          <cell r="T1077" t="str">
            <v>SAINT-LOUIS</v>
          </cell>
        </row>
        <row r="1078">
          <cell r="A1078" t="str">
            <v>STL_0864</v>
          </cell>
          <cell r="S1078" t="str">
            <v>LOUGA</v>
          </cell>
          <cell r="T1078" t="str">
            <v>SAINT-LOUIS</v>
          </cell>
        </row>
        <row r="1079">
          <cell r="A1079" t="str">
            <v>STL_0865</v>
          </cell>
          <cell r="S1079" t="str">
            <v>LOUGA</v>
          </cell>
          <cell r="T1079" t="str">
            <v>SAINT-LOUIS</v>
          </cell>
        </row>
        <row r="1080">
          <cell r="A1080" t="str">
            <v>KLD_0866</v>
          </cell>
          <cell r="S1080" t="str">
            <v>VELINGARA</v>
          </cell>
          <cell r="T1080" t="str">
            <v>ZIGUINCHOR</v>
          </cell>
        </row>
        <row r="1081">
          <cell r="A1081" t="str">
            <v>NDM_0867</v>
          </cell>
          <cell r="S1081" t="str">
            <v>NDIOUM</v>
          </cell>
          <cell r="T1081" t="str">
            <v>SAINT-LOUIS</v>
          </cell>
        </row>
        <row r="1082">
          <cell r="A1082" t="str">
            <v>DKR_0868</v>
          </cell>
          <cell r="S1082" t="str">
            <v>MEDINA</v>
          </cell>
          <cell r="T1082" t="str">
            <v>DAKAR</v>
          </cell>
        </row>
        <row r="1083">
          <cell r="A1083" t="str">
            <v>DKR_0869</v>
          </cell>
          <cell r="S1083" t="str">
            <v>MEDINA</v>
          </cell>
          <cell r="T1083" t="str">
            <v>DAKAR</v>
          </cell>
        </row>
        <row r="1084">
          <cell r="A1084" t="str">
            <v>KLK_0870</v>
          </cell>
          <cell r="S1084" t="str">
            <v>SOKONE</v>
          </cell>
          <cell r="T1084" t="str">
            <v>KAOLACK</v>
          </cell>
        </row>
        <row r="1085">
          <cell r="A1085" t="str">
            <v>KLD_0871</v>
          </cell>
          <cell r="S1085" t="str">
            <v>SEDHIOU</v>
          </cell>
          <cell r="T1085" t="str">
            <v>ZIGUINCHOR</v>
          </cell>
        </row>
        <row r="1086">
          <cell r="A1086" t="str">
            <v>KLD_0872</v>
          </cell>
          <cell r="S1086" t="str">
            <v>SEDHIOU</v>
          </cell>
          <cell r="T1086" t="str">
            <v>ZIGUINCHOR</v>
          </cell>
        </row>
        <row r="1087">
          <cell r="A1087" t="str">
            <v>KLD_0873</v>
          </cell>
          <cell r="S1087" t="str">
            <v>KOLDA</v>
          </cell>
          <cell r="T1087" t="str">
            <v>ZIGUINCHOR</v>
          </cell>
        </row>
        <row r="1088">
          <cell r="A1088" t="str">
            <v>ZIG_2714</v>
          </cell>
          <cell r="S1088" t="str">
            <v>ZIGUINCHOR</v>
          </cell>
          <cell r="T1088" t="str">
            <v>ZIGUINCHOR</v>
          </cell>
        </row>
        <row r="1089">
          <cell r="A1089" t="str">
            <v>STL_0874</v>
          </cell>
          <cell r="S1089" t="str">
            <v>SAINT-LOUIS</v>
          </cell>
          <cell r="T1089" t="str">
            <v>SAINT-LOUIS</v>
          </cell>
        </row>
        <row r="1090">
          <cell r="A1090" t="str">
            <v>KLD_2745</v>
          </cell>
          <cell r="S1090" t="str">
            <v>VELINGARA</v>
          </cell>
          <cell r="T1090" t="str">
            <v>ZIGUINCHOR</v>
          </cell>
        </row>
        <row r="1091">
          <cell r="A1091" t="str">
            <v>KLK_0875</v>
          </cell>
          <cell r="S1091" t="str">
            <v>KAFFRINE</v>
          </cell>
          <cell r="T1091" t="str">
            <v>KAOLACK</v>
          </cell>
        </row>
        <row r="1092">
          <cell r="A1092" t="str">
            <v>TMB_2811</v>
          </cell>
          <cell r="S1092" t="str">
            <v>TAMBACOUNDA</v>
          </cell>
          <cell r="T1092" t="str">
            <v>TAMBACOUNDA</v>
          </cell>
        </row>
        <row r="1093">
          <cell r="A1093" t="str">
            <v>THS_0876</v>
          </cell>
          <cell r="S1093" t="str">
            <v>THIES</v>
          </cell>
          <cell r="T1093" t="str">
            <v>THIES</v>
          </cell>
        </row>
        <row r="1094">
          <cell r="A1094" t="str">
            <v>THS_0877</v>
          </cell>
          <cell r="S1094" t="str">
            <v>THIES</v>
          </cell>
          <cell r="T1094" t="str">
            <v>THIES</v>
          </cell>
        </row>
        <row r="1095">
          <cell r="A1095" t="str">
            <v>KLK_0878</v>
          </cell>
          <cell r="S1095" t="str">
            <v>SOKONE</v>
          </cell>
          <cell r="T1095" t="str">
            <v>KAOLACK</v>
          </cell>
        </row>
        <row r="1096">
          <cell r="A1096" t="str">
            <v>KLK_2812</v>
          </cell>
          <cell r="S1096" t="str">
            <v>KAOLACK</v>
          </cell>
          <cell r="T1096" t="str">
            <v>KAOLACK</v>
          </cell>
        </row>
        <row r="1097">
          <cell r="A1097" t="str">
            <v>STL_2744</v>
          </cell>
          <cell r="S1097" t="str">
            <v>LOUGA</v>
          </cell>
          <cell r="T1097" t="str">
            <v>SAINT-LOUIS</v>
          </cell>
        </row>
        <row r="1098">
          <cell r="A1098" t="str">
            <v>STL_0879</v>
          </cell>
          <cell r="S1098" t="str">
            <v>LOUGA</v>
          </cell>
          <cell r="T1098" t="str">
            <v>SAINT-LOUIS</v>
          </cell>
        </row>
        <row r="1099">
          <cell r="A1099" t="str">
            <v>STL_0880</v>
          </cell>
          <cell r="S1099" t="str">
            <v>LOUGA</v>
          </cell>
          <cell r="T1099" t="str">
            <v>SAINT-LOUIS</v>
          </cell>
        </row>
        <row r="1100">
          <cell r="A1100" t="str">
            <v>STL_0881</v>
          </cell>
          <cell r="S1100" t="str">
            <v>LOUGA</v>
          </cell>
          <cell r="T1100" t="str">
            <v>SAINT-LOUIS</v>
          </cell>
        </row>
        <row r="1101">
          <cell r="A1101" t="str">
            <v>STL_0882</v>
          </cell>
          <cell r="S1101" t="str">
            <v>LOUGA</v>
          </cell>
          <cell r="T1101" t="str">
            <v>SAINT-LOUIS</v>
          </cell>
        </row>
        <row r="1102">
          <cell r="A1102" t="str">
            <v>STL_0883</v>
          </cell>
          <cell r="S1102" t="str">
            <v>LOUGA</v>
          </cell>
          <cell r="T1102" t="str">
            <v>SAINT-LOUIS</v>
          </cell>
        </row>
        <row r="1103">
          <cell r="A1103" t="str">
            <v>KDG_2710</v>
          </cell>
          <cell r="S1103" t="str">
            <v>KEDOUGOU</v>
          </cell>
          <cell r="T1103" t="str">
            <v>TAMBACOUNDA</v>
          </cell>
        </row>
        <row r="1104">
          <cell r="A1104" t="str">
            <v>KDG_0884</v>
          </cell>
          <cell r="S1104" t="str">
            <v>KEDOUGOU</v>
          </cell>
          <cell r="T1104" t="str">
            <v>TAMBACOUNDA</v>
          </cell>
        </row>
        <row r="1105">
          <cell r="A1105" t="str">
            <v>KDG_0885</v>
          </cell>
          <cell r="S1105" t="str">
            <v>KEDOUGOU</v>
          </cell>
          <cell r="T1105" t="str">
            <v>TAMBACOUNDA</v>
          </cell>
        </row>
        <row r="1106">
          <cell r="A1106" t="str">
            <v>KDG_0886</v>
          </cell>
          <cell r="S1106" t="str">
            <v>KEDOUGOU</v>
          </cell>
          <cell r="T1106" t="str">
            <v>TAMBACOUNDA</v>
          </cell>
        </row>
        <row r="1107">
          <cell r="A1107" t="str">
            <v>KDG_0887</v>
          </cell>
          <cell r="S1107" t="str">
            <v>KEDOUGOU</v>
          </cell>
          <cell r="T1107" t="str">
            <v>TAMBACOUNDA</v>
          </cell>
        </row>
        <row r="1108">
          <cell r="A1108" t="str">
            <v>KDG_0888</v>
          </cell>
          <cell r="S1108" t="str">
            <v>KEDOUGOU</v>
          </cell>
          <cell r="T1108" t="str">
            <v>TAMBACOUNDA</v>
          </cell>
        </row>
        <row r="1109">
          <cell r="A1109" t="str">
            <v>KDG_0889</v>
          </cell>
          <cell r="S1109" t="str">
            <v>KEDOUGOU</v>
          </cell>
          <cell r="T1109" t="str">
            <v>TAMBACOUNDA</v>
          </cell>
        </row>
        <row r="1110">
          <cell r="A1110" t="str">
            <v>KDG_0890</v>
          </cell>
          <cell r="S1110" t="str">
            <v>KEDOUGOU</v>
          </cell>
          <cell r="T1110" t="str">
            <v>TAMBACOUNDA</v>
          </cell>
        </row>
        <row r="1111">
          <cell r="A1111" t="str">
            <v>KDG_0891</v>
          </cell>
          <cell r="S1111" t="str">
            <v>KEDOUGOU</v>
          </cell>
          <cell r="T1111" t="str">
            <v>TAMBACOUNDA</v>
          </cell>
        </row>
        <row r="1112">
          <cell r="A1112" t="str">
            <v>THS_0892</v>
          </cell>
          <cell r="S1112" t="str">
            <v>TIVAOUANE</v>
          </cell>
          <cell r="T1112" t="str">
            <v>THIES</v>
          </cell>
        </row>
        <row r="1113">
          <cell r="A1113" t="str">
            <v>BKL_0893</v>
          </cell>
          <cell r="S1113" t="str">
            <v>GOUDIRY</v>
          </cell>
          <cell r="T1113" t="str">
            <v>TAMBACOUNDA</v>
          </cell>
        </row>
        <row r="1114">
          <cell r="A1114" t="str">
            <v>KLD_0894</v>
          </cell>
          <cell r="S1114" t="str">
            <v>KOLDA</v>
          </cell>
          <cell r="T1114" t="str">
            <v>ZIGUINCHOR</v>
          </cell>
        </row>
        <row r="1115">
          <cell r="A1115" t="str">
            <v>KLD_2731</v>
          </cell>
          <cell r="S1115" t="str">
            <v>KOLDA</v>
          </cell>
          <cell r="T1115" t="str">
            <v>ZIGUINCHOR</v>
          </cell>
        </row>
        <row r="1116">
          <cell r="A1116" t="str">
            <v>KLD_0895</v>
          </cell>
          <cell r="S1116" t="str">
            <v>VELINGARA</v>
          </cell>
          <cell r="T1116" t="str">
            <v>ZIGUINCHOR</v>
          </cell>
        </row>
        <row r="1117">
          <cell r="A1117" t="str">
            <v>THS_2780</v>
          </cell>
          <cell r="S1117" t="str">
            <v>THIES</v>
          </cell>
          <cell r="T1117" t="str">
            <v>THIES</v>
          </cell>
        </row>
        <row r="1118">
          <cell r="A1118" t="str">
            <v>KLK_0896</v>
          </cell>
          <cell r="S1118" t="str">
            <v>KAFFRINE</v>
          </cell>
          <cell r="T1118" t="str">
            <v>KAOLACK</v>
          </cell>
        </row>
        <row r="1119">
          <cell r="A1119" t="str">
            <v>KLK_0897</v>
          </cell>
          <cell r="S1119" t="str">
            <v>SOKONE</v>
          </cell>
          <cell r="T1119" t="str">
            <v>KAOLACK</v>
          </cell>
        </row>
        <row r="1120">
          <cell r="A1120" t="str">
            <v>KLK_2725</v>
          </cell>
          <cell r="S1120" t="str">
            <v>SOKONE</v>
          </cell>
          <cell r="T1120" t="str">
            <v>KAOLACK</v>
          </cell>
        </row>
        <row r="1121">
          <cell r="A1121" t="str">
            <v>KLK_0898</v>
          </cell>
          <cell r="S1121" t="str">
            <v>FATICK</v>
          </cell>
          <cell r="T1121" t="str">
            <v>KAOLACK</v>
          </cell>
        </row>
        <row r="1122">
          <cell r="A1122" t="str">
            <v>KLK_2749</v>
          </cell>
          <cell r="S1122" t="str">
            <v>NIORO</v>
          </cell>
          <cell r="T1122" t="str">
            <v>KAOLACK</v>
          </cell>
        </row>
        <row r="1123">
          <cell r="A1123" t="str">
            <v>KLK_2726</v>
          </cell>
          <cell r="S1123" t="str">
            <v>NIORO</v>
          </cell>
          <cell r="T1123" t="str">
            <v>KAOLACK</v>
          </cell>
        </row>
        <row r="1124">
          <cell r="A1124" t="str">
            <v>DBL_0899</v>
          </cell>
          <cell r="S1124" t="str">
            <v>KAOLACK</v>
          </cell>
          <cell r="T1124" t="str">
            <v>KAOLACK</v>
          </cell>
        </row>
        <row r="1125">
          <cell r="A1125" t="str">
            <v>THS_2694</v>
          </cell>
          <cell r="S1125" t="str">
            <v>THIES</v>
          </cell>
          <cell r="T1125" t="str">
            <v>THIES</v>
          </cell>
        </row>
        <row r="1126">
          <cell r="A1126" t="str">
            <v>KLK_0900</v>
          </cell>
          <cell r="S1126" t="str">
            <v>SOKONE</v>
          </cell>
          <cell r="T1126" t="str">
            <v>KAOLACK</v>
          </cell>
        </row>
        <row r="1127">
          <cell r="A1127" t="str">
            <v>THS_0901</v>
          </cell>
          <cell r="S1127" t="str">
            <v>TIVAOUANE</v>
          </cell>
          <cell r="T1127" t="str">
            <v>THIES</v>
          </cell>
        </row>
        <row r="1128">
          <cell r="A1128" t="str">
            <v>THS_0902</v>
          </cell>
          <cell r="S1128" t="str">
            <v>TIVAOUANE</v>
          </cell>
          <cell r="T1128" t="str">
            <v>THIES</v>
          </cell>
        </row>
        <row r="1129">
          <cell r="A1129" t="str">
            <v>KLK_0903</v>
          </cell>
          <cell r="S1129" t="str">
            <v>SOKONE</v>
          </cell>
          <cell r="T1129" t="str">
            <v>KAOLACK</v>
          </cell>
        </row>
        <row r="1130">
          <cell r="A1130" t="str">
            <v>KLK_0904</v>
          </cell>
          <cell r="S1130" t="str">
            <v>SOKONE</v>
          </cell>
          <cell r="T1130" t="str">
            <v>KAOLACK</v>
          </cell>
        </row>
        <row r="1131">
          <cell r="A1131" t="str">
            <v>THS_0905</v>
          </cell>
          <cell r="S1131" t="str">
            <v>TIVAOUANE</v>
          </cell>
          <cell r="T1131" t="str">
            <v>THIES</v>
          </cell>
        </row>
        <row r="1132">
          <cell r="A1132" t="str">
            <v>KLK_2758</v>
          </cell>
          <cell r="S1132" t="str">
            <v>NIORO</v>
          </cell>
          <cell r="T1132" t="str">
            <v>KAOLACK</v>
          </cell>
        </row>
        <row r="1133">
          <cell r="A1133" t="str">
            <v>THS_2747</v>
          </cell>
          <cell r="S1133" t="str">
            <v>THIES</v>
          </cell>
          <cell r="T1133" t="str">
            <v>THIES</v>
          </cell>
        </row>
        <row r="1134">
          <cell r="A1134" t="str">
            <v>STL_0906</v>
          </cell>
          <cell r="S1134" t="str">
            <v>LOUGA</v>
          </cell>
          <cell r="T1134" t="str">
            <v>SAINT-LOUIS</v>
          </cell>
        </row>
        <row r="1135">
          <cell r="A1135" t="str">
            <v>KLK_0907</v>
          </cell>
          <cell r="S1135" t="str">
            <v>KOUNGHEUL</v>
          </cell>
          <cell r="T1135" t="str">
            <v>TAMBACOUNDA</v>
          </cell>
        </row>
        <row r="1136">
          <cell r="A1136" t="str">
            <v>KLK_2750</v>
          </cell>
          <cell r="S1136" t="str">
            <v>NIORO</v>
          </cell>
          <cell r="T1136" t="str">
            <v>KAOLACK</v>
          </cell>
        </row>
        <row r="1137">
          <cell r="A1137" t="str">
            <v>KLK_0908</v>
          </cell>
          <cell r="S1137" t="str">
            <v>SOKONE</v>
          </cell>
          <cell r="T1137" t="str">
            <v>KAOLACK</v>
          </cell>
        </row>
        <row r="1138">
          <cell r="A1138" t="str">
            <v>DKR_0909</v>
          </cell>
          <cell r="S1138" t="str">
            <v>OUAKAM</v>
          </cell>
          <cell r="T1138" t="str">
            <v>DAKAR</v>
          </cell>
        </row>
        <row r="1139">
          <cell r="A1139" t="str">
            <v>DBL_0910</v>
          </cell>
          <cell r="S1139" t="str">
            <v>DIOURBEL</v>
          </cell>
          <cell r="T1139" t="str">
            <v>THIES</v>
          </cell>
        </row>
        <row r="1140">
          <cell r="A1140" t="str">
            <v>KLK_2765</v>
          </cell>
          <cell r="S1140" t="str">
            <v>KAOLACK</v>
          </cell>
          <cell r="T1140" t="str">
            <v>KAOLACK</v>
          </cell>
        </row>
        <row r="1141">
          <cell r="A1141" t="str">
            <v>THS_0911</v>
          </cell>
          <cell r="S1141" t="str">
            <v>THIES</v>
          </cell>
          <cell r="T1141" t="str">
            <v>THIES</v>
          </cell>
        </row>
        <row r="1142">
          <cell r="A1142" t="str">
            <v>KLK_0912</v>
          </cell>
          <cell r="S1142" t="str">
            <v>SOKONE</v>
          </cell>
          <cell r="T1142" t="str">
            <v>KAOLACK</v>
          </cell>
        </row>
        <row r="1143">
          <cell r="A1143" t="str">
            <v>THS_0913</v>
          </cell>
          <cell r="S1143" t="str">
            <v>THIES</v>
          </cell>
          <cell r="T1143" t="str">
            <v>THIES</v>
          </cell>
        </row>
        <row r="1144">
          <cell r="A1144" t="str">
            <v>THS_0914</v>
          </cell>
          <cell r="S1144" t="str">
            <v>TIVAOUANE</v>
          </cell>
          <cell r="T1144" t="str">
            <v>THIES</v>
          </cell>
        </row>
        <row r="1145">
          <cell r="A1145" t="str">
            <v>THS_0915</v>
          </cell>
          <cell r="S1145" t="str">
            <v>THIES</v>
          </cell>
          <cell r="T1145" t="str">
            <v>THIES</v>
          </cell>
        </row>
        <row r="1146">
          <cell r="A1146" t="str">
            <v>KLK_0916</v>
          </cell>
          <cell r="S1146" t="str">
            <v>SOKONE</v>
          </cell>
          <cell r="T1146" t="str">
            <v>KAOLACK</v>
          </cell>
        </row>
        <row r="1147">
          <cell r="A1147" t="str">
            <v>KLK_2680</v>
          </cell>
          <cell r="S1147" t="str">
            <v>KAOLACK</v>
          </cell>
          <cell r="T1147" t="str">
            <v>KAOLACK</v>
          </cell>
        </row>
        <row r="1148">
          <cell r="A1148" t="str">
            <v>STL_2771</v>
          </cell>
          <cell r="S1148" t="str">
            <v>THIES</v>
          </cell>
          <cell r="T1148" t="str">
            <v>THIES</v>
          </cell>
        </row>
        <row r="1149">
          <cell r="A1149" t="str">
            <v>THS_0917</v>
          </cell>
          <cell r="S1149" t="str">
            <v>THIES</v>
          </cell>
          <cell r="T1149" t="str">
            <v>THIES</v>
          </cell>
        </row>
        <row r="1150">
          <cell r="A1150" t="str">
            <v>KLK_0918</v>
          </cell>
          <cell r="S1150" t="str">
            <v>SOKONE</v>
          </cell>
          <cell r="T1150" t="str">
            <v>KAOLACK</v>
          </cell>
        </row>
        <row r="1151">
          <cell r="A1151" t="str">
            <v>KLK_0919</v>
          </cell>
          <cell r="S1151" t="str">
            <v>SOKONE</v>
          </cell>
          <cell r="T1151" t="str">
            <v>KAOLACK</v>
          </cell>
        </row>
        <row r="1152">
          <cell r="A1152" t="str">
            <v>KLK_0920</v>
          </cell>
          <cell r="S1152" t="str">
            <v>SOKONE</v>
          </cell>
          <cell r="T1152" t="str">
            <v>KAOLACK</v>
          </cell>
        </row>
        <row r="1153">
          <cell r="A1153" t="str">
            <v>KLK_0921</v>
          </cell>
          <cell r="S1153" t="str">
            <v>KAFFRINE</v>
          </cell>
          <cell r="T1153" t="str">
            <v>KAOLACK</v>
          </cell>
        </row>
        <row r="1154">
          <cell r="A1154" t="str">
            <v>NDM_0922</v>
          </cell>
          <cell r="S1154" t="str">
            <v>NDIOUM</v>
          </cell>
          <cell r="T1154" t="str">
            <v>SAINT-LOUIS</v>
          </cell>
        </row>
        <row r="1155">
          <cell r="A1155" t="str">
            <v>THS_2797</v>
          </cell>
          <cell r="S1155" t="str">
            <v>THIES</v>
          </cell>
          <cell r="T1155" t="str">
            <v>THIES</v>
          </cell>
        </row>
        <row r="1156">
          <cell r="A1156" t="str">
            <v>KLK_2751</v>
          </cell>
          <cell r="S1156" t="str">
            <v>SOKONE</v>
          </cell>
          <cell r="T1156" t="str">
            <v>KAOLACK</v>
          </cell>
        </row>
        <row r="1157">
          <cell r="A1157" t="str">
            <v>TMB_0923</v>
          </cell>
          <cell r="S1157" t="str">
            <v>KOUNGHEUL</v>
          </cell>
          <cell r="T1157" t="str">
            <v>TAMBACOUNDA</v>
          </cell>
        </row>
        <row r="1158">
          <cell r="A1158" t="str">
            <v>STL_2837</v>
          </cell>
          <cell r="S1158" t="str">
            <v>LOUGA</v>
          </cell>
          <cell r="T1158" t="str">
            <v>SAINT-LOUIS</v>
          </cell>
        </row>
        <row r="1159">
          <cell r="A1159" t="str">
            <v>DBL_0924</v>
          </cell>
          <cell r="S1159" t="str">
            <v>KAOLACK</v>
          </cell>
          <cell r="T1159" t="str">
            <v>KAOLACK</v>
          </cell>
        </row>
        <row r="1160">
          <cell r="A1160" t="str">
            <v>THS_0925</v>
          </cell>
          <cell r="S1160" t="str">
            <v>THIES</v>
          </cell>
          <cell r="T1160" t="str">
            <v>THIES</v>
          </cell>
        </row>
        <row r="1161">
          <cell r="A1161" t="str">
            <v>THS_2745</v>
          </cell>
          <cell r="S1161" t="str">
            <v>THIES</v>
          </cell>
          <cell r="T1161" t="str">
            <v>THIES</v>
          </cell>
        </row>
        <row r="1162">
          <cell r="A1162" t="str">
            <v>DKR_0926</v>
          </cell>
          <cell r="S1162" t="str">
            <v>THIAROYE</v>
          </cell>
          <cell r="T1162" t="str">
            <v>DAKAR</v>
          </cell>
        </row>
        <row r="1163">
          <cell r="A1163" t="str">
            <v>DKR_0927</v>
          </cell>
          <cell r="S1163" t="str">
            <v>THIAROYE</v>
          </cell>
          <cell r="T1163" t="str">
            <v>DAKAR</v>
          </cell>
        </row>
        <row r="1164">
          <cell r="A1164" t="str">
            <v>DKR_0928</v>
          </cell>
          <cell r="S1164" t="str">
            <v>THIAROYE</v>
          </cell>
          <cell r="T1164" t="str">
            <v>DAKAR</v>
          </cell>
        </row>
        <row r="1165">
          <cell r="A1165" t="str">
            <v>DKR_0929</v>
          </cell>
          <cell r="S1165" t="str">
            <v>THIAROYE</v>
          </cell>
          <cell r="T1165" t="str">
            <v>DAKAR</v>
          </cell>
        </row>
        <row r="1166">
          <cell r="A1166" t="str">
            <v>DKR_0930</v>
          </cell>
          <cell r="S1166" t="str">
            <v>THIAROYE</v>
          </cell>
          <cell r="T1166" t="str">
            <v>DAKAR</v>
          </cell>
        </row>
        <row r="1167">
          <cell r="A1167" t="str">
            <v>DKR_0931</v>
          </cell>
          <cell r="S1167" t="str">
            <v>THIAROYE</v>
          </cell>
          <cell r="T1167" t="str">
            <v>DAKAR</v>
          </cell>
        </row>
        <row r="1168">
          <cell r="A1168" t="str">
            <v>DKR_0932</v>
          </cell>
          <cell r="S1168" t="str">
            <v>THIAROYE</v>
          </cell>
          <cell r="T1168" t="str">
            <v>DAKAR</v>
          </cell>
        </row>
        <row r="1169">
          <cell r="A1169" t="str">
            <v>DKR_0933</v>
          </cell>
          <cell r="S1169" t="str">
            <v>THIAROYE</v>
          </cell>
          <cell r="T1169" t="str">
            <v>DAKAR</v>
          </cell>
        </row>
        <row r="1170">
          <cell r="A1170" t="str">
            <v>DKR_0934</v>
          </cell>
          <cell r="S1170" t="str">
            <v>THIAROYE</v>
          </cell>
          <cell r="T1170" t="str">
            <v>DAKAR</v>
          </cell>
        </row>
        <row r="1171">
          <cell r="A1171" t="str">
            <v>DKR_0935</v>
          </cell>
          <cell r="S1171" t="str">
            <v>THIAROYE</v>
          </cell>
          <cell r="T1171" t="str">
            <v>DAKAR</v>
          </cell>
        </row>
        <row r="1172">
          <cell r="A1172" t="str">
            <v>DKR_0936</v>
          </cell>
          <cell r="S1172" t="str">
            <v>THIAROYE</v>
          </cell>
          <cell r="T1172" t="str">
            <v>DAKAR</v>
          </cell>
        </row>
        <row r="1173">
          <cell r="A1173" t="str">
            <v>DKR_0937</v>
          </cell>
          <cell r="S1173" t="str">
            <v>THIAROYE</v>
          </cell>
          <cell r="T1173" t="str">
            <v>DAKAR</v>
          </cell>
        </row>
        <row r="1174">
          <cell r="A1174" t="str">
            <v>DKR_0938</v>
          </cell>
          <cell r="S1174" t="str">
            <v>THIAROYE</v>
          </cell>
          <cell r="T1174" t="str">
            <v>DAKAR</v>
          </cell>
        </row>
        <row r="1175">
          <cell r="A1175" t="str">
            <v>DKR_0939</v>
          </cell>
          <cell r="S1175" t="str">
            <v>THIAROYE</v>
          </cell>
          <cell r="T1175" t="str">
            <v>DAKAR</v>
          </cell>
        </row>
        <row r="1176">
          <cell r="A1176" t="str">
            <v>DKR_0940</v>
          </cell>
          <cell r="S1176" t="str">
            <v>THIAROYE</v>
          </cell>
          <cell r="T1176" t="str">
            <v>DAKAR</v>
          </cell>
        </row>
        <row r="1177">
          <cell r="A1177" t="str">
            <v>DKR_0941</v>
          </cell>
          <cell r="S1177" t="str">
            <v>THIAROYE</v>
          </cell>
          <cell r="T1177" t="str">
            <v>DAKAR</v>
          </cell>
        </row>
        <row r="1178">
          <cell r="A1178" t="str">
            <v>DKR_0942</v>
          </cell>
          <cell r="S1178" t="str">
            <v>THIAROYE</v>
          </cell>
          <cell r="T1178" t="str">
            <v>DAKAR</v>
          </cell>
        </row>
        <row r="1179">
          <cell r="A1179" t="str">
            <v>DKR_0943</v>
          </cell>
          <cell r="S1179" t="str">
            <v>THIAROYE</v>
          </cell>
          <cell r="T1179" t="str">
            <v>DAKAR</v>
          </cell>
        </row>
        <row r="1180">
          <cell r="A1180" t="str">
            <v>DKR_0944</v>
          </cell>
          <cell r="S1180" t="str">
            <v>THIAROYE</v>
          </cell>
          <cell r="T1180" t="str">
            <v>DAKAR</v>
          </cell>
        </row>
        <row r="1181">
          <cell r="A1181" t="str">
            <v>DKR_0945</v>
          </cell>
          <cell r="S1181" t="str">
            <v>THIAROYE</v>
          </cell>
          <cell r="T1181" t="str">
            <v>DAKAR</v>
          </cell>
        </row>
        <row r="1182">
          <cell r="A1182" t="str">
            <v>DKR_0946</v>
          </cell>
          <cell r="S1182" t="str">
            <v>THIAROYE</v>
          </cell>
          <cell r="T1182" t="str">
            <v>DAKAR</v>
          </cell>
        </row>
        <row r="1183">
          <cell r="A1183" t="str">
            <v>DKR_2659</v>
          </cell>
          <cell r="S1183" t="str">
            <v>THIAROYE</v>
          </cell>
          <cell r="T1183" t="str">
            <v>DAKAR</v>
          </cell>
        </row>
        <row r="1184">
          <cell r="A1184" t="str">
            <v>DKR_0948</v>
          </cell>
          <cell r="S1184" t="str">
            <v>THIAROYE</v>
          </cell>
          <cell r="T1184" t="str">
            <v>DAKAR</v>
          </cell>
        </row>
        <row r="1185">
          <cell r="A1185" t="str">
            <v>DKR_0949</v>
          </cell>
          <cell r="S1185" t="str">
            <v>THIAROYE</v>
          </cell>
          <cell r="T1185" t="str">
            <v>DAKAR</v>
          </cell>
        </row>
        <row r="1186">
          <cell r="A1186" t="str">
            <v>DKR_0950</v>
          </cell>
          <cell r="S1186" t="str">
            <v>THIAROYE</v>
          </cell>
          <cell r="T1186" t="str">
            <v>DAKAR</v>
          </cell>
        </row>
        <row r="1187">
          <cell r="A1187" t="str">
            <v>DKR_0951</v>
          </cell>
          <cell r="S1187" t="str">
            <v>THIAROYE</v>
          </cell>
          <cell r="T1187" t="str">
            <v>DAKAR</v>
          </cell>
        </row>
        <row r="1188">
          <cell r="A1188" t="str">
            <v>DKR_2712</v>
          </cell>
          <cell r="S1188" t="str">
            <v>THIAROYE</v>
          </cell>
          <cell r="T1188" t="str">
            <v>DAKAR</v>
          </cell>
        </row>
        <row r="1189">
          <cell r="A1189" t="str">
            <v>DKR_2728</v>
          </cell>
          <cell r="S1189" t="str">
            <v>KEUR_MASSAR</v>
          </cell>
          <cell r="T1189" t="str">
            <v>DAKAR</v>
          </cell>
        </row>
        <row r="1190">
          <cell r="A1190" t="str">
            <v>DKR_2758</v>
          </cell>
          <cell r="S1190" t="str">
            <v>KEUR_MASSAR</v>
          </cell>
          <cell r="T1190" t="str">
            <v>DAKAR</v>
          </cell>
        </row>
        <row r="1191">
          <cell r="A1191" t="str">
            <v>DKR_2745</v>
          </cell>
          <cell r="S1191" t="str">
            <v>KEUR_MASSAR</v>
          </cell>
          <cell r="T1191" t="str">
            <v>DAKAR</v>
          </cell>
        </row>
        <row r="1192">
          <cell r="A1192" t="str">
            <v>DKR_2739</v>
          </cell>
          <cell r="S1192" t="str">
            <v>KEUR_MASSAR</v>
          </cell>
          <cell r="T1192" t="str">
            <v>DAKAR</v>
          </cell>
        </row>
        <row r="1193">
          <cell r="A1193" t="str">
            <v>DKR_2761</v>
          </cell>
          <cell r="S1193" t="str">
            <v>KEUR_MASSAR</v>
          </cell>
          <cell r="T1193" t="str">
            <v>DAKAR</v>
          </cell>
        </row>
        <row r="1194">
          <cell r="A1194" t="str">
            <v>DKR_2793</v>
          </cell>
          <cell r="S1194" t="str">
            <v>KEUR_MASSAR</v>
          </cell>
          <cell r="T1194" t="str">
            <v>DAKAR</v>
          </cell>
        </row>
        <row r="1195">
          <cell r="A1195" t="str">
            <v>DKR_2805</v>
          </cell>
          <cell r="S1195" t="str">
            <v>KEUR_MASSAR</v>
          </cell>
          <cell r="T1195" t="str">
            <v>DAKAR</v>
          </cell>
        </row>
        <row r="1196">
          <cell r="A1196" t="str">
            <v>DKR_2812</v>
          </cell>
          <cell r="S1196" t="str">
            <v>DAKAR</v>
          </cell>
          <cell r="T1196" t="str">
            <v>DAKAR</v>
          </cell>
        </row>
        <row r="1197">
          <cell r="A1197" t="str">
            <v>THS_2753</v>
          </cell>
          <cell r="S1197" t="str">
            <v>MBOUR</v>
          </cell>
          <cell r="T1197" t="str">
            <v>THIES</v>
          </cell>
        </row>
        <row r="1198">
          <cell r="A1198" t="str">
            <v>KLK_0952</v>
          </cell>
          <cell r="S1198" t="str">
            <v>FATICK</v>
          </cell>
          <cell r="T1198" t="str">
            <v>KAOLACK</v>
          </cell>
        </row>
        <row r="1199">
          <cell r="A1199" t="str">
            <v>DKR_0953</v>
          </cell>
          <cell r="S1199" t="str">
            <v>RUFISQUE</v>
          </cell>
          <cell r="T1199" t="str">
            <v>DAKAR</v>
          </cell>
        </row>
        <row r="1200">
          <cell r="A1200" t="str">
            <v>DKR_0954</v>
          </cell>
          <cell r="S1200" t="str">
            <v>RUFISQUE</v>
          </cell>
          <cell r="T1200" t="str">
            <v>DAKAR</v>
          </cell>
        </row>
        <row r="1201">
          <cell r="A1201" t="str">
            <v>DKR_0955</v>
          </cell>
          <cell r="S1201" t="str">
            <v>RUFISQUE</v>
          </cell>
          <cell r="T1201" t="str">
            <v>DAKAR</v>
          </cell>
        </row>
        <row r="1202">
          <cell r="A1202" t="str">
            <v>DKR_0956</v>
          </cell>
          <cell r="S1202" t="str">
            <v>RUFISQUE</v>
          </cell>
          <cell r="T1202" t="str">
            <v>DAKAR</v>
          </cell>
        </row>
        <row r="1203">
          <cell r="A1203" t="str">
            <v>DKR_0957</v>
          </cell>
          <cell r="S1203" t="str">
            <v>RUFISQUE</v>
          </cell>
          <cell r="T1203" t="str">
            <v>DAKAR</v>
          </cell>
        </row>
        <row r="1204">
          <cell r="A1204" t="str">
            <v>DKR_0958</v>
          </cell>
          <cell r="S1204" t="str">
            <v>RUFISQUE</v>
          </cell>
          <cell r="T1204" t="str">
            <v>DAKAR</v>
          </cell>
        </row>
        <row r="1205">
          <cell r="A1205" t="str">
            <v>DKR_0959</v>
          </cell>
          <cell r="S1205" t="str">
            <v>RUFISQUE</v>
          </cell>
          <cell r="T1205" t="str">
            <v>DAKAR</v>
          </cell>
        </row>
        <row r="1206">
          <cell r="A1206" t="str">
            <v>DKR_0960</v>
          </cell>
          <cell r="S1206" t="str">
            <v>RUFISQUE</v>
          </cell>
          <cell r="T1206" t="str">
            <v>DAKAR</v>
          </cell>
        </row>
        <row r="1207">
          <cell r="A1207" t="str">
            <v>DKR_0961</v>
          </cell>
          <cell r="S1207" t="str">
            <v>RUFISQUE</v>
          </cell>
          <cell r="T1207" t="str">
            <v>DAKAR</v>
          </cell>
        </row>
        <row r="1208">
          <cell r="A1208" t="str">
            <v>DKR_0962</v>
          </cell>
          <cell r="S1208" t="str">
            <v>RUFISQUE</v>
          </cell>
          <cell r="T1208" t="str">
            <v>DAKAR</v>
          </cell>
        </row>
        <row r="1209">
          <cell r="A1209" t="str">
            <v>DKR_0963</v>
          </cell>
          <cell r="S1209" t="str">
            <v>RUFISQUE</v>
          </cell>
          <cell r="T1209" t="str">
            <v>DAKAR</v>
          </cell>
        </row>
        <row r="1210">
          <cell r="A1210" t="str">
            <v>THS_0964</v>
          </cell>
          <cell r="S1210" t="str">
            <v>TIVAOUANE</v>
          </cell>
          <cell r="T1210" t="str">
            <v>THIES</v>
          </cell>
        </row>
        <row r="1211">
          <cell r="A1211" t="str">
            <v>KLK_0966</v>
          </cell>
          <cell r="S1211" t="str">
            <v>KAOLACK</v>
          </cell>
          <cell r="T1211" t="str">
            <v>KAOLACK</v>
          </cell>
        </row>
        <row r="1212">
          <cell r="A1212" t="str">
            <v>STL_0967</v>
          </cell>
          <cell r="S1212" t="str">
            <v>LOUGA</v>
          </cell>
          <cell r="T1212" t="str">
            <v>SAINT-LOUIS</v>
          </cell>
        </row>
        <row r="1213">
          <cell r="A1213" t="str">
            <v>STL_2728</v>
          </cell>
          <cell r="S1213" t="str">
            <v>LOUGA</v>
          </cell>
          <cell r="T1213" t="str">
            <v>SAINT-LOUIS</v>
          </cell>
        </row>
        <row r="1214">
          <cell r="A1214" t="str">
            <v>STL_0968</v>
          </cell>
          <cell r="S1214" t="str">
            <v>LOUGA</v>
          </cell>
          <cell r="T1214" t="str">
            <v>SAINT-LOUIS</v>
          </cell>
        </row>
        <row r="1215">
          <cell r="A1215" t="str">
            <v>KLK_0969</v>
          </cell>
          <cell r="S1215" t="str">
            <v>SOKONE</v>
          </cell>
          <cell r="T1215" t="str">
            <v>KAOLACK</v>
          </cell>
        </row>
        <row r="1216">
          <cell r="A1216" t="str">
            <v>THS_0970</v>
          </cell>
          <cell r="S1216" t="str">
            <v>THIES</v>
          </cell>
          <cell r="T1216" t="str">
            <v>THIES</v>
          </cell>
        </row>
        <row r="1217">
          <cell r="A1217" t="str">
            <v>KLK_0971</v>
          </cell>
          <cell r="S1217" t="str">
            <v>SOKONE</v>
          </cell>
          <cell r="T1217" t="str">
            <v>KAOLACK</v>
          </cell>
        </row>
        <row r="1218">
          <cell r="A1218" t="str">
            <v>DKR_0972</v>
          </cell>
          <cell r="S1218" t="str">
            <v>RUFISQUE</v>
          </cell>
          <cell r="T1218" t="str">
            <v>DAKAR</v>
          </cell>
        </row>
        <row r="1219">
          <cell r="A1219" t="str">
            <v>DKR_2775</v>
          </cell>
          <cell r="S1219" t="str">
            <v>KEUR_MASSAR</v>
          </cell>
          <cell r="T1219" t="str">
            <v>DAKAR</v>
          </cell>
        </row>
        <row r="1220">
          <cell r="A1220" t="str">
            <v>DKR_0973</v>
          </cell>
          <cell r="S1220" t="str">
            <v>RUFISQUE</v>
          </cell>
          <cell r="T1220" t="str">
            <v>DAKAR</v>
          </cell>
        </row>
        <row r="1221">
          <cell r="A1221" t="str">
            <v>DKR_0974</v>
          </cell>
          <cell r="S1221" t="str">
            <v>RUFISQUE</v>
          </cell>
          <cell r="T1221" t="str">
            <v>DAKAR</v>
          </cell>
        </row>
        <row r="1222">
          <cell r="A1222" t="str">
            <v>DKR_2718</v>
          </cell>
          <cell r="S1222" t="str">
            <v>RUFISQUE</v>
          </cell>
          <cell r="T1222" t="str">
            <v>DAKAR</v>
          </cell>
        </row>
        <row r="1223">
          <cell r="A1223" t="str">
            <v>DKR_2636</v>
          </cell>
          <cell r="S1223" t="str">
            <v>RUFISQUE</v>
          </cell>
          <cell r="T1223" t="str">
            <v>DAKAR</v>
          </cell>
        </row>
        <row r="1224">
          <cell r="A1224" t="str">
            <v>THS_2706</v>
          </cell>
          <cell r="S1224" t="str">
            <v>TIVAOUANE</v>
          </cell>
          <cell r="T1224" t="str">
            <v>THIES</v>
          </cell>
        </row>
        <row r="1225">
          <cell r="A1225" t="str">
            <v>DBL_2728</v>
          </cell>
          <cell r="S1225" t="str">
            <v>DIOURBEL</v>
          </cell>
          <cell r="T1225" t="str">
            <v>THIES</v>
          </cell>
        </row>
        <row r="1226">
          <cell r="A1226" t="str">
            <v>THS_0975</v>
          </cell>
          <cell r="S1226" t="str">
            <v>TIVAOUANE</v>
          </cell>
          <cell r="T1226" t="str">
            <v>THIES</v>
          </cell>
        </row>
        <row r="1227">
          <cell r="A1227" t="str">
            <v>KLK_0976</v>
          </cell>
          <cell r="S1227" t="str">
            <v>SOKONE</v>
          </cell>
          <cell r="T1227" t="str">
            <v>KAOLACK</v>
          </cell>
        </row>
        <row r="1228">
          <cell r="A1228" t="str">
            <v>STL_2826</v>
          </cell>
          <cell r="S1228" t="str">
            <v>LOUGA</v>
          </cell>
          <cell r="T1228" t="str">
            <v>SAINT-LOUIS</v>
          </cell>
        </row>
        <row r="1229">
          <cell r="A1229" t="str">
            <v>KLK_2727</v>
          </cell>
          <cell r="S1229" t="str">
            <v>KAOLACK</v>
          </cell>
          <cell r="T1229" t="str">
            <v>KAOLACK</v>
          </cell>
        </row>
        <row r="1230">
          <cell r="A1230" t="str">
            <v>KLK_2682</v>
          </cell>
          <cell r="S1230" t="str">
            <v>KAFFRINE</v>
          </cell>
          <cell r="T1230" t="str">
            <v>KAOLACK</v>
          </cell>
        </row>
        <row r="1231">
          <cell r="A1231" t="str">
            <v>KLK_0977</v>
          </cell>
          <cell r="S1231" t="str">
            <v>SOKONE</v>
          </cell>
          <cell r="T1231" t="str">
            <v>KAOLACK</v>
          </cell>
        </row>
        <row r="1232">
          <cell r="A1232" t="str">
            <v>DBL_0978</v>
          </cell>
          <cell r="S1232" t="str">
            <v>DIOURBEL</v>
          </cell>
          <cell r="T1232" t="str">
            <v>THIES</v>
          </cell>
        </row>
        <row r="1233">
          <cell r="A1233" t="str">
            <v>DBL_0979</v>
          </cell>
          <cell r="S1233" t="str">
            <v>DIOURBEL</v>
          </cell>
          <cell r="T1233" t="str">
            <v>THIES</v>
          </cell>
        </row>
        <row r="1234">
          <cell r="A1234" t="str">
            <v>KLK_0980</v>
          </cell>
          <cell r="S1234" t="str">
            <v>KOUNGHEUL</v>
          </cell>
          <cell r="T1234" t="str">
            <v>TAMBACOUNDA</v>
          </cell>
        </row>
        <row r="1235">
          <cell r="A1235" t="str">
            <v>THS_0981</v>
          </cell>
          <cell r="S1235" t="str">
            <v>THIES</v>
          </cell>
          <cell r="T1235" t="str">
            <v>THIES</v>
          </cell>
        </row>
        <row r="1236">
          <cell r="A1236" t="str">
            <v>STL_0982</v>
          </cell>
          <cell r="S1236" t="str">
            <v>LOUGA</v>
          </cell>
          <cell r="T1236" t="str">
            <v>SAINT-LOUIS</v>
          </cell>
        </row>
        <row r="1237">
          <cell r="A1237" t="str">
            <v>KLK_0983</v>
          </cell>
          <cell r="S1237" t="str">
            <v>SOKONE</v>
          </cell>
          <cell r="T1237" t="str">
            <v>KAOLACK</v>
          </cell>
        </row>
        <row r="1238">
          <cell r="A1238" t="str">
            <v>KLK_0984</v>
          </cell>
          <cell r="S1238" t="str">
            <v>SOKONE</v>
          </cell>
          <cell r="T1238" t="str">
            <v>KAOLACK</v>
          </cell>
        </row>
        <row r="1239">
          <cell r="A1239" t="str">
            <v>KLK_0985</v>
          </cell>
          <cell r="S1239" t="str">
            <v>SOKONE</v>
          </cell>
          <cell r="T1239" t="str">
            <v>KAOLACK</v>
          </cell>
        </row>
        <row r="1240">
          <cell r="A1240" t="str">
            <v>KLK_2728</v>
          </cell>
          <cell r="S1240" t="str">
            <v>NIORO</v>
          </cell>
          <cell r="T1240" t="str">
            <v>KAOLACK</v>
          </cell>
        </row>
        <row r="1241">
          <cell r="A1241" t="str">
            <v>THS_0986</v>
          </cell>
          <cell r="S1241" t="str">
            <v>THIES</v>
          </cell>
          <cell r="T1241" t="str">
            <v>THIES</v>
          </cell>
        </row>
        <row r="1242">
          <cell r="A1242" t="str">
            <v>KLK_0987</v>
          </cell>
          <cell r="S1242" t="str">
            <v>SOKONE</v>
          </cell>
          <cell r="T1242" t="str">
            <v>KAOLACK</v>
          </cell>
        </row>
        <row r="1243">
          <cell r="A1243" t="str">
            <v>MBR_0988</v>
          </cell>
          <cell r="S1243" t="str">
            <v>MBOUR</v>
          </cell>
          <cell r="T1243" t="str">
            <v>THIES</v>
          </cell>
        </row>
        <row r="1244">
          <cell r="A1244" t="str">
            <v>KDG_0989</v>
          </cell>
          <cell r="S1244" t="str">
            <v>KEDOUGOU</v>
          </cell>
          <cell r="T1244" t="str">
            <v>TAMBACOUNDA</v>
          </cell>
        </row>
        <row r="1245">
          <cell r="A1245" t="str">
            <v>DBL_0990</v>
          </cell>
          <cell r="S1245" t="str">
            <v>TOUBA02</v>
          </cell>
          <cell r="T1245" t="str">
            <v>THIES</v>
          </cell>
        </row>
        <row r="1246">
          <cell r="A1246" t="str">
            <v>THS_0991</v>
          </cell>
          <cell r="S1246" t="str">
            <v>TIVAOUANE</v>
          </cell>
          <cell r="T1246" t="str">
            <v>THIES</v>
          </cell>
        </row>
        <row r="1247">
          <cell r="A1247" t="str">
            <v>DKR_0992</v>
          </cell>
          <cell r="S1247" t="str">
            <v>SACRE_COEUR</v>
          </cell>
          <cell r="T1247" t="str">
            <v>DAKAR</v>
          </cell>
        </row>
        <row r="1248">
          <cell r="A1248" t="str">
            <v>DKR_0993</v>
          </cell>
          <cell r="S1248" t="str">
            <v>SACRE_COEUR</v>
          </cell>
          <cell r="T1248" t="str">
            <v>DAKAR</v>
          </cell>
        </row>
        <row r="1249">
          <cell r="A1249" t="str">
            <v>DKR_0994</v>
          </cell>
          <cell r="S1249" t="str">
            <v>SACRE_COEUR</v>
          </cell>
          <cell r="T1249" t="str">
            <v>DAKAR</v>
          </cell>
        </row>
        <row r="1250">
          <cell r="A1250" t="str">
            <v>DKR_0995</v>
          </cell>
          <cell r="S1250" t="str">
            <v>SACRE_COEUR</v>
          </cell>
          <cell r="T1250" t="str">
            <v>DAKAR</v>
          </cell>
        </row>
        <row r="1251">
          <cell r="A1251" t="str">
            <v>DKR_0996</v>
          </cell>
          <cell r="S1251" t="str">
            <v>SACRE_COEUR</v>
          </cell>
          <cell r="T1251" t="str">
            <v>DAKAR</v>
          </cell>
        </row>
        <row r="1252">
          <cell r="A1252" t="str">
            <v>DKR_0997</v>
          </cell>
          <cell r="S1252" t="str">
            <v>SACRE_COEUR</v>
          </cell>
          <cell r="T1252" t="str">
            <v>DAKAR</v>
          </cell>
        </row>
        <row r="1253">
          <cell r="A1253" t="str">
            <v>DKR_2794</v>
          </cell>
          <cell r="S1253" t="str">
            <v>DAKAR</v>
          </cell>
          <cell r="T1253" t="str">
            <v>DAKAR</v>
          </cell>
        </row>
        <row r="1254">
          <cell r="A1254" t="str">
            <v>DKR_2729</v>
          </cell>
          <cell r="S1254" t="str">
            <v>KEUR_MASSAR</v>
          </cell>
          <cell r="T1254" t="str">
            <v>DAKAR</v>
          </cell>
        </row>
        <row r="1255">
          <cell r="A1255" t="str">
            <v>KDG_0998</v>
          </cell>
          <cell r="S1255" t="str">
            <v>KEDOUGOU</v>
          </cell>
          <cell r="T1255" t="str">
            <v>TAMBACOUNDA</v>
          </cell>
        </row>
        <row r="1256">
          <cell r="A1256" t="str">
            <v>KDG_2700</v>
          </cell>
          <cell r="S1256" t="str">
            <v>KEDOUGOU</v>
          </cell>
          <cell r="T1256" t="str">
            <v>TAMBACOUNDA</v>
          </cell>
        </row>
        <row r="1257">
          <cell r="A1257" t="str">
            <v>STL_2746</v>
          </cell>
          <cell r="S1257" t="str">
            <v>SAINT-LOUIS</v>
          </cell>
          <cell r="T1257" t="str">
            <v>SAINT-LOUIS</v>
          </cell>
        </row>
        <row r="1258">
          <cell r="A1258" t="str">
            <v>DBL_0999</v>
          </cell>
          <cell r="S1258" t="str">
            <v>TOUBA02</v>
          </cell>
          <cell r="T1258" t="str">
            <v>THIES</v>
          </cell>
        </row>
        <row r="1259">
          <cell r="A1259" t="str">
            <v>DBL_1000</v>
          </cell>
          <cell r="S1259" t="str">
            <v>TOUBA01</v>
          </cell>
          <cell r="T1259" t="str">
            <v>THIES</v>
          </cell>
        </row>
        <row r="1260">
          <cell r="A1260" t="str">
            <v>KLK_2747</v>
          </cell>
          <cell r="S1260" t="str">
            <v>KAOLACK</v>
          </cell>
          <cell r="T1260" t="str">
            <v xml:space="preserve"> KAOLACK</v>
          </cell>
        </row>
        <row r="1261">
          <cell r="A1261" t="str">
            <v>KLK_1001</v>
          </cell>
          <cell r="S1261" t="str">
            <v>KAFFRINE</v>
          </cell>
          <cell r="T1261" t="str">
            <v>KAOLACK</v>
          </cell>
        </row>
        <row r="1262">
          <cell r="A1262" t="str">
            <v>STL_1002</v>
          </cell>
          <cell r="S1262" t="str">
            <v>SAINT-LOUIS</v>
          </cell>
          <cell r="T1262" t="str">
            <v>SAINT-LOUIS</v>
          </cell>
        </row>
        <row r="1263">
          <cell r="A1263" t="str">
            <v>STL_2815</v>
          </cell>
          <cell r="S1263" t="str">
            <v>LOUGA</v>
          </cell>
          <cell r="T1263" t="str">
            <v>SAINT-LOUIS</v>
          </cell>
        </row>
        <row r="1264">
          <cell r="A1264" t="str">
            <v>DBL_1003</v>
          </cell>
          <cell r="S1264" t="str">
            <v>LINGUERE</v>
          </cell>
          <cell r="T1264" t="str">
            <v>THIES</v>
          </cell>
        </row>
        <row r="1265">
          <cell r="A1265" t="str">
            <v>DBL_1004</v>
          </cell>
          <cell r="S1265" t="str">
            <v>DIOURBEL</v>
          </cell>
          <cell r="T1265" t="str">
            <v>THIES</v>
          </cell>
        </row>
        <row r="1266">
          <cell r="A1266" t="str">
            <v>THS_1005</v>
          </cell>
          <cell r="S1266" t="str">
            <v>MBOUR</v>
          </cell>
          <cell r="T1266" t="str">
            <v>THIES</v>
          </cell>
        </row>
        <row r="1267">
          <cell r="A1267" t="str">
            <v>THS_1006</v>
          </cell>
          <cell r="S1267" t="str">
            <v>THIES</v>
          </cell>
          <cell r="T1267" t="str">
            <v>THIES</v>
          </cell>
        </row>
        <row r="1268">
          <cell r="A1268" t="str">
            <v>THS_1007</v>
          </cell>
          <cell r="S1268" t="str">
            <v>THIES</v>
          </cell>
          <cell r="T1268" t="str">
            <v>THIES</v>
          </cell>
        </row>
        <row r="1269">
          <cell r="A1269" t="str">
            <v>KDG_1008</v>
          </cell>
          <cell r="S1269" t="str">
            <v>KEDOUGOU</v>
          </cell>
          <cell r="T1269" t="str">
            <v>TAMBACOUNDA</v>
          </cell>
        </row>
        <row r="1270">
          <cell r="A1270" t="str">
            <v>KDG_2708</v>
          </cell>
          <cell r="S1270" t="str">
            <v>KEDOUGOU</v>
          </cell>
          <cell r="T1270" t="str">
            <v>TAMBACOUNDA</v>
          </cell>
        </row>
        <row r="1271">
          <cell r="A1271" t="str">
            <v>KLK_1009</v>
          </cell>
          <cell r="S1271" t="str">
            <v>KAFFRINE</v>
          </cell>
          <cell r="T1271" t="str">
            <v>KAOLACK</v>
          </cell>
        </row>
        <row r="1272">
          <cell r="A1272" t="str">
            <v>KLK_1010</v>
          </cell>
          <cell r="S1272" t="str">
            <v>KAFFRINE</v>
          </cell>
          <cell r="T1272" t="str">
            <v>KAOLACK</v>
          </cell>
        </row>
        <row r="1273">
          <cell r="A1273" t="str">
            <v>STL_1011</v>
          </cell>
          <cell r="S1273" t="str">
            <v>LOUGA</v>
          </cell>
          <cell r="T1273" t="str">
            <v>SAINT-LOUIS</v>
          </cell>
        </row>
        <row r="1274">
          <cell r="A1274" t="str">
            <v>DBL_2733</v>
          </cell>
          <cell r="S1274" t="str">
            <v>TOUBA</v>
          </cell>
          <cell r="T1274" t="str">
            <v>THIES</v>
          </cell>
        </row>
        <row r="1275">
          <cell r="A1275" t="str">
            <v>BKL_1012</v>
          </cell>
          <cell r="S1275" t="str">
            <v>BAKEL</v>
          </cell>
          <cell r="T1275" t="str">
            <v>SAINT-LOUIS</v>
          </cell>
        </row>
        <row r="1276">
          <cell r="A1276" t="str">
            <v>BKL_1013</v>
          </cell>
          <cell r="S1276" t="str">
            <v>BAKEL</v>
          </cell>
          <cell r="T1276" t="str">
            <v>SAINT-LOUIS</v>
          </cell>
        </row>
        <row r="1277">
          <cell r="A1277" t="str">
            <v>BKL_1014</v>
          </cell>
          <cell r="S1277" t="str">
            <v>BAKEL</v>
          </cell>
          <cell r="T1277" t="str">
            <v>SAINT-LOUIS</v>
          </cell>
        </row>
        <row r="1278">
          <cell r="A1278" t="str">
            <v>BKL_1015</v>
          </cell>
          <cell r="S1278" t="str">
            <v>BAKEL</v>
          </cell>
          <cell r="T1278" t="str">
            <v>SAINT-LOUIS</v>
          </cell>
        </row>
        <row r="1279">
          <cell r="A1279" t="str">
            <v>KDG_2731</v>
          </cell>
          <cell r="S1279" t="str">
            <v>KEDOUGOU</v>
          </cell>
          <cell r="T1279" t="str">
            <v>TAMBACOUNDA</v>
          </cell>
        </row>
        <row r="1280">
          <cell r="A1280" t="str">
            <v>DKR_1016</v>
          </cell>
          <cell r="S1280" t="str">
            <v>OUAKAM</v>
          </cell>
          <cell r="T1280" t="str">
            <v>DAKAR</v>
          </cell>
        </row>
        <row r="1281">
          <cell r="A1281" t="str">
            <v>DKR_1017</v>
          </cell>
          <cell r="S1281" t="str">
            <v>OUAKAM</v>
          </cell>
          <cell r="T1281" t="str">
            <v>DAKAR</v>
          </cell>
        </row>
        <row r="1282">
          <cell r="A1282" t="str">
            <v>MBR_1018</v>
          </cell>
          <cell r="S1282" t="str">
            <v>MBOUR</v>
          </cell>
          <cell r="T1282" t="str">
            <v>THIES</v>
          </cell>
        </row>
        <row r="1283">
          <cell r="A1283" t="str">
            <v>ZIG_2698</v>
          </cell>
          <cell r="S1283" t="str">
            <v>SEDHIOU</v>
          </cell>
          <cell r="T1283" t="str">
            <v>ZIGUINCHOR</v>
          </cell>
        </row>
        <row r="1284">
          <cell r="A1284" t="str">
            <v>THS_1019</v>
          </cell>
          <cell r="S1284" t="str">
            <v>THIES</v>
          </cell>
          <cell r="T1284" t="str">
            <v>THIES</v>
          </cell>
        </row>
        <row r="1285">
          <cell r="A1285" t="str">
            <v>THS_1020</v>
          </cell>
          <cell r="S1285" t="str">
            <v>THIES</v>
          </cell>
          <cell r="T1285" t="str">
            <v>THIES</v>
          </cell>
        </row>
        <row r="1286">
          <cell r="A1286" t="str">
            <v>KLD_1021</v>
          </cell>
          <cell r="S1286" t="str">
            <v>KOLDA</v>
          </cell>
          <cell r="T1286" t="str">
            <v>ZIGUINCHOR</v>
          </cell>
        </row>
        <row r="1287">
          <cell r="A1287" t="str">
            <v>KLK_2776</v>
          </cell>
          <cell r="S1287" t="str">
            <v>KAOLACK</v>
          </cell>
          <cell r="T1287" t="str">
            <v>KAOLACK</v>
          </cell>
        </row>
        <row r="1288">
          <cell r="A1288" t="str">
            <v>KLK_1022</v>
          </cell>
          <cell r="S1288" t="str">
            <v>KAOLACK</v>
          </cell>
          <cell r="T1288" t="str">
            <v>KAOLACK</v>
          </cell>
        </row>
        <row r="1289">
          <cell r="A1289" t="str">
            <v>KLK_2718</v>
          </cell>
          <cell r="S1289" t="str">
            <v>KAOLACK</v>
          </cell>
          <cell r="T1289" t="str">
            <v>KAOLACK</v>
          </cell>
        </row>
        <row r="1290">
          <cell r="A1290" t="str">
            <v>KLK_2720</v>
          </cell>
          <cell r="S1290" t="str">
            <v>Kaolack</v>
          </cell>
          <cell r="T1290" t="str">
            <v>KAOLACK</v>
          </cell>
        </row>
        <row r="1291">
          <cell r="A1291" t="str">
            <v>KLK_1023</v>
          </cell>
          <cell r="S1291" t="str">
            <v>KAOLACK</v>
          </cell>
          <cell r="T1291" t="str">
            <v>KAOLACK</v>
          </cell>
        </row>
        <row r="1292">
          <cell r="A1292" t="str">
            <v>KLK_1024</v>
          </cell>
          <cell r="S1292" t="str">
            <v>KAOLACK</v>
          </cell>
          <cell r="T1292" t="str">
            <v>KAOLACK</v>
          </cell>
        </row>
        <row r="1293">
          <cell r="A1293" t="str">
            <v>KLK_1025</v>
          </cell>
          <cell r="S1293" t="str">
            <v>KAOLACK</v>
          </cell>
          <cell r="T1293" t="str">
            <v>KAOLACK</v>
          </cell>
        </row>
        <row r="1294">
          <cell r="A1294" t="str">
            <v>KLK_1026</v>
          </cell>
          <cell r="S1294" t="str">
            <v>KAOLACK</v>
          </cell>
          <cell r="T1294" t="str">
            <v>KAOLACK</v>
          </cell>
        </row>
        <row r="1295">
          <cell r="A1295" t="str">
            <v>KLK_1027</v>
          </cell>
          <cell r="S1295" t="str">
            <v>KAOLACK</v>
          </cell>
          <cell r="T1295" t="str">
            <v>KAOLACK</v>
          </cell>
        </row>
        <row r="1296">
          <cell r="A1296" t="str">
            <v>KLK_1028</v>
          </cell>
          <cell r="S1296" t="str">
            <v>KAOLACK</v>
          </cell>
          <cell r="T1296" t="str">
            <v>KAOLACK</v>
          </cell>
        </row>
        <row r="1297">
          <cell r="A1297" t="str">
            <v>KLK_1029</v>
          </cell>
          <cell r="S1297" t="str">
            <v>KAOLACK</v>
          </cell>
          <cell r="T1297" t="str">
            <v>KAOLACK</v>
          </cell>
        </row>
        <row r="1298">
          <cell r="A1298" t="str">
            <v>KLK_1031</v>
          </cell>
          <cell r="S1298" t="str">
            <v>KAOLACK</v>
          </cell>
          <cell r="T1298" t="str">
            <v>KAOLACK</v>
          </cell>
        </row>
        <row r="1299">
          <cell r="A1299" t="str">
            <v>KLK_1032</v>
          </cell>
          <cell r="S1299" t="str">
            <v>KAOLACK</v>
          </cell>
          <cell r="T1299" t="str">
            <v>KAOLACK</v>
          </cell>
        </row>
        <row r="1300">
          <cell r="A1300" t="str">
            <v>KLK_1033</v>
          </cell>
          <cell r="S1300" t="str">
            <v>KAOLACK</v>
          </cell>
          <cell r="T1300" t="str">
            <v>KAOLACK</v>
          </cell>
        </row>
        <row r="1301">
          <cell r="A1301" t="str">
            <v>KLK_1034</v>
          </cell>
          <cell r="S1301" t="str">
            <v>KAOLACK</v>
          </cell>
          <cell r="T1301" t="str">
            <v>KAOLACK</v>
          </cell>
        </row>
        <row r="1302">
          <cell r="A1302" t="str">
            <v>KLK_1035</v>
          </cell>
          <cell r="S1302" t="str">
            <v>KAOLACK</v>
          </cell>
          <cell r="T1302" t="str">
            <v>KAOLACK</v>
          </cell>
        </row>
        <row r="1303">
          <cell r="A1303" t="str">
            <v>KLK_1036</v>
          </cell>
          <cell r="S1303" t="str">
            <v>KAOLACK</v>
          </cell>
          <cell r="T1303" t="str">
            <v>KAOLACK</v>
          </cell>
        </row>
        <row r="1304">
          <cell r="A1304" t="str">
            <v>KLK_1037</v>
          </cell>
          <cell r="S1304" t="str">
            <v>KAOLACK</v>
          </cell>
          <cell r="T1304" t="str">
            <v>KAOLACK</v>
          </cell>
        </row>
        <row r="1305">
          <cell r="A1305" t="str">
            <v>KLK_1038</v>
          </cell>
          <cell r="S1305" t="str">
            <v>KAOLACK</v>
          </cell>
          <cell r="T1305" t="str">
            <v>KAOLACK</v>
          </cell>
        </row>
        <row r="1306">
          <cell r="A1306" t="str">
            <v>KLK_1039</v>
          </cell>
          <cell r="S1306" t="str">
            <v>KAOLACK</v>
          </cell>
          <cell r="T1306" t="str">
            <v>KAOLACK</v>
          </cell>
        </row>
        <row r="1307">
          <cell r="A1307" t="str">
            <v>KLK_1040</v>
          </cell>
          <cell r="S1307" t="str">
            <v>KAOLACK</v>
          </cell>
          <cell r="T1307" t="str">
            <v>KAOLACK</v>
          </cell>
        </row>
        <row r="1308">
          <cell r="A1308" t="str">
            <v>KLK_1041</v>
          </cell>
          <cell r="S1308" t="str">
            <v>KAOLACK</v>
          </cell>
          <cell r="T1308" t="str">
            <v>KAOLACK</v>
          </cell>
        </row>
        <row r="1309">
          <cell r="A1309" t="str">
            <v>KLK_2746</v>
          </cell>
          <cell r="S1309" t="str">
            <v>KAOLACK</v>
          </cell>
          <cell r="T1309" t="str">
            <v xml:space="preserve"> KAOLACK</v>
          </cell>
        </row>
        <row r="1310">
          <cell r="A1310" t="str">
            <v>KLK_1043</v>
          </cell>
          <cell r="S1310" t="str">
            <v>KAOLACK</v>
          </cell>
          <cell r="T1310" t="str">
            <v>KAOLACK</v>
          </cell>
        </row>
        <row r="1311">
          <cell r="A1311" t="str">
            <v>KLK_1044</v>
          </cell>
          <cell r="S1311" t="str">
            <v>KAOLACK</v>
          </cell>
          <cell r="T1311" t="str">
            <v>KAOLACK</v>
          </cell>
        </row>
        <row r="1312">
          <cell r="A1312" t="str">
            <v>KLK_1045</v>
          </cell>
          <cell r="S1312" t="str">
            <v>KAOLACK</v>
          </cell>
          <cell r="T1312" t="str">
            <v>KAOLACK</v>
          </cell>
        </row>
        <row r="1313">
          <cell r="A1313" t="str">
            <v>KLK_1046</v>
          </cell>
          <cell r="S1313" t="str">
            <v>KAOLACK</v>
          </cell>
          <cell r="T1313" t="str">
            <v>KAOLACK</v>
          </cell>
        </row>
        <row r="1314">
          <cell r="A1314" t="str">
            <v>KLK_1047</v>
          </cell>
          <cell r="S1314" t="str">
            <v>KAOLACK</v>
          </cell>
          <cell r="T1314" t="str">
            <v>KAOLACK</v>
          </cell>
        </row>
        <row r="1315">
          <cell r="A1315" t="str">
            <v>KLK_1048</v>
          </cell>
          <cell r="S1315" t="str">
            <v>KAOLACK</v>
          </cell>
          <cell r="T1315" t="str">
            <v>KAOLACK</v>
          </cell>
        </row>
        <row r="1316">
          <cell r="A1316" t="str">
            <v>KLK_1049</v>
          </cell>
          <cell r="S1316" t="str">
            <v>KAOLACK</v>
          </cell>
          <cell r="T1316" t="str">
            <v>KAOLACK</v>
          </cell>
        </row>
        <row r="1317">
          <cell r="A1317" t="str">
            <v>KLK_1050</v>
          </cell>
          <cell r="S1317" t="str">
            <v>KAOLACK</v>
          </cell>
          <cell r="T1317" t="str">
            <v>KAOLACK</v>
          </cell>
        </row>
        <row r="1318">
          <cell r="A1318" t="str">
            <v>KLK_1051</v>
          </cell>
          <cell r="S1318" t="str">
            <v>KAOLACK</v>
          </cell>
          <cell r="T1318" t="str">
            <v>KAOLACK</v>
          </cell>
        </row>
        <row r="1319">
          <cell r="S1319" t="e">
            <v>#N/A</v>
          </cell>
          <cell r="T1319" t="e">
            <v>#N/A</v>
          </cell>
        </row>
        <row r="1320">
          <cell r="A1320" t="str">
            <v>KLK_1052</v>
          </cell>
          <cell r="S1320" t="str">
            <v>KAOLACK</v>
          </cell>
          <cell r="T1320" t="str">
            <v>KAOLACK</v>
          </cell>
        </row>
        <row r="1321">
          <cell r="A1321" t="str">
            <v>KLK_1053</v>
          </cell>
          <cell r="S1321" t="str">
            <v>KAOLACK</v>
          </cell>
          <cell r="T1321" t="str">
            <v>KAOLACK</v>
          </cell>
        </row>
        <row r="1322">
          <cell r="A1322" t="str">
            <v>KLK_1054</v>
          </cell>
          <cell r="S1322" t="str">
            <v>KAOLACK</v>
          </cell>
          <cell r="T1322" t="str">
            <v>KAOLACK</v>
          </cell>
        </row>
        <row r="1323">
          <cell r="A1323" t="str">
            <v>KLK_1055</v>
          </cell>
          <cell r="S1323" t="str">
            <v>KAOLACK</v>
          </cell>
          <cell r="T1323" t="str">
            <v>KAOLACK</v>
          </cell>
        </row>
        <row r="1324">
          <cell r="A1324" t="str">
            <v>KLK_1056</v>
          </cell>
          <cell r="S1324" t="str">
            <v>KAOLACK</v>
          </cell>
          <cell r="T1324" t="str">
            <v>KAOLACK</v>
          </cell>
        </row>
        <row r="1325">
          <cell r="A1325" t="str">
            <v>KLK_1057</v>
          </cell>
          <cell r="S1325" t="str">
            <v>KAOLACK</v>
          </cell>
          <cell r="T1325" t="str">
            <v>KAOLACK</v>
          </cell>
        </row>
        <row r="1326">
          <cell r="A1326" t="str">
            <v>KLK_1058</v>
          </cell>
          <cell r="S1326" t="str">
            <v>KAOLACK</v>
          </cell>
          <cell r="T1326" t="str">
            <v>KAOLACK</v>
          </cell>
        </row>
        <row r="1327">
          <cell r="A1327" t="str">
            <v>KLK_2665</v>
          </cell>
          <cell r="S1327" t="str">
            <v>KAOLACK</v>
          </cell>
          <cell r="T1327" t="str">
            <v>KAOLACK</v>
          </cell>
        </row>
        <row r="1328">
          <cell r="A1328" t="str">
            <v>KLK_1059</v>
          </cell>
          <cell r="S1328" t="str">
            <v>KAOLACK</v>
          </cell>
          <cell r="T1328" t="str">
            <v>KAOLACK</v>
          </cell>
        </row>
        <row r="1329">
          <cell r="A1329" t="str">
            <v>KLK_2666</v>
          </cell>
          <cell r="S1329" t="str">
            <v>KAOLACK</v>
          </cell>
          <cell r="T1329" t="str">
            <v>KAOLACK</v>
          </cell>
        </row>
        <row r="1330">
          <cell r="A1330" t="str">
            <v>KLK_2671</v>
          </cell>
          <cell r="S1330" t="str">
            <v>KAOLACK</v>
          </cell>
          <cell r="T1330" t="str">
            <v>KAOLACK</v>
          </cell>
        </row>
        <row r="1331">
          <cell r="A1331" t="str">
            <v>KLK_2808</v>
          </cell>
          <cell r="S1331" t="str">
            <v>KAOLACK</v>
          </cell>
          <cell r="T1331" t="str">
            <v>KAOLACK</v>
          </cell>
        </row>
        <row r="1332">
          <cell r="A1332" t="str">
            <v>KLK_2809</v>
          </cell>
          <cell r="S1332" t="str">
            <v>KAOLACK</v>
          </cell>
          <cell r="T1332" t="str">
            <v>KAOLACK</v>
          </cell>
        </row>
        <row r="1333">
          <cell r="A1333" t="str">
            <v>KLK_2810</v>
          </cell>
          <cell r="S1333" t="str">
            <v>KAOLACK</v>
          </cell>
          <cell r="T1333" t="str">
            <v>KAOLACK</v>
          </cell>
        </row>
        <row r="1334">
          <cell r="A1334" t="str">
            <v>KLK_2663</v>
          </cell>
          <cell r="S1334" t="str">
            <v>KAOLACK</v>
          </cell>
          <cell r="T1334" t="str">
            <v>KAOLACK</v>
          </cell>
        </row>
        <row r="1335">
          <cell r="A1335" t="str">
            <v>KLK_2799</v>
          </cell>
          <cell r="S1335" t="str">
            <v>KAOLACK</v>
          </cell>
          <cell r="T1335" t="str">
            <v xml:space="preserve"> KAOLACK</v>
          </cell>
        </row>
        <row r="1336">
          <cell r="A1336" t="str">
            <v>KLK_2800</v>
          </cell>
          <cell r="S1336" t="str">
            <v>KAOLACK</v>
          </cell>
          <cell r="T1336" t="str">
            <v>KAOLACK</v>
          </cell>
        </row>
        <row r="1337">
          <cell r="A1337" t="str">
            <v>KLK_2801</v>
          </cell>
          <cell r="S1337" t="str">
            <v>KAOLACK</v>
          </cell>
          <cell r="T1337" t="str">
            <v>KAOLACK</v>
          </cell>
        </row>
        <row r="1338">
          <cell r="A1338" t="str">
            <v>KLK_2846</v>
          </cell>
          <cell r="S1338" t="str">
            <v>KAOLACK</v>
          </cell>
          <cell r="T1338" t="str">
            <v>KAOLACK</v>
          </cell>
        </row>
        <row r="1339">
          <cell r="A1339" t="str">
            <v>THS_2723</v>
          </cell>
          <cell r="S1339" t="str">
            <v>THIES</v>
          </cell>
          <cell r="T1339" t="str">
            <v>THIES</v>
          </cell>
        </row>
        <row r="1340">
          <cell r="A1340" t="str">
            <v>TMB_1060</v>
          </cell>
          <cell r="S1340" t="str">
            <v>GOUDIRY</v>
          </cell>
          <cell r="T1340" t="str">
            <v>TAMBACOUNDA</v>
          </cell>
        </row>
        <row r="1341">
          <cell r="A1341" t="str">
            <v>KLD_1061</v>
          </cell>
          <cell r="S1341" t="str">
            <v>SEDHIOU</v>
          </cell>
          <cell r="T1341" t="str">
            <v>ZIGUINCHOR</v>
          </cell>
        </row>
        <row r="1342">
          <cell r="A1342" t="str">
            <v>TMB_1062</v>
          </cell>
          <cell r="S1342" t="str">
            <v>TAMBA</v>
          </cell>
          <cell r="T1342" t="str">
            <v>TAMBACOUNDA</v>
          </cell>
        </row>
        <row r="1343">
          <cell r="A1343" t="str">
            <v>KLD_1063</v>
          </cell>
          <cell r="S1343" t="str">
            <v>VELINGARA</v>
          </cell>
          <cell r="T1343" t="str">
            <v>ZIGUINCHOR</v>
          </cell>
        </row>
        <row r="1344">
          <cell r="A1344" t="str">
            <v>STL_2747</v>
          </cell>
          <cell r="S1344" t="str">
            <v>RICHARD_TOLL</v>
          </cell>
          <cell r="T1344" t="str">
            <v>SAINT-LOUIS</v>
          </cell>
        </row>
        <row r="1345">
          <cell r="A1345" t="str">
            <v>THS_1064</v>
          </cell>
          <cell r="S1345" t="str">
            <v>TIVAOUANE</v>
          </cell>
          <cell r="T1345" t="str">
            <v>THIES</v>
          </cell>
        </row>
        <row r="1346">
          <cell r="A1346" t="str">
            <v>THS_1065</v>
          </cell>
          <cell r="S1346" t="str">
            <v>TIVAOUANE</v>
          </cell>
          <cell r="T1346" t="str">
            <v>THIES</v>
          </cell>
        </row>
        <row r="1347">
          <cell r="A1347" t="str">
            <v>THS_1066</v>
          </cell>
          <cell r="S1347" t="str">
            <v>TIVAOUANE</v>
          </cell>
          <cell r="T1347" t="str">
            <v>THIES</v>
          </cell>
        </row>
        <row r="1348">
          <cell r="A1348" t="str">
            <v>THS_1067</v>
          </cell>
          <cell r="S1348" t="str">
            <v>TIVAOUANE</v>
          </cell>
          <cell r="T1348" t="str">
            <v>THIES</v>
          </cell>
        </row>
        <row r="1349">
          <cell r="A1349" t="str">
            <v>THS_2725</v>
          </cell>
          <cell r="S1349" t="str">
            <v>THIES</v>
          </cell>
          <cell r="T1349" t="str">
            <v>THIES</v>
          </cell>
        </row>
        <row r="1350">
          <cell r="A1350" t="str">
            <v>KLK_1068</v>
          </cell>
          <cell r="S1350" t="str">
            <v>SOKONE</v>
          </cell>
          <cell r="T1350" t="str">
            <v>KAOLACK</v>
          </cell>
        </row>
        <row r="1351">
          <cell r="A1351" t="str">
            <v>NDM_1069</v>
          </cell>
          <cell r="S1351" t="str">
            <v>NDIOUM</v>
          </cell>
          <cell r="T1351" t="str">
            <v>SAINT-LOUIS</v>
          </cell>
        </row>
        <row r="1352">
          <cell r="A1352" t="str">
            <v>ZIG_1070</v>
          </cell>
          <cell r="S1352" t="str">
            <v>KOLDA</v>
          </cell>
          <cell r="T1352" t="str">
            <v>ZIGUINCHOR</v>
          </cell>
        </row>
        <row r="1353">
          <cell r="A1353" t="str">
            <v>KLD_1071</v>
          </cell>
          <cell r="S1353" t="str">
            <v>KOLDA</v>
          </cell>
          <cell r="T1353" t="str">
            <v>ZIGUINCHOR</v>
          </cell>
        </row>
        <row r="1354">
          <cell r="A1354" t="str">
            <v>KLD_1072</v>
          </cell>
          <cell r="S1354" t="str">
            <v>KOLDA</v>
          </cell>
          <cell r="T1354" t="str">
            <v>ZIGUINCHOR</v>
          </cell>
        </row>
        <row r="1355">
          <cell r="A1355" t="str">
            <v>KLD_1073</v>
          </cell>
          <cell r="S1355" t="str">
            <v>KOLDA</v>
          </cell>
          <cell r="T1355" t="str">
            <v>ZIGUINCHOR</v>
          </cell>
        </row>
        <row r="1356">
          <cell r="A1356" t="str">
            <v>KLD_1074</v>
          </cell>
          <cell r="S1356" t="str">
            <v>KOLDA</v>
          </cell>
          <cell r="T1356" t="str">
            <v>ZIGUINCHOR</v>
          </cell>
        </row>
        <row r="1357">
          <cell r="A1357" t="str">
            <v>KLD_1075</v>
          </cell>
          <cell r="S1357" t="str">
            <v>KOLDA</v>
          </cell>
          <cell r="T1357" t="str">
            <v>ZIGUINCHOR</v>
          </cell>
        </row>
        <row r="1358">
          <cell r="A1358" t="str">
            <v>KLD_1076</v>
          </cell>
          <cell r="S1358" t="str">
            <v>KOLDA</v>
          </cell>
          <cell r="T1358" t="str">
            <v>ZIGUINCHOR</v>
          </cell>
        </row>
        <row r="1359">
          <cell r="A1359" t="str">
            <v>KLD_1077</v>
          </cell>
          <cell r="S1359" t="str">
            <v>KOLDA</v>
          </cell>
          <cell r="T1359" t="str">
            <v>ZIGUINCHOR</v>
          </cell>
        </row>
        <row r="1360">
          <cell r="A1360" t="str">
            <v>KLD_1078</v>
          </cell>
          <cell r="S1360" t="str">
            <v>KOLDA</v>
          </cell>
          <cell r="T1360" t="str">
            <v>ZIGUINCHOR</v>
          </cell>
        </row>
        <row r="1361">
          <cell r="A1361" t="str">
            <v>KLD_1079</v>
          </cell>
          <cell r="S1361" t="str">
            <v>KOLDA</v>
          </cell>
          <cell r="T1361" t="str">
            <v>ZIGUINCHOR</v>
          </cell>
        </row>
        <row r="1362">
          <cell r="A1362" t="str">
            <v>KLD_1080</v>
          </cell>
          <cell r="S1362" t="str">
            <v>KOLDA</v>
          </cell>
          <cell r="T1362" t="str">
            <v>ZIGUINCHOR</v>
          </cell>
        </row>
        <row r="1363">
          <cell r="A1363" t="str">
            <v>KLD_1081</v>
          </cell>
          <cell r="S1363" t="str">
            <v>KOLDA</v>
          </cell>
          <cell r="T1363" t="str">
            <v>ZIGUINCHOR</v>
          </cell>
        </row>
        <row r="1364">
          <cell r="A1364" t="str">
            <v>KLD_2763</v>
          </cell>
          <cell r="S1364" t="str">
            <v>Kolda</v>
          </cell>
          <cell r="T1364" t="str">
            <v>ZIGUINCHOR</v>
          </cell>
        </row>
        <row r="1365">
          <cell r="A1365" t="str">
            <v>KLD_1083</v>
          </cell>
          <cell r="S1365" t="str">
            <v>KOLDA</v>
          </cell>
          <cell r="T1365" t="str">
            <v>ZIGUINCHOR</v>
          </cell>
        </row>
        <row r="1366">
          <cell r="A1366" t="str">
            <v>KLD_1084</v>
          </cell>
          <cell r="S1366" t="str">
            <v>KOLDA</v>
          </cell>
          <cell r="T1366" t="str">
            <v>ZIGUINCHOR</v>
          </cell>
        </row>
        <row r="1367">
          <cell r="A1367" t="str">
            <v>KLD_1085</v>
          </cell>
          <cell r="S1367" t="str">
            <v>KOLDA</v>
          </cell>
          <cell r="T1367" t="str">
            <v>ZIGUINCHOR</v>
          </cell>
        </row>
        <row r="1368">
          <cell r="A1368" t="str">
            <v>KLD_1086</v>
          </cell>
          <cell r="S1368" t="str">
            <v>KOLDA</v>
          </cell>
          <cell r="T1368" t="str">
            <v>ZIGUINCHOR</v>
          </cell>
        </row>
        <row r="1369">
          <cell r="A1369" t="str">
            <v>KLD_1087</v>
          </cell>
          <cell r="S1369" t="str">
            <v>KOLDA</v>
          </cell>
          <cell r="T1369" t="str">
            <v>ZIGUINCHOR</v>
          </cell>
        </row>
        <row r="1370">
          <cell r="A1370" t="str">
            <v>KLD_2661</v>
          </cell>
          <cell r="S1370" t="str">
            <v>KOLDA</v>
          </cell>
          <cell r="T1370" t="str">
            <v>ZIGUINCHOR</v>
          </cell>
        </row>
        <row r="1371">
          <cell r="A1371" t="str">
            <v>KLD_1088</v>
          </cell>
          <cell r="S1371" t="str">
            <v>KOLDA</v>
          </cell>
          <cell r="T1371" t="str">
            <v>ZIGUINCHOR</v>
          </cell>
        </row>
        <row r="1372">
          <cell r="A1372" t="str">
            <v>KLD_2740</v>
          </cell>
          <cell r="S1372" t="str">
            <v>KOLDA</v>
          </cell>
          <cell r="T1372" t="str">
            <v>ZIGUINCHOR</v>
          </cell>
        </row>
        <row r="1373">
          <cell r="A1373" t="str">
            <v>KLD_1090</v>
          </cell>
          <cell r="S1373" t="str">
            <v>KOLDA</v>
          </cell>
          <cell r="T1373" t="str">
            <v>ZIGUINCHOR</v>
          </cell>
        </row>
        <row r="1374">
          <cell r="A1374" t="str">
            <v>KLD_2721</v>
          </cell>
          <cell r="S1374" t="str">
            <v>KOLDA</v>
          </cell>
          <cell r="T1374" t="str">
            <v>ZIGUINCHOR</v>
          </cell>
        </row>
        <row r="1375">
          <cell r="A1375" t="str">
            <v>KLD_1091</v>
          </cell>
          <cell r="S1375" t="str">
            <v>KOLDA</v>
          </cell>
          <cell r="T1375" t="str">
            <v>ZIGUINCHOR</v>
          </cell>
        </row>
        <row r="1376">
          <cell r="A1376" t="str">
            <v>KLD_2732</v>
          </cell>
          <cell r="S1376" t="str">
            <v>SEDHIOU</v>
          </cell>
          <cell r="T1376" t="str">
            <v>ZIGUINCHOR</v>
          </cell>
        </row>
        <row r="1377">
          <cell r="A1377" t="str">
            <v>DBL_1092</v>
          </cell>
          <cell r="S1377" t="str">
            <v>TOUBA01</v>
          </cell>
          <cell r="T1377" t="str">
            <v>THIES</v>
          </cell>
        </row>
        <row r="1378">
          <cell r="A1378" t="str">
            <v>TMB_2736</v>
          </cell>
          <cell r="S1378" t="str">
            <v>ZIGUINCHOR</v>
          </cell>
          <cell r="T1378" t="str">
            <v>ZIGUINCHOR</v>
          </cell>
        </row>
        <row r="1379">
          <cell r="A1379" t="str">
            <v>TMB_1093</v>
          </cell>
          <cell r="S1379" t="str">
            <v>GOUDIRY</v>
          </cell>
          <cell r="T1379" t="str">
            <v>TAMBACOUNDA</v>
          </cell>
        </row>
        <row r="1380">
          <cell r="A1380" t="str">
            <v>KDG_1094</v>
          </cell>
          <cell r="S1380" t="str">
            <v>KEDOUGOU</v>
          </cell>
          <cell r="T1380" t="str">
            <v>TAMBACOUNDA</v>
          </cell>
        </row>
        <row r="1381">
          <cell r="A1381" t="str">
            <v>KLK_1095</v>
          </cell>
          <cell r="S1381" t="str">
            <v>KAOLACK</v>
          </cell>
          <cell r="T1381" t="str">
            <v>KAOLACK</v>
          </cell>
        </row>
        <row r="1382">
          <cell r="A1382" t="str">
            <v>KLD_1096</v>
          </cell>
          <cell r="S1382" t="str">
            <v>VELINGARA</v>
          </cell>
          <cell r="T1382" t="str">
            <v>ZIGUINCHOR</v>
          </cell>
        </row>
        <row r="1383">
          <cell r="A1383" t="str">
            <v>TMB_1097</v>
          </cell>
          <cell r="S1383" t="str">
            <v>GOUDIRY</v>
          </cell>
          <cell r="T1383" t="str">
            <v>TAMBACOUNDA</v>
          </cell>
        </row>
        <row r="1384">
          <cell r="A1384" t="str">
            <v>TMB_1098</v>
          </cell>
          <cell r="S1384" t="str">
            <v>GOUDIRY</v>
          </cell>
          <cell r="T1384" t="str">
            <v>TAMBACOUNDA</v>
          </cell>
        </row>
        <row r="1385">
          <cell r="A1385" t="str">
            <v>TMB_1099</v>
          </cell>
          <cell r="S1385" t="str">
            <v>GOUDIRY</v>
          </cell>
          <cell r="T1385" t="str">
            <v>TAMBACOUNDA</v>
          </cell>
        </row>
        <row r="1386">
          <cell r="A1386" t="str">
            <v>TMB_2800</v>
          </cell>
          <cell r="S1386" t="str">
            <v>TAMBACOUNDA</v>
          </cell>
          <cell r="T1386" t="str">
            <v>TAMBACOUNDA</v>
          </cell>
        </row>
        <row r="1387">
          <cell r="A1387" t="str">
            <v>MBR_1100</v>
          </cell>
          <cell r="S1387" t="str">
            <v>FATICK</v>
          </cell>
          <cell r="T1387" t="str">
            <v>KAOLACK</v>
          </cell>
        </row>
        <row r="1388">
          <cell r="A1388" t="str">
            <v>TMB_1101</v>
          </cell>
          <cell r="S1388" t="str">
            <v>TAMBA</v>
          </cell>
          <cell r="T1388" t="str">
            <v>TAMBACOUNDA</v>
          </cell>
        </row>
        <row r="1389">
          <cell r="A1389" t="str">
            <v>ZIG_1102</v>
          </cell>
          <cell r="S1389" t="str">
            <v>ZIGUINCHOR</v>
          </cell>
          <cell r="T1389" t="str">
            <v>ZIGUINCHOR</v>
          </cell>
        </row>
        <row r="1390">
          <cell r="A1390" t="str">
            <v>TMB_2802</v>
          </cell>
          <cell r="S1390" t="str">
            <v>KAFFRINE</v>
          </cell>
          <cell r="T1390" t="str">
            <v>KAOLACK</v>
          </cell>
        </row>
        <row r="1391">
          <cell r="A1391" t="str">
            <v>TMB_1103</v>
          </cell>
          <cell r="S1391" t="str">
            <v>GOUDIRY</v>
          </cell>
          <cell r="T1391" t="str">
            <v>TAMBACOUNDA</v>
          </cell>
        </row>
        <row r="1392">
          <cell r="A1392" t="str">
            <v>TMB_2801</v>
          </cell>
          <cell r="S1392" t="str">
            <v>KOLDA</v>
          </cell>
          <cell r="T1392" t="str">
            <v>ZIGUINCHOR</v>
          </cell>
        </row>
        <row r="1393">
          <cell r="A1393" t="str">
            <v>KLD_1104</v>
          </cell>
          <cell r="S1393" t="str">
            <v>VELINGARA</v>
          </cell>
          <cell r="T1393" t="str">
            <v>ZIGUINCHOR</v>
          </cell>
        </row>
        <row r="1394">
          <cell r="A1394" t="str">
            <v>THS_1105</v>
          </cell>
          <cell r="S1394" t="str">
            <v>THIES</v>
          </cell>
          <cell r="T1394" t="str">
            <v>THIES</v>
          </cell>
        </row>
        <row r="1395">
          <cell r="A1395" t="str">
            <v>THS_1106</v>
          </cell>
          <cell r="S1395" t="str">
            <v>TIVAOUANE</v>
          </cell>
          <cell r="T1395" t="str">
            <v>THIES</v>
          </cell>
        </row>
        <row r="1396">
          <cell r="A1396" t="str">
            <v>THS_1107</v>
          </cell>
          <cell r="S1396" t="str">
            <v>TIVAOUANE</v>
          </cell>
          <cell r="T1396" t="str">
            <v>THIES</v>
          </cell>
        </row>
        <row r="1397">
          <cell r="A1397" t="str">
            <v>THS_1108</v>
          </cell>
          <cell r="S1397" t="str">
            <v>TIVAOUANE</v>
          </cell>
          <cell r="T1397" t="str">
            <v>THIES</v>
          </cell>
        </row>
        <row r="1398">
          <cell r="A1398" t="str">
            <v>KDG_1109</v>
          </cell>
          <cell r="S1398" t="str">
            <v>KEDOUGOU</v>
          </cell>
          <cell r="T1398" t="str">
            <v>TAMBACOUNDA</v>
          </cell>
        </row>
        <row r="1399">
          <cell r="A1399" t="str">
            <v>KLK_1110</v>
          </cell>
          <cell r="S1399" t="str">
            <v>KAOLACK</v>
          </cell>
          <cell r="T1399" t="str">
            <v>KAOLACK</v>
          </cell>
        </row>
        <row r="1400">
          <cell r="A1400" t="str">
            <v>KLK_2729</v>
          </cell>
          <cell r="S1400" t="str">
            <v>KOUNGHEUL</v>
          </cell>
          <cell r="T1400" t="str">
            <v>TAMBACOUNDA</v>
          </cell>
        </row>
        <row r="1401">
          <cell r="A1401" t="str">
            <v>TMB_1111</v>
          </cell>
          <cell r="S1401" t="str">
            <v>KOUNGHEUL</v>
          </cell>
          <cell r="T1401" t="str">
            <v>TAMBACOUNDA</v>
          </cell>
        </row>
        <row r="1402">
          <cell r="A1402" t="str">
            <v>TMB_1112</v>
          </cell>
          <cell r="S1402" t="str">
            <v>KOUNGHEUL</v>
          </cell>
          <cell r="T1402" t="str">
            <v>TAMBACOUNDA</v>
          </cell>
        </row>
        <row r="1403">
          <cell r="A1403" t="str">
            <v>KLK_2730</v>
          </cell>
          <cell r="S1403" t="str">
            <v>KAFFRINE</v>
          </cell>
          <cell r="T1403" t="str">
            <v>KAOLACK</v>
          </cell>
        </row>
        <row r="1404">
          <cell r="A1404" t="str">
            <v>ORG_2555</v>
          </cell>
          <cell r="S1404" t="str">
            <v>MATAM</v>
          </cell>
          <cell r="T1404" t="str">
            <v>SAINT-LOUIS</v>
          </cell>
        </row>
        <row r="1405">
          <cell r="A1405" t="str">
            <v>BKL_1113</v>
          </cell>
          <cell r="S1405" t="str">
            <v>BAKEL</v>
          </cell>
          <cell r="T1405" t="str">
            <v>SAINT-LOUIS</v>
          </cell>
        </row>
        <row r="1406">
          <cell r="A1406" t="str">
            <v>BKL_1114</v>
          </cell>
          <cell r="S1406" t="str">
            <v>BAKEL</v>
          </cell>
          <cell r="T1406" t="str">
            <v>SAINT-LOUIS</v>
          </cell>
        </row>
        <row r="1407">
          <cell r="A1407" t="str">
            <v>KLK_1115</v>
          </cell>
          <cell r="S1407" t="str">
            <v>KOUNGHEUL</v>
          </cell>
          <cell r="T1407" t="str">
            <v>TAMBACOUNDA</v>
          </cell>
        </row>
        <row r="1408">
          <cell r="A1408" t="str">
            <v>KLK_1116</v>
          </cell>
          <cell r="S1408" t="str">
            <v>KOUNGHEUL</v>
          </cell>
          <cell r="T1408" t="str">
            <v>TAMBACOUNDA</v>
          </cell>
        </row>
        <row r="1409">
          <cell r="A1409" t="str">
            <v>KLK_1117</v>
          </cell>
          <cell r="S1409" t="str">
            <v>KOUNGHEUL</v>
          </cell>
          <cell r="T1409" t="str">
            <v>TAMBACOUNDA</v>
          </cell>
        </row>
        <row r="1410">
          <cell r="A1410" t="str">
            <v>KLD_1118</v>
          </cell>
          <cell r="S1410" t="str">
            <v>VELINGARA</v>
          </cell>
          <cell r="T1410" t="str">
            <v>ZIGUINCHOR</v>
          </cell>
        </row>
        <row r="1411">
          <cell r="A1411" t="str">
            <v>TMB_1119</v>
          </cell>
          <cell r="S1411" t="str">
            <v>KOUNGHEUL</v>
          </cell>
          <cell r="T1411" t="str">
            <v>TAMBACOUNDA</v>
          </cell>
        </row>
        <row r="1412">
          <cell r="A1412" t="str">
            <v>DKR_1120</v>
          </cell>
          <cell r="S1412" t="str">
            <v>RUFISQUE</v>
          </cell>
          <cell r="T1412" t="str">
            <v>DAKAR</v>
          </cell>
        </row>
        <row r="1413">
          <cell r="A1413" t="str">
            <v>DKR_2637</v>
          </cell>
          <cell r="S1413" t="str">
            <v>RUFISQUE</v>
          </cell>
          <cell r="T1413" t="str">
            <v>DAKAR</v>
          </cell>
        </row>
        <row r="1414">
          <cell r="A1414" t="str">
            <v>DKR_2776</v>
          </cell>
          <cell r="S1414" t="str">
            <v>DAKAR</v>
          </cell>
          <cell r="T1414" t="str">
            <v>DAKAR</v>
          </cell>
        </row>
        <row r="1415">
          <cell r="A1415" t="str">
            <v>DKR_2831</v>
          </cell>
          <cell r="S1415" t="str">
            <v>Dakar</v>
          </cell>
          <cell r="T1415" t="str">
            <v>DAKAR</v>
          </cell>
        </row>
        <row r="1416">
          <cell r="A1416" t="str">
            <v>KDG_1121</v>
          </cell>
          <cell r="S1416" t="str">
            <v>KEDOUGOU</v>
          </cell>
          <cell r="T1416" t="str">
            <v>TAMBACOUNDA</v>
          </cell>
        </row>
        <row r="1417">
          <cell r="A1417" t="str">
            <v>THS_1122</v>
          </cell>
          <cell r="S1417" t="str">
            <v>TIVAOUANE</v>
          </cell>
          <cell r="T1417" t="str">
            <v>THIES</v>
          </cell>
        </row>
        <row r="1418">
          <cell r="A1418" t="str">
            <v>ORG_2556</v>
          </cell>
          <cell r="S1418" t="str">
            <v>MATAM</v>
          </cell>
          <cell r="T1418" t="str">
            <v>SAINT-LOUIS</v>
          </cell>
        </row>
        <row r="1419">
          <cell r="A1419" t="str">
            <v>KDG_1123</v>
          </cell>
          <cell r="S1419" t="str">
            <v>KEDOUGOU</v>
          </cell>
          <cell r="T1419" t="str">
            <v>TAMBACOUNDA</v>
          </cell>
        </row>
        <row r="1420">
          <cell r="A1420" t="str">
            <v>TMB_2684</v>
          </cell>
          <cell r="S1420" t="str">
            <v>KOUNGHEUL</v>
          </cell>
          <cell r="T1420" t="str">
            <v>TAMBACOUNDA</v>
          </cell>
        </row>
        <row r="1421">
          <cell r="A1421" t="str">
            <v>TMB_1124</v>
          </cell>
          <cell r="S1421" t="str">
            <v>GOUDIRY</v>
          </cell>
          <cell r="T1421" t="str">
            <v>TAMBACOUNDA</v>
          </cell>
        </row>
        <row r="1422">
          <cell r="A1422" t="str">
            <v>TMB_1125</v>
          </cell>
          <cell r="S1422" t="str">
            <v>TAMBA</v>
          </cell>
          <cell r="T1422" t="str">
            <v>TAMBACOUNDA</v>
          </cell>
        </row>
        <row r="1423">
          <cell r="A1423" t="str">
            <v>TMB_1126</v>
          </cell>
          <cell r="S1423" t="str">
            <v>TAMBA</v>
          </cell>
          <cell r="T1423" t="str">
            <v>TAMBACOUNDA</v>
          </cell>
        </row>
        <row r="1424">
          <cell r="A1424" t="str">
            <v>KLD_2733</v>
          </cell>
          <cell r="S1424" t="str">
            <v>SEDHIOU</v>
          </cell>
          <cell r="T1424" t="str">
            <v>ZIGUINCHOR</v>
          </cell>
        </row>
        <row r="1425">
          <cell r="A1425" t="str">
            <v>TMB_1129</v>
          </cell>
          <cell r="S1425" t="str">
            <v>KOUNGHEUL</v>
          </cell>
          <cell r="T1425" t="str">
            <v>TAMBACOUNDA</v>
          </cell>
        </row>
        <row r="1426">
          <cell r="A1426" t="str">
            <v>TMB_1130</v>
          </cell>
          <cell r="S1426" t="str">
            <v>GOUDIRY</v>
          </cell>
          <cell r="T1426" t="str">
            <v>TAMBACOUNDA</v>
          </cell>
        </row>
        <row r="1427">
          <cell r="A1427" t="str">
            <v>TMB_1131</v>
          </cell>
          <cell r="S1427" t="str">
            <v>TAMBA</v>
          </cell>
          <cell r="T1427" t="str">
            <v>TAMBACOUNDA</v>
          </cell>
        </row>
        <row r="1428">
          <cell r="A1428" t="str">
            <v>TMB_1132</v>
          </cell>
          <cell r="S1428" t="str">
            <v>KOUNGHEUL</v>
          </cell>
          <cell r="T1428" t="str">
            <v>TAMBACOUNDA</v>
          </cell>
        </row>
        <row r="1429">
          <cell r="A1429" t="str">
            <v>KLK_2731</v>
          </cell>
          <cell r="S1429" t="str">
            <v>KAFFRINE</v>
          </cell>
          <cell r="T1429" t="str">
            <v>KAOLACK</v>
          </cell>
        </row>
        <row r="1430">
          <cell r="A1430" t="str">
            <v>DBL_1133</v>
          </cell>
          <cell r="S1430" t="str">
            <v>LINGUERE</v>
          </cell>
          <cell r="T1430" t="str">
            <v>SAINT-LOUIS</v>
          </cell>
        </row>
        <row r="1431">
          <cell r="A1431" t="str">
            <v>TMB_2807</v>
          </cell>
          <cell r="S1431" t="str">
            <v>TAMBACOUNDA</v>
          </cell>
          <cell r="T1431" t="str">
            <v>TAMBACOUNDA</v>
          </cell>
        </row>
        <row r="1432">
          <cell r="A1432" t="str">
            <v>DKR_1134</v>
          </cell>
          <cell r="S1432" t="str">
            <v>RUFISQUE</v>
          </cell>
          <cell r="T1432" t="str">
            <v>DAKAR</v>
          </cell>
        </row>
        <row r="1433">
          <cell r="A1433" t="str">
            <v>KDG_2713</v>
          </cell>
          <cell r="S1433" t="str">
            <v>Kedougou</v>
          </cell>
          <cell r="T1433" t="str">
            <v>KAOLACK</v>
          </cell>
        </row>
        <row r="1434">
          <cell r="A1434" t="str">
            <v>DBL_1135</v>
          </cell>
          <cell r="S1434" t="str">
            <v>LINGUERE</v>
          </cell>
          <cell r="T1434" t="str">
            <v>THIES</v>
          </cell>
        </row>
        <row r="1435">
          <cell r="A1435" t="str">
            <v>THS_1136</v>
          </cell>
          <cell r="S1435" t="str">
            <v>THIES</v>
          </cell>
          <cell r="T1435" t="str">
            <v>THIES</v>
          </cell>
        </row>
        <row r="1436">
          <cell r="A1436" t="str">
            <v>BKL_1137</v>
          </cell>
          <cell r="S1436" t="str">
            <v>GOUDIRY</v>
          </cell>
          <cell r="T1436" t="str">
            <v>TAMBACOUNDA</v>
          </cell>
        </row>
        <row r="1437">
          <cell r="A1437" t="str">
            <v>TMB_2809</v>
          </cell>
          <cell r="S1437" t="str">
            <v>TAMBACOUNDA</v>
          </cell>
          <cell r="T1437" t="str">
            <v>TAMBACOUNDA</v>
          </cell>
        </row>
        <row r="1438">
          <cell r="A1438" t="str">
            <v>ORG_2557</v>
          </cell>
          <cell r="S1438" t="str">
            <v>MATAM</v>
          </cell>
          <cell r="T1438" t="str">
            <v>SAINT-LOUIS</v>
          </cell>
        </row>
        <row r="1439">
          <cell r="A1439" t="str">
            <v>DBL_1138</v>
          </cell>
          <cell r="S1439" t="str">
            <v>DIOURBEL</v>
          </cell>
          <cell r="T1439" t="str">
            <v>THIES</v>
          </cell>
        </row>
        <row r="1440">
          <cell r="A1440" t="str">
            <v>KLD_1139</v>
          </cell>
          <cell r="S1440" t="str">
            <v>KOLDA</v>
          </cell>
          <cell r="T1440" t="str">
            <v>ZIGUINCHOR</v>
          </cell>
        </row>
        <row r="1441">
          <cell r="A1441" t="str">
            <v>KDG_1140</v>
          </cell>
          <cell r="S1441" t="str">
            <v>KEDOUGOU</v>
          </cell>
          <cell r="T1441" t="str">
            <v>TAMBACOUNDA</v>
          </cell>
        </row>
        <row r="1442">
          <cell r="A1442" t="str">
            <v>KDG_2702</v>
          </cell>
          <cell r="S1442" t="str">
            <v>KEDOUGOU</v>
          </cell>
          <cell r="T1442" t="str">
            <v>TAMBACOUNDA</v>
          </cell>
        </row>
        <row r="1443">
          <cell r="A1443" t="str">
            <v>THS_1141</v>
          </cell>
          <cell r="S1443" t="str">
            <v>THIES</v>
          </cell>
          <cell r="T1443" t="str">
            <v>THIES</v>
          </cell>
        </row>
        <row r="1444">
          <cell r="A1444" t="str">
            <v>STL_1142</v>
          </cell>
          <cell r="S1444" t="str">
            <v>SAINT-LOUIS</v>
          </cell>
          <cell r="T1444" t="str">
            <v>SAINT-LOUIS</v>
          </cell>
        </row>
        <row r="1445">
          <cell r="A1445" t="str">
            <v>KDG_1143</v>
          </cell>
          <cell r="S1445" t="str">
            <v>KEDOUGOU</v>
          </cell>
          <cell r="T1445" t="str">
            <v>TAMBACOUNDA</v>
          </cell>
        </row>
        <row r="1446">
          <cell r="A1446" t="str">
            <v>KLK_1144</v>
          </cell>
          <cell r="S1446" t="str">
            <v>KAFFRINE</v>
          </cell>
          <cell r="T1446" t="str">
            <v>KAOLACK</v>
          </cell>
        </row>
        <row r="1447">
          <cell r="A1447" t="str">
            <v>KLK_1145</v>
          </cell>
          <cell r="S1447" t="str">
            <v>KAOLACK</v>
          </cell>
          <cell r="T1447" t="str">
            <v>KAOLACK</v>
          </cell>
        </row>
        <row r="1448">
          <cell r="A1448" t="str">
            <v>KLD_2757</v>
          </cell>
          <cell r="S1448" t="str">
            <v>Kolda</v>
          </cell>
          <cell r="T1448" t="str">
            <v>ZIGUINCHOR</v>
          </cell>
        </row>
        <row r="1449">
          <cell r="A1449" t="str">
            <v>STL_2780</v>
          </cell>
          <cell r="S1449" t="str">
            <v>LOUGA</v>
          </cell>
          <cell r="T1449" t="str">
            <v>SAINT-LOUIS</v>
          </cell>
        </row>
        <row r="1450">
          <cell r="A1450" t="str">
            <v>KLK_2755</v>
          </cell>
          <cell r="S1450" t="str">
            <v>MBOUR</v>
          </cell>
          <cell r="T1450" t="str">
            <v>THIES</v>
          </cell>
        </row>
        <row r="1451">
          <cell r="A1451" t="str">
            <v>DKR_1146</v>
          </cell>
          <cell r="S1451" t="str">
            <v>RUFISQUE</v>
          </cell>
          <cell r="T1451" t="str">
            <v>DAKAR</v>
          </cell>
        </row>
        <row r="1452">
          <cell r="A1452" t="str">
            <v>TMB_2719</v>
          </cell>
          <cell r="S1452" t="str">
            <v>TAMBA</v>
          </cell>
          <cell r="T1452" t="str">
            <v>TAMBACOUNDA</v>
          </cell>
        </row>
        <row r="1453">
          <cell r="A1453" t="str">
            <v>STL_1147</v>
          </cell>
          <cell r="S1453" t="str">
            <v>SAINT-LOUIS</v>
          </cell>
          <cell r="T1453" t="str">
            <v>SAINT-LOUIS</v>
          </cell>
        </row>
        <row r="1454">
          <cell r="A1454" t="str">
            <v>DKR_1148</v>
          </cell>
          <cell r="S1454" t="str">
            <v>SACRE_COEUR</v>
          </cell>
          <cell r="T1454" t="str">
            <v>DAKAR</v>
          </cell>
        </row>
        <row r="1455">
          <cell r="A1455" t="str">
            <v>DKR_1149</v>
          </cell>
          <cell r="S1455" t="str">
            <v>SACRE_COEUR</v>
          </cell>
          <cell r="T1455" t="str">
            <v>DAKAR</v>
          </cell>
        </row>
        <row r="1456">
          <cell r="A1456" t="str">
            <v>DKR_1150</v>
          </cell>
          <cell r="S1456" t="str">
            <v>SACRE_COEUR</v>
          </cell>
          <cell r="T1456" t="str">
            <v>DAKAR</v>
          </cell>
        </row>
        <row r="1457">
          <cell r="A1457" t="str">
            <v>DKR_1151</v>
          </cell>
          <cell r="S1457" t="str">
            <v>SACRE_COEUR</v>
          </cell>
          <cell r="T1457" t="str">
            <v>DAKAR</v>
          </cell>
        </row>
        <row r="1458">
          <cell r="A1458" t="str">
            <v>DKR_1152</v>
          </cell>
          <cell r="S1458" t="str">
            <v>SACRE_COEUR</v>
          </cell>
          <cell r="T1458" t="str">
            <v>DAKAR</v>
          </cell>
        </row>
        <row r="1459">
          <cell r="A1459" t="str">
            <v>DKR_1153</v>
          </cell>
          <cell r="S1459" t="str">
            <v>SACRE_COEUR</v>
          </cell>
          <cell r="T1459" t="str">
            <v>DAKAR</v>
          </cell>
        </row>
        <row r="1460">
          <cell r="A1460" t="str">
            <v>DKR_1154</v>
          </cell>
          <cell r="S1460" t="str">
            <v>SACRE_COEUR</v>
          </cell>
          <cell r="T1460" t="str">
            <v>DAKAR</v>
          </cell>
        </row>
        <row r="1461">
          <cell r="A1461" t="str">
            <v>DKR_1155</v>
          </cell>
          <cell r="S1461" t="str">
            <v>SACRE_COEUR</v>
          </cell>
          <cell r="T1461" t="str">
            <v>DAKAR</v>
          </cell>
        </row>
        <row r="1462">
          <cell r="A1462" t="str">
            <v>DKR_1156</v>
          </cell>
          <cell r="S1462" t="str">
            <v>SACRE_COEUR</v>
          </cell>
          <cell r="T1462" t="str">
            <v>DAKAR</v>
          </cell>
        </row>
        <row r="1463">
          <cell r="A1463" t="str">
            <v>DKR_1157</v>
          </cell>
          <cell r="S1463" t="str">
            <v>SACRE_COEUR</v>
          </cell>
          <cell r="T1463" t="str">
            <v>DAKAR</v>
          </cell>
        </row>
        <row r="1464">
          <cell r="A1464" t="str">
            <v>DKR_1158</v>
          </cell>
          <cell r="S1464" t="str">
            <v>GUEDIAWAYE</v>
          </cell>
          <cell r="T1464" t="str">
            <v>DAKAR</v>
          </cell>
        </row>
        <row r="1465">
          <cell r="A1465" t="str">
            <v>DKR_1159</v>
          </cell>
          <cell r="S1465" t="str">
            <v>GUEDIAWAYE</v>
          </cell>
          <cell r="T1465" t="str">
            <v>DAKAR</v>
          </cell>
        </row>
        <row r="1466">
          <cell r="A1466" t="str">
            <v>DKR_1160</v>
          </cell>
          <cell r="S1466" t="str">
            <v>GUEDIAWAYE</v>
          </cell>
          <cell r="T1466" t="str">
            <v>DAKAR</v>
          </cell>
        </row>
        <row r="1467">
          <cell r="A1467" t="str">
            <v>DKR_1161</v>
          </cell>
          <cell r="S1467" t="str">
            <v>GUEDIAWAYE</v>
          </cell>
          <cell r="T1467" t="str">
            <v>DAKAR</v>
          </cell>
        </row>
        <row r="1468">
          <cell r="A1468" t="str">
            <v>DKR_1162</v>
          </cell>
          <cell r="S1468" t="str">
            <v>GUEDIAWAYE</v>
          </cell>
          <cell r="T1468" t="str">
            <v>DAKAR</v>
          </cell>
        </row>
        <row r="1469">
          <cell r="A1469" t="str">
            <v>DKR_2650</v>
          </cell>
          <cell r="S1469" t="str">
            <v>GUEDIAWAYE</v>
          </cell>
          <cell r="T1469" t="str">
            <v>DAKAR</v>
          </cell>
        </row>
        <row r="1470">
          <cell r="A1470" t="str">
            <v>DBL_1163</v>
          </cell>
          <cell r="S1470" t="str">
            <v>LINGUERE</v>
          </cell>
          <cell r="T1470" t="str">
            <v>SAINT-LOUIS</v>
          </cell>
        </row>
        <row r="1471">
          <cell r="A1471" t="str">
            <v>KDG_1164</v>
          </cell>
          <cell r="S1471" t="str">
            <v>KEDOUGOU</v>
          </cell>
          <cell r="T1471" t="str">
            <v>TAMBACOUNDA</v>
          </cell>
        </row>
        <row r="1472">
          <cell r="A1472" t="str">
            <v>DBL_1165</v>
          </cell>
          <cell r="S1472" t="str">
            <v>LINGUERE</v>
          </cell>
          <cell r="T1472" t="str">
            <v>THIES</v>
          </cell>
        </row>
        <row r="1473">
          <cell r="A1473" t="str">
            <v>DBL_1166</v>
          </cell>
          <cell r="S1473" t="str">
            <v>LINGUERE</v>
          </cell>
          <cell r="T1473" t="str">
            <v>SAINT-LOUIS</v>
          </cell>
        </row>
        <row r="1474">
          <cell r="A1474" t="str">
            <v>DBL_1167</v>
          </cell>
          <cell r="S1474" t="str">
            <v>LINGUERE</v>
          </cell>
          <cell r="T1474" t="str">
            <v>THIES</v>
          </cell>
        </row>
        <row r="1475">
          <cell r="A1475" t="str">
            <v>DBL_1168</v>
          </cell>
          <cell r="S1475" t="str">
            <v>LINGUERE</v>
          </cell>
          <cell r="T1475" t="str">
            <v>THIES</v>
          </cell>
        </row>
        <row r="1476">
          <cell r="A1476" t="str">
            <v>KLD_1169</v>
          </cell>
          <cell r="S1476" t="str">
            <v>KOLDA</v>
          </cell>
          <cell r="T1476" t="str">
            <v>ZIGUINCHOR</v>
          </cell>
        </row>
        <row r="1477">
          <cell r="A1477" t="str">
            <v>KLD_1170</v>
          </cell>
          <cell r="S1477" t="str">
            <v>VELINGARA</v>
          </cell>
          <cell r="T1477" t="str">
            <v>ZIGUINCHOR</v>
          </cell>
        </row>
        <row r="1478">
          <cell r="A1478" t="str">
            <v>KLD_1171</v>
          </cell>
          <cell r="S1478" t="str">
            <v>VELINGARA</v>
          </cell>
          <cell r="T1478" t="str">
            <v>ZIGUINCHOR</v>
          </cell>
        </row>
        <row r="1479">
          <cell r="A1479" t="str">
            <v>KLD_1172</v>
          </cell>
          <cell r="S1479" t="str">
            <v>VELINGARA</v>
          </cell>
          <cell r="T1479" t="str">
            <v>ZIGUINCHOR</v>
          </cell>
        </row>
        <row r="1480">
          <cell r="A1480" t="str">
            <v>BKL_1173</v>
          </cell>
          <cell r="S1480" t="str">
            <v>BAKEL</v>
          </cell>
          <cell r="T1480" t="str">
            <v>SAINT-LOUIS</v>
          </cell>
        </row>
        <row r="1481">
          <cell r="A1481" t="str">
            <v>STL_1174</v>
          </cell>
          <cell r="S1481" t="str">
            <v>LOUGA</v>
          </cell>
          <cell r="T1481" t="str">
            <v>SAINT-LOUIS</v>
          </cell>
        </row>
        <row r="1482">
          <cell r="A1482" t="str">
            <v>STL_1175</v>
          </cell>
          <cell r="S1482" t="str">
            <v>LOUGA</v>
          </cell>
          <cell r="T1482" t="str">
            <v>SAINT-LOUIS</v>
          </cell>
        </row>
        <row r="1483">
          <cell r="A1483" t="str">
            <v>STL_1176</v>
          </cell>
          <cell r="S1483" t="str">
            <v>LOUGA</v>
          </cell>
          <cell r="T1483" t="str">
            <v>SAINT-LOUIS</v>
          </cell>
        </row>
        <row r="1484">
          <cell r="A1484" t="str">
            <v>NDM_1177</v>
          </cell>
          <cell r="S1484" t="str">
            <v>NDIOUM</v>
          </cell>
          <cell r="T1484" t="str">
            <v>SAINT-LOUIS</v>
          </cell>
        </row>
        <row r="1485">
          <cell r="A1485" t="str">
            <v>STL_1178</v>
          </cell>
          <cell r="S1485" t="str">
            <v>LOUGA</v>
          </cell>
          <cell r="T1485" t="str">
            <v>SAINT-LOUIS</v>
          </cell>
        </row>
        <row r="1486">
          <cell r="A1486" t="str">
            <v>STL_1179</v>
          </cell>
          <cell r="S1486" t="str">
            <v>LOUGA</v>
          </cell>
          <cell r="T1486" t="str">
            <v>SAINT-LOUIS</v>
          </cell>
        </row>
        <row r="1487">
          <cell r="A1487" t="str">
            <v>STL_1180</v>
          </cell>
          <cell r="S1487" t="str">
            <v>LOUGA</v>
          </cell>
          <cell r="T1487" t="str">
            <v>SAINT-LOUIS</v>
          </cell>
        </row>
        <row r="1488">
          <cell r="A1488" t="str">
            <v>STL_1181</v>
          </cell>
          <cell r="S1488" t="str">
            <v>LOUGA</v>
          </cell>
          <cell r="T1488" t="str">
            <v>SAINT-LOUIS</v>
          </cell>
        </row>
        <row r="1489">
          <cell r="A1489" t="str">
            <v>STL_1182</v>
          </cell>
          <cell r="S1489" t="str">
            <v>LOUGA</v>
          </cell>
          <cell r="T1489" t="str">
            <v>SAINT-LOUIS</v>
          </cell>
        </row>
        <row r="1490">
          <cell r="A1490" t="str">
            <v>STL_1183</v>
          </cell>
          <cell r="S1490" t="str">
            <v>LOUGA</v>
          </cell>
          <cell r="T1490" t="str">
            <v>SAINT-LOUIS</v>
          </cell>
        </row>
        <row r="1491">
          <cell r="A1491" t="str">
            <v>STL_1184</v>
          </cell>
          <cell r="S1491" t="str">
            <v>LOUGA</v>
          </cell>
          <cell r="T1491" t="str">
            <v>SAINT-LOUIS</v>
          </cell>
        </row>
        <row r="1492">
          <cell r="A1492" t="str">
            <v>STL_1185</v>
          </cell>
          <cell r="S1492" t="str">
            <v>LOUGA</v>
          </cell>
          <cell r="T1492" t="str">
            <v>SAINT-LOUIS</v>
          </cell>
        </row>
        <row r="1493">
          <cell r="A1493" t="str">
            <v>STL_1186</v>
          </cell>
          <cell r="S1493" t="str">
            <v>LOUGA</v>
          </cell>
          <cell r="T1493" t="str">
            <v>SAINT-LOUIS</v>
          </cell>
        </row>
        <row r="1494">
          <cell r="A1494" t="str">
            <v>STL_1187</v>
          </cell>
          <cell r="S1494" t="str">
            <v>LOUGA</v>
          </cell>
          <cell r="T1494" t="str">
            <v>SAINT-LOUIS</v>
          </cell>
        </row>
        <row r="1495">
          <cell r="A1495" t="str">
            <v>STL_1188</v>
          </cell>
          <cell r="S1495" t="str">
            <v>LOUGA</v>
          </cell>
          <cell r="T1495" t="str">
            <v>SAINT-LOUIS</v>
          </cell>
        </row>
        <row r="1496">
          <cell r="A1496" t="str">
            <v>STL_1189</v>
          </cell>
          <cell r="S1496" t="str">
            <v>LOUGA</v>
          </cell>
          <cell r="T1496" t="str">
            <v>SAINT-LOUIS</v>
          </cell>
        </row>
        <row r="1497">
          <cell r="A1497" t="str">
            <v>STL_1190</v>
          </cell>
          <cell r="S1497" t="str">
            <v>LOUGA</v>
          </cell>
          <cell r="T1497" t="str">
            <v>SAINT-LOUIS</v>
          </cell>
        </row>
        <row r="1498">
          <cell r="A1498" t="str">
            <v>STL_1191</v>
          </cell>
          <cell r="S1498" t="str">
            <v>LOUGA</v>
          </cell>
          <cell r="T1498" t="str">
            <v>SAINT-LOUIS</v>
          </cell>
        </row>
        <row r="1499">
          <cell r="A1499" t="str">
            <v>STL_1192</v>
          </cell>
          <cell r="S1499" t="str">
            <v>LOUGA</v>
          </cell>
          <cell r="T1499" t="str">
            <v>SAINT-LOUIS</v>
          </cell>
        </row>
        <row r="1500">
          <cell r="A1500" t="str">
            <v>STL_1193</v>
          </cell>
          <cell r="S1500" t="str">
            <v>LOUGA</v>
          </cell>
          <cell r="T1500" t="str">
            <v>SAINT-LOUIS</v>
          </cell>
        </row>
        <row r="1501">
          <cell r="A1501" t="str">
            <v>STL_2685</v>
          </cell>
          <cell r="S1501" t="str">
            <v>LOUGA</v>
          </cell>
          <cell r="T1501" t="str">
            <v>SAINT-LOUIS</v>
          </cell>
        </row>
        <row r="1502">
          <cell r="A1502" t="str">
            <v>STL_2785</v>
          </cell>
          <cell r="S1502" t="str">
            <v>LOUGA</v>
          </cell>
          <cell r="T1502" t="str">
            <v>SAINT-LOUIS</v>
          </cell>
        </row>
        <row r="1503">
          <cell r="A1503" t="str">
            <v>STL_2782</v>
          </cell>
          <cell r="S1503" t="str">
            <v>LOUGA</v>
          </cell>
          <cell r="T1503" t="str">
            <v>SAINT-LOUIS</v>
          </cell>
        </row>
        <row r="1504">
          <cell r="A1504" t="str">
            <v>STL_2824</v>
          </cell>
          <cell r="S1504" t="str">
            <v>LOUGA</v>
          </cell>
          <cell r="T1504" t="str">
            <v>SAINT-LOUIS</v>
          </cell>
        </row>
        <row r="1505">
          <cell r="A1505" t="str">
            <v>TMB_2817</v>
          </cell>
          <cell r="S1505" t="str">
            <v>TAMBACOUNDA</v>
          </cell>
          <cell r="T1505" t="str">
            <v>TAMBACOUNDA</v>
          </cell>
        </row>
        <row r="1506">
          <cell r="A1506" t="str">
            <v>DBL_1195</v>
          </cell>
          <cell r="S1506" t="str">
            <v>LINGUERE</v>
          </cell>
          <cell r="T1506" t="str">
            <v>THIES</v>
          </cell>
        </row>
        <row r="1507">
          <cell r="A1507" t="str">
            <v>MBR_1196</v>
          </cell>
          <cell r="S1507" t="str">
            <v>FATICK</v>
          </cell>
          <cell r="T1507" t="str">
            <v>KAOLACK</v>
          </cell>
        </row>
        <row r="1508">
          <cell r="A1508" t="str">
            <v>MBR_1197</v>
          </cell>
          <cell r="S1508" t="str">
            <v>MBOUR</v>
          </cell>
          <cell r="T1508" t="str">
            <v>THIES</v>
          </cell>
        </row>
        <row r="1509">
          <cell r="A1509" t="str">
            <v>DBL_1198</v>
          </cell>
          <cell r="S1509" t="str">
            <v>LINGUERE</v>
          </cell>
          <cell r="T1509" t="str">
            <v>THIES</v>
          </cell>
        </row>
        <row r="1510">
          <cell r="A1510" t="str">
            <v>ORG_1199</v>
          </cell>
          <cell r="S1510" t="str">
            <v>MATAM</v>
          </cell>
          <cell r="T1510" t="str">
            <v>SAINT-LOUIS</v>
          </cell>
        </row>
        <row r="1511">
          <cell r="A1511" t="str">
            <v>KLK_1200</v>
          </cell>
          <cell r="S1511" t="str">
            <v>KAFFRINE</v>
          </cell>
          <cell r="T1511" t="str">
            <v>KAOLACK</v>
          </cell>
        </row>
        <row r="1512">
          <cell r="A1512" t="str">
            <v>STL_2657</v>
          </cell>
          <cell r="S1512" t="str">
            <v>MATAM</v>
          </cell>
          <cell r="T1512" t="str">
            <v>SAINT-LOUIS</v>
          </cell>
        </row>
        <row r="1513">
          <cell r="A1513" t="str">
            <v>STL_2749</v>
          </cell>
          <cell r="S1513" t="str">
            <v>LOUGA</v>
          </cell>
          <cell r="T1513" t="str">
            <v>SAINT-LOUIS</v>
          </cell>
        </row>
        <row r="1514">
          <cell r="A1514" t="str">
            <v>ORG_1201</v>
          </cell>
          <cell r="S1514" t="str">
            <v>MATAM</v>
          </cell>
          <cell r="T1514" t="str">
            <v>SAINT-LOUIS</v>
          </cell>
        </row>
        <row r="1515">
          <cell r="A1515" t="str">
            <v>DBL_1202</v>
          </cell>
          <cell r="S1515" t="str">
            <v>KOUNGHEUL</v>
          </cell>
          <cell r="T1515" t="str">
            <v>TAMBACOUNDA</v>
          </cell>
        </row>
        <row r="1516">
          <cell r="A1516" t="str">
            <v>KLK_1203</v>
          </cell>
          <cell r="S1516" t="str">
            <v>KOUNGHEUL</v>
          </cell>
          <cell r="T1516" t="str">
            <v>TAMBACOUNDA</v>
          </cell>
        </row>
        <row r="1517">
          <cell r="A1517" t="str">
            <v>NDM_1204</v>
          </cell>
          <cell r="S1517" t="str">
            <v>NDIOUM</v>
          </cell>
          <cell r="T1517" t="str">
            <v>SAINT-LOUIS</v>
          </cell>
        </row>
        <row r="1518">
          <cell r="A1518" t="str">
            <v>KLK_2814</v>
          </cell>
          <cell r="S1518" t="str">
            <v>TIVAOUANE</v>
          </cell>
          <cell r="T1518" t="str">
            <v>THIES</v>
          </cell>
        </row>
        <row r="1519">
          <cell r="A1519" t="str">
            <v>TMB_2756</v>
          </cell>
          <cell r="S1519" t="str">
            <v>TAMBACOUNDA</v>
          </cell>
          <cell r="T1519" t="str">
            <v>TAMBACOUNDA</v>
          </cell>
        </row>
        <row r="1520">
          <cell r="A1520" t="str">
            <v>KLK_1205</v>
          </cell>
          <cell r="S1520" t="str">
            <v>KAFFRINE</v>
          </cell>
          <cell r="T1520" t="str">
            <v>KAOLACK</v>
          </cell>
        </row>
        <row r="1521">
          <cell r="A1521" t="str">
            <v>ZIG_2736</v>
          </cell>
          <cell r="S1521" t="e">
            <v>#N/A</v>
          </cell>
          <cell r="T1521" t="e">
            <v>#N/A</v>
          </cell>
        </row>
        <row r="1522">
          <cell r="A1522" t="str">
            <v>TMB_1207</v>
          </cell>
          <cell r="S1522" t="str">
            <v>TAMBA</v>
          </cell>
          <cell r="T1522" t="str">
            <v>TAMBACOUNDA</v>
          </cell>
        </row>
        <row r="1523">
          <cell r="A1523" t="str">
            <v>KDG_1208</v>
          </cell>
          <cell r="S1523" t="str">
            <v>KEDOUGOU</v>
          </cell>
          <cell r="T1523" t="str">
            <v>TAMBACOUNDA</v>
          </cell>
        </row>
        <row r="1524">
          <cell r="A1524" t="str">
            <v>KLK_2759</v>
          </cell>
          <cell r="S1524" t="str">
            <v>KAFFRINE</v>
          </cell>
          <cell r="T1524" t="str">
            <v>KAOLACK</v>
          </cell>
        </row>
        <row r="1525">
          <cell r="A1525" t="str">
            <v>KLD_1209</v>
          </cell>
          <cell r="S1525" t="str">
            <v>SEDHIOU</v>
          </cell>
          <cell r="T1525" t="str">
            <v>ZIGUINCHOR</v>
          </cell>
        </row>
        <row r="1526">
          <cell r="A1526" t="str">
            <v>ZIG_1210</v>
          </cell>
          <cell r="S1526" t="str">
            <v>ZIGUINCHOR</v>
          </cell>
          <cell r="T1526" t="str">
            <v>ZIGUINCHOR</v>
          </cell>
        </row>
        <row r="1527">
          <cell r="A1527" t="str">
            <v>ZIG_2705</v>
          </cell>
          <cell r="S1527" t="str">
            <v>ZIGUINCHOR</v>
          </cell>
          <cell r="T1527" t="str">
            <v>ZIGUINCHOR</v>
          </cell>
        </row>
        <row r="1528">
          <cell r="A1528" t="str">
            <v>TMB_1211</v>
          </cell>
          <cell r="S1528" t="str">
            <v>TAMBA</v>
          </cell>
          <cell r="T1528" t="str">
            <v>TAMBACOUNDA</v>
          </cell>
        </row>
        <row r="1529">
          <cell r="A1529" t="str">
            <v>KLD_1212</v>
          </cell>
          <cell r="S1529" t="str">
            <v>SEDHIOU</v>
          </cell>
          <cell r="T1529" t="str">
            <v>ZIGUINCHOR</v>
          </cell>
        </row>
        <row r="1530">
          <cell r="A1530" t="str">
            <v>KLD_2765</v>
          </cell>
          <cell r="S1530" t="str">
            <v>Kolda</v>
          </cell>
          <cell r="T1530" t="str">
            <v>ZIGUINCHOR</v>
          </cell>
        </row>
        <row r="1531">
          <cell r="A1531" t="str">
            <v>TMB_1213</v>
          </cell>
          <cell r="S1531" t="str">
            <v>TAMBA</v>
          </cell>
          <cell r="T1531" t="str">
            <v>TAMBACOUNDA</v>
          </cell>
        </row>
        <row r="1532">
          <cell r="A1532" t="str">
            <v>DBL_2756</v>
          </cell>
          <cell r="S1532" t="str">
            <v>DIOURBEL</v>
          </cell>
          <cell r="T1532" t="str">
            <v>THIES</v>
          </cell>
        </row>
        <row r="1533">
          <cell r="A1533" t="str">
            <v>KDG_1214</v>
          </cell>
          <cell r="S1533" t="str">
            <v>KEDOUGOU</v>
          </cell>
          <cell r="T1533" t="str">
            <v>TAMBACOUNDA</v>
          </cell>
        </row>
        <row r="1534">
          <cell r="A1534" t="str">
            <v>KDG_2703</v>
          </cell>
          <cell r="S1534" t="str">
            <v>KEDOUGOU</v>
          </cell>
          <cell r="T1534" t="str">
            <v>TAMBACOUNDA</v>
          </cell>
        </row>
        <row r="1535">
          <cell r="A1535" t="str">
            <v>DBL_1215</v>
          </cell>
          <cell r="S1535" t="str">
            <v>TOUBA01</v>
          </cell>
          <cell r="T1535" t="str">
            <v>THIES</v>
          </cell>
        </row>
        <row r="1536">
          <cell r="A1536" t="str">
            <v>DBL_1216</v>
          </cell>
          <cell r="S1536" t="str">
            <v>TOUBA01</v>
          </cell>
          <cell r="T1536" t="str">
            <v>THIES</v>
          </cell>
        </row>
        <row r="1537">
          <cell r="A1537" t="str">
            <v>DBL_1217</v>
          </cell>
          <cell r="S1537" t="str">
            <v>TOUBA01</v>
          </cell>
          <cell r="T1537" t="str">
            <v>THIES</v>
          </cell>
        </row>
        <row r="1538">
          <cell r="A1538" t="str">
            <v>DBL_1218</v>
          </cell>
          <cell r="S1538" t="str">
            <v>TOUBA01</v>
          </cell>
          <cell r="T1538" t="str">
            <v>THIES</v>
          </cell>
        </row>
        <row r="1539">
          <cell r="A1539" t="str">
            <v>DBL_1219</v>
          </cell>
          <cell r="S1539" t="str">
            <v>TOUBA01</v>
          </cell>
          <cell r="T1539" t="str">
            <v>THIES</v>
          </cell>
        </row>
        <row r="1540">
          <cell r="A1540" t="str">
            <v>DBL_1220</v>
          </cell>
          <cell r="S1540" t="str">
            <v>TOUBA01</v>
          </cell>
          <cell r="T1540" t="str">
            <v>THIES</v>
          </cell>
        </row>
        <row r="1541">
          <cell r="A1541" t="str">
            <v>DBL_2737</v>
          </cell>
          <cell r="S1541" t="str">
            <v>TOUBA</v>
          </cell>
          <cell r="T1541" t="str">
            <v>THIES</v>
          </cell>
        </row>
        <row r="1542">
          <cell r="A1542" t="str">
            <v>DBL_2648</v>
          </cell>
          <cell r="S1542" t="str">
            <v>TOUBA01</v>
          </cell>
          <cell r="T1542" t="str">
            <v>THIES</v>
          </cell>
        </row>
        <row r="1543">
          <cell r="A1543" t="str">
            <v>DBL_2649</v>
          </cell>
          <cell r="S1543" t="str">
            <v>TOUBA01</v>
          </cell>
          <cell r="T1543" t="str">
            <v>THIES</v>
          </cell>
        </row>
        <row r="1544">
          <cell r="A1544" t="str">
            <v>DBL_2769</v>
          </cell>
          <cell r="S1544" t="str">
            <v>DIOURBEL</v>
          </cell>
          <cell r="T1544" t="str">
            <v>THIES</v>
          </cell>
        </row>
        <row r="1545">
          <cell r="A1545" t="str">
            <v>TMB_1221</v>
          </cell>
          <cell r="S1545" t="str">
            <v>KOUNGHEUL</v>
          </cell>
          <cell r="T1545" t="str">
            <v>TAMBACOUNDA</v>
          </cell>
        </row>
        <row r="1546">
          <cell r="A1546" t="str">
            <v>STL_2750</v>
          </cell>
          <cell r="S1546" t="str">
            <v>LOUGA</v>
          </cell>
          <cell r="T1546" t="str">
            <v>SAINT-LOUIS</v>
          </cell>
        </row>
        <row r="1547">
          <cell r="A1547" t="str">
            <v>STL_1222</v>
          </cell>
          <cell r="S1547" t="str">
            <v>SAINT-LOUIS</v>
          </cell>
          <cell r="T1547" t="str">
            <v>SAINT-LOUIS</v>
          </cell>
        </row>
        <row r="1548">
          <cell r="A1548" t="str">
            <v>KLK_1223</v>
          </cell>
          <cell r="S1548" t="str">
            <v>KOUNGHEUL</v>
          </cell>
          <cell r="T1548" t="str">
            <v>TAMBACOUNDA</v>
          </cell>
        </row>
        <row r="1549">
          <cell r="A1549" t="str">
            <v>KLK_2732</v>
          </cell>
          <cell r="S1549" t="str">
            <v>KOUNGHEUL</v>
          </cell>
          <cell r="T1549" t="str">
            <v>TAMBACOUNDA</v>
          </cell>
        </row>
        <row r="1550">
          <cell r="A1550" t="str">
            <v>KLK_1224</v>
          </cell>
          <cell r="S1550" t="str">
            <v>KAOLACK</v>
          </cell>
          <cell r="T1550" t="str">
            <v>KAOLACK</v>
          </cell>
        </row>
        <row r="1551">
          <cell r="A1551" t="str">
            <v>THS_1225</v>
          </cell>
          <cell r="S1551" t="str">
            <v>TIVAOUANE</v>
          </cell>
          <cell r="T1551" t="str">
            <v>THIES</v>
          </cell>
        </row>
        <row r="1552">
          <cell r="A1552" t="str">
            <v>STL_2751</v>
          </cell>
          <cell r="S1552" t="str">
            <v>SAINT-LOUIS</v>
          </cell>
          <cell r="T1552" t="str">
            <v>SAINT-LOUIS</v>
          </cell>
        </row>
        <row r="1553">
          <cell r="A1553" t="str">
            <v>KLK_1226</v>
          </cell>
          <cell r="S1553" t="str">
            <v>KAOLACK</v>
          </cell>
          <cell r="T1553" t="str">
            <v>KAOLACK</v>
          </cell>
        </row>
        <row r="1554">
          <cell r="A1554" t="str">
            <v>KDG_1227</v>
          </cell>
          <cell r="S1554" t="str">
            <v>KEDOUGOU</v>
          </cell>
          <cell r="T1554" t="str">
            <v>TAMBACOUNDA</v>
          </cell>
        </row>
        <row r="1555">
          <cell r="A1555" t="str">
            <v>KDG_1228</v>
          </cell>
          <cell r="S1555" t="str">
            <v>KEDOUGOU</v>
          </cell>
          <cell r="T1555" t="str">
            <v>TAMBACOUNDA</v>
          </cell>
        </row>
        <row r="1556">
          <cell r="A1556" t="str">
            <v>TMB_1229</v>
          </cell>
          <cell r="S1556" t="str">
            <v>TAMBA</v>
          </cell>
          <cell r="T1556" t="str">
            <v>TAMBACOUNDA</v>
          </cell>
        </row>
        <row r="1557">
          <cell r="A1557" t="str">
            <v>KDG_1230</v>
          </cell>
          <cell r="S1557" t="str">
            <v>KEDOUGOU</v>
          </cell>
          <cell r="T1557" t="str">
            <v>TAMBACOUNDA</v>
          </cell>
        </row>
        <row r="1558">
          <cell r="A1558" t="str">
            <v>KDG_1231</v>
          </cell>
          <cell r="S1558" t="str">
            <v>KEDOUGOU</v>
          </cell>
          <cell r="T1558" t="str">
            <v>TAMBACOUNDA</v>
          </cell>
        </row>
        <row r="1559">
          <cell r="A1559" t="str">
            <v>KLD_1232</v>
          </cell>
          <cell r="S1559" t="str">
            <v>SEDHIOU</v>
          </cell>
          <cell r="T1559" t="str">
            <v>ZIGUINCHOR</v>
          </cell>
        </row>
        <row r="1560">
          <cell r="A1560" t="str">
            <v>TMB_1233</v>
          </cell>
          <cell r="S1560" t="str">
            <v>VELINGARA</v>
          </cell>
          <cell r="T1560" t="str">
            <v>ZIGUINCHOR</v>
          </cell>
        </row>
        <row r="1561">
          <cell r="A1561" t="str">
            <v>KLK_1234</v>
          </cell>
          <cell r="S1561" t="str">
            <v>KAFFRINE</v>
          </cell>
          <cell r="T1561" t="str">
            <v>KAOLACK</v>
          </cell>
        </row>
        <row r="1562">
          <cell r="A1562" t="str">
            <v>TMB_1235</v>
          </cell>
          <cell r="S1562" t="str">
            <v>KOUNGHEUL</v>
          </cell>
          <cell r="T1562" t="str">
            <v>TAMBACOUNDA</v>
          </cell>
        </row>
        <row r="1563">
          <cell r="A1563" t="str">
            <v>TMB_1236</v>
          </cell>
          <cell r="S1563" t="str">
            <v>KOUNGHEUL</v>
          </cell>
          <cell r="T1563" t="str">
            <v>TAMBACOUNDA</v>
          </cell>
        </row>
        <row r="1564">
          <cell r="A1564" t="str">
            <v>KLK_2791</v>
          </cell>
          <cell r="S1564" t="str">
            <v>KAFFRINE</v>
          </cell>
          <cell r="T1564" t="str">
            <v>KAOLACK</v>
          </cell>
        </row>
        <row r="1565">
          <cell r="A1565" t="str">
            <v>DKR_1237</v>
          </cell>
          <cell r="S1565" t="str">
            <v>MEDINA</v>
          </cell>
          <cell r="T1565" t="str">
            <v>DAKAR</v>
          </cell>
        </row>
        <row r="1566">
          <cell r="A1566" t="str">
            <v>MBR_1238</v>
          </cell>
          <cell r="S1566" t="str">
            <v>MBOUR</v>
          </cell>
          <cell r="T1566" t="str">
            <v>THIES</v>
          </cell>
        </row>
        <row r="1567">
          <cell r="A1567" t="str">
            <v>MBR_1239</v>
          </cell>
          <cell r="S1567" t="str">
            <v>MBOUR</v>
          </cell>
          <cell r="T1567" t="str">
            <v>THIES</v>
          </cell>
        </row>
        <row r="1568">
          <cell r="A1568" t="str">
            <v>DKR_2719</v>
          </cell>
          <cell r="S1568" t="str">
            <v>KEUR_MASSAR</v>
          </cell>
          <cell r="T1568" t="str">
            <v>DAKAR</v>
          </cell>
        </row>
        <row r="1569">
          <cell r="A1569" t="str">
            <v>DKR_1241</v>
          </cell>
          <cell r="S1569" t="str">
            <v>GUEDIAWAYE</v>
          </cell>
          <cell r="T1569" t="str">
            <v>DAKAR</v>
          </cell>
        </row>
        <row r="1570">
          <cell r="A1570" t="str">
            <v>DKR_1242</v>
          </cell>
          <cell r="S1570" t="str">
            <v>GUEDIAWAYE</v>
          </cell>
          <cell r="T1570" t="str">
            <v>DAKAR</v>
          </cell>
        </row>
        <row r="1571">
          <cell r="A1571" t="str">
            <v>DKR_1243</v>
          </cell>
          <cell r="S1571" t="str">
            <v>GUEDIAWAYE</v>
          </cell>
          <cell r="T1571" t="str">
            <v>DAKAR</v>
          </cell>
        </row>
        <row r="1572">
          <cell r="A1572" t="str">
            <v>DKR_1244</v>
          </cell>
          <cell r="S1572" t="str">
            <v>GUEDIAWAYE</v>
          </cell>
          <cell r="T1572" t="str">
            <v>DAKAR</v>
          </cell>
        </row>
        <row r="1573">
          <cell r="A1573" t="str">
            <v>DKR_1245</v>
          </cell>
          <cell r="S1573" t="str">
            <v>GUEDIAWAYE</v>
          </cell>
          <cell r="T1573" t="str">
            <v>DAKAR</v>
          </cell>
        </row>
        <row r="1574">
          <cell r="A1574" t="str">
            <v>DKR_1246</v>
          </cell>
          <cell r="S1574" t="str">
            <v>GUEDIAWAYE</v>
          </cell>
          <cell r="T1574" t="str">
            <v>DAKAR</v>
          </cell>
        </row>
        <row r="1575">
          <cell r="A1575" t="str">
            <v>DKR_1247</v>
          </cell>
          <cell r="S1575" t="str">
            <v>GUEDIAWAYE</v>
          </cell>
          <cell r="T1575" t="str">
            <v>DAKAR</v>
          </cell>
        </row>
        <row r="1576">
          <cell r="A1576" t="str">
            <v>DKR_1248</v>
          </cell>
          <cell r="S1576" t="str">
            <v>GUEDIAWAYE</v>
          </cell>
          <cell r="T1576" t="str">
            <v>DAKAR</v>
          </cell>
        </row>
        <row r="1577">
          <cell r="A1577" t="str">
            <v>DKR_1249</v>
          </cell>
          <cell r="S1577" t="str">
            <v>GUEDIAWAYE</v>
          </cell>
          <cell r="T1577" t="str">
            <v>DAKAR</v>
          </cell>
        </row>
        <row r="1578">
          <cell r="A1578" t="str">
            <v>STL_2831</v>
          </cell>
          <cell r="S1578" t="str">
            <v>LOUGA</v>
          </cell>
          <cell r="T1578" t="str">
            <v>SAINT-LOUIS</v>
          </cell>
        </row>
        <row r="1579">
          <cell r="A1579" t="str">
            <v>KDG_1250</v>
          </cell>
          <cell r="S1579" t="str">
            <v>KEDOUGOU</v>
          </cell>
          <cell r="T1579" t="str">
            <v>TAMBACOUNDA</v>
          </cell>
        </row>
        <row r="1580">
          <cell r="A1580" t="str">
            <v>DKR_1251</v>
          </cell>
          <cell r="S1580" t="str">
            <v>OUAKAM</v>
          </cell>
          <cell r="T1580" t="str">
            <v>DAKAR</v>
          </cell>
        </row>
        <row r="1581">
          <cell r="A1581" t="str">
            <v>DKR_1252</v>
          </cell>
          <cell r="S1581" t="str">
            <v>OUAKAM</v>
          </cell>
          <cell r="T1581" t="str">
            <v>DAKAR</v>
          </cell>
        </row>
        <row r="1582">
          <cell r="A1582" t="str">
            <v>DKR_1253</v>
          </cell>
          <cell r="S1582" t="str">
            <v>OUAKAM</v>
          </cell>
          <cell r="T1582" t="str">
            <v>DAKAR</v>
          </cell>
        </row>
        <row r="1583">
          <cell r="A1583" t="str">
            <v>DKR_1254</v>
          </cell>
          <cell r="S1583" t="str">
            <v>OUAKAM</v>
          </cell>
          <cell r="T1583" t="str">
            <v>DAKAR</v>
          </cell>
        </row>
        <row r="1584">
          <cell r="A1584" t="str">
            <v>DKR_1255</v>
          </cell>
          <cell r="S1584" t="str">
            <v>OUAKAM</v>
          </cell>
          <cell r="T1584" t="str">
            <v>DAKAR</v>
          </cell>
        </row>
        <row r="1585">
          <cell r="A1585" t="str">
            <v>DKR_1256</v>
          </cell>
          <cell r="S1585" t="str">
            <v>OUAKAM</v>
          </cell>
          <cell r="T1585" t="str">
            <v>DAKAR</v>
          </cell>
        </row>
        <row r="1586">
          <cell r="A1586" t="str">
            <v>DKR_1257</v>
          </cell>
          <cell r="S1586" t="str">
            <v>OUAKAM</v>
          </cell>
          <cell r="T1586" t="str">
            <v>DAKAR</v>
          </cell>
        </row>
        <row r="1587">
          <cell r="A1587" t="str">
            <v>DKR_1258</v>
          </cell>
          <cell r="S1587" t="str">
            <v>OUAKAM</v>
          </cell>
          <cell r="T1587" t="str">
            <v>DAKAR</v>
          </cell>
        </row>
        <row r="1588">
          <cell r="A1588" t="str">
            <v>ZIG_2721</v>
          </cell>
          <cell r="S1588" t="str">
            <v>FATICK</v>
          </cell>
          <cell r="T1588" t="str">
            <v>KAOLACK</v>
          </cell>
        </row>
        <row r="1589">
          <cell r="A1589" t="str">
            <v>KLD_1259</v>
          </cell>
          <cell r="S1589" t="str">
            <v>VELINGARA</v>
          </cell>
          <cell r="T1589" t="str">
            <v>ZIGUINCHOR</v>
          </cell>
        </row>
        <row r="1590">
          <cell r="A1590" t="str">
            <v>KLD_2752</v>
          </cell>
          <cell r="S1590" t="str">
            <v>KOLDA</v>
          </cell>
          <cell r="T1590" t="str">
            <v>ZIGUINCHOR</v>
          </cell>
        </row>
        <row r="1591">
          <cell r="A1591" t="str">
            <v>STL_1260</v>
          </cell>
          <cell r="S1591" t="str">
            <v>BAKEL</v>
          </cell>
          <cell r="T1591" t="str">
            <v>SAINT-LOUIS</v>
          </cell>
        </row>
        <row r="1592">
          <cell r="A1592" t="str">
            <v>KLD_1261</v>
          </cell>
          <cell r="S1592" t="str">
            <v>SEDHIOU</v>
          </cell>
          <cell r="T1592" t="str">
            <v>ZIGUINCHOR</v>
          </cell>
        </row>
        <row r="1593">
          <cell r="A1593" t="str">
            <v>ZIG_1262</v>
          </cell>
          <cell r="S1593" t="str">
            <v>ZIGUINCHOR</v>
          </cell>
          <cell r="T1593" t="str">
            <v>ZIGUINCHOR</v>
          </cell>
        </row>
        <row r="1594">
          <cell r="A1594" t="str">
            <v>KLD_1263</v>
          </cell>
          <cell r="S1594" t="str">
            <v>SEDHIOU</v>
          </cell>
          <cell r="T1594" t="str">
            <v>ZIGUINCHOR</v>
          </cell>
        </row>
        <row r="1595">
          <cell r="A1595" t="str">
            <v>ZIG_1264</v>
          </cell>
          <cell r="S1595" t="str">
            <v>ZIGUINCHOR</v>
          </cell>
          <cell r="T1595" t="str">
            <v>ZIGUINCHOR</v>
          </cell>
        </row>
        <row r="1596">
          <cell r="A1596" t="str">
            <v>ZIG_2722</v>
          </cell>
          <cell r="S1596" t="str">
            <v>ZIGUINCHOR</v>
          </cell>
          <cell r="T1596" t="str">
            <v>ZIGUINCHOR</v>
          </cell>
        </row>
        <row r="1597">
          <cell r="A1597" t="str">
            <v>KLD_1265</v>
          </cell>
          <cell r="S1597" t="str">
            <v>KOLDA</v>
          </cell>
          <cell r="T1597" t="str">
            <v>ZIGUINCHOR</v>
          </cell>
        </row>
        <row r="1598">
          <cell r="A1598" t="str">
            <v>NDM_1266</v>
          </cell>
          <cell r="S1598" t="str">
            <v>NDIOUM</v>
          </cell>
          <cell r="T1598" t="str">
            <v>SAINT-LOUIS</v>
          </cell>
        </row>
        <row r="1599">
          <cell r="A1599" t="str">
            <v>ZIG_2727</v>
          </cell>
          <cell r="S1599" t="str">
            <v>ZIGUINCHOR</v>
          </cell>
          <cell r="T1599" t="str">
            <v>ZIGUINCHOR</v>
          </cell>
        </row>
        <row r="1600">
          <cell r="A1600" t="str">
            <v>TMB_1267</v>
          </cell>
          <cell r="S1600" t="str">
            <v>TAMBA</v>
          </cell>
          <cell r="T1600" t="str">
            <v>TAMBACOUNDA</v>
          </cell>
        </row>
        <row r="1601">
          <cell r="A1601" t="str">
            <v>TMB_1268</v>
          </cell>
          <cell r="S1601" t="str">
            <v>VELINGARA</v>
          </cell>
          <cell r="T1601" t="str">
            <v>ZIGUINCHOR</v>
          </cell>
        </row>
        <row r="1602">
          <cell r="A1602" t="str">
            <v>KLD_1269</v>
          </cell>
          <cell r="S1602" t="str">
            <v>SEDHIOU</v>
          </cell>
          <cell r="T1602" t="str">
            <v>ZIGUINCHOR</v>
          </cell>
        </row>
        <row r="1603">
          <cell r="A1603" t="str">
            <v>KLD_1270</v>
          </cell>
          <cell r="S1603" t="str">
            <v>SEDHIOU</v>
          </cell>
          <cell r="T1603" t="str">
            <v>ZIGUINCHOR</v>
          </cell>
        </row>
        <row r="1604">
          <cell r="A1604" t="str">
            <v>KDG_1271</v>
          </cell>
          <cell r="S1604" t="str">
            <v>GOUDIRY</v>
          </cell>
          <cell r="T1604" t="str">
            <v>TAMBACOUNDA</v>
          </cell>
        </row>
        <row r="1605">
          <cell r="A1605" t="str">
            <v>MBR_1272</v>
          </cell>
          <cell r="S1605" t="str">
            <v>FATICK</v>
          </cell>
          <cell r="T1605" t="str">
            <v>KAOLACK</v>
          </cell>
        </row>
        <row r="1606">
          <cell r="A1606" t="str">
            <v>ZIG_1273</v>
          </cell>
          <cell r="S1606" t="str">
            <v>SEDHIOU</v>
          </cell>
          <cell r="T1606" t="str">
            <v>ZIGUINCHOR</v>
          </cell>
        </row>
        <row r="1607">
          <cell r="A1607" t="str">
            <v>KLD_2734</v>
          </cell>
          <cell r="S1607" t="str">
            <v>SEDHIOU</v>
          </cell>
          <cell r="T1607" t="str">
            <v>ZIGUINCHOR</v>
          </cell>
        </row>
        <row r="1608">
          <cell r="A1608" t="str">
            <v>KLD_2735</v>
          </cell>
          <cell r="S1608" t="str">
            <v>SEDHIOU</v>
          </cell>
          <cell r="T1608" t="str">
            <v>ZIGUINCHOR</v>
          </cell>
        </row>
        <row r="1609">
          <cell r="A1609" t="str">
            <v>DKR_1274</v>
          </cell>
          <cell r="S1609" t="str">
            <v>SACRE_COEUR</v>
          </cell>
          <cell r="T1609" t="str">
            <v>DAKAR</v>
          </cell>
        </row>
        <row r="1610">
          <cell r="A1610" t="str">
            <v>DKR_2730</v>
          </cell>
          <cell r="S1610" t="str">
            <v>RUFISQUE</v>
          </cell>
          <cell r="T1610" t="str">
            <v>THIES</v>
          </cell>
        </row>
        <row r="1611">
          <cell r="A1611" t="str">
            <v>DBL_1275</v>
          </cell>
          <cell r="S1611" t="str">
            <v>TOUBA02</v>
          </cell>
          <cell r="T1611" t="str">
            <v>THIES</v>
          </cell>
        </row>
        <row r="1612">
          <cell r="A1612" t="str">
            <v>DBL_1276</v>
          </cell>
          <cell r="S1612" t="str">
            <v>TOUBA02</v>
          </cell>
          <cell r="T1612" t="str">
            <v>THIES</v>
          </cell>
        </row>
        <row r="1613">
          <cell r="A1613" t="str">
            <v>DBL_1277</v>
          </cell>
          <cell r="S1613" t="str">
            <v>TOUBA02</v>
          </cell>
          <cell r="T1613" t="str">
            <v>THIES</v>
          </cell>
        </row>
        <row r="1614">
          <cell r="A1614" t="str">
            <v>DBL_1278</v>
          </cell>
          <cell r="S1614" t="str">
            <v>TOUBA02</v>
          </cell>
          <cell r="T1614" t="str">
            <v>THIES</v>
          </cell>
        </row>
        <row r="1615">
          <cell r="A1615" t="str">
            <v>DBL_1279</v>
          </cell>
          <cell r="S1615" t="str">
            <v>TOUBA02</v>
          </cell>
          <cell r="T1615" t="str">
            <v>THIES</v>
          </cell>
        </row>
        <row r="1616">
          <cell r="A1616" t="str">
            <v>DBL_1280</v>
          </cell>
          <cell r="S1616" t="str">
            <v>TOUBA02</v>
          </cell>
          <cell r="T1616" t="str">
            <v>THIES</v>
          </cell>
        </row>
        <row r="1617">
          <cell r="A1617" t="str">
            <v>DBL_2770</v>
          </cell>
          <cell r="S1617" t="str">
            <v>DIOURBEL</v>
          </cell>
          <cell r="T1617" t="str">
            <v>THIES</v>
          </cell>
        </row>
        <row r="1618">
          <cell r="A1618" t="str">
            <v>DBL_2771</v>
          </cell>
          <cell r="S1618" t="str">
            <v>Touba</v>
          </cell>
          <cell r="T1618" t="str">
            <v>THIES</v>
          </cell>
        </row>
        <row r="1619">
          <cell r="A1619" t="str">
            <v>STL_2805</v>
          </cell>
          <cell r="S1619" t="str">
            <v>MATAM</v>
          </cell>
          <cell r="T1619" t="str">
            <v>SAINT-LOUIS</v>
          </cell>
        </row>
        <row r="1620">
          <cell r="A1620" t="str">
            <v>DKR_1281</v>
          </cell>
          <cell r="S1620" t="str">
            <v>MEDINA</v>
          </cell>
          <cell r="T1620" t="str">
            <v>DAKAR</v>
          </cell>
        </row>
        <row r="1621">
          <cell r="A1621" t="str">
            <v>DKR_1282</v>
          </cell>
          <cell r="S1621" t="str">
            <v>THIAROYE</v>
          </cell>
          <cell r="T1621" t="str">
            <v>DAKAR</v>
          </cell>
        </row>
        <row r="1622">
          <cell r="A1622" t="str">
            <v>DKR_1283</v>
          </cell>
          <cell r="S1622" t="str">
            <v>MEDINA</v>
          </cell>
          <cell r="T1622" t="str">
            <v>DAKAR</v>
          </cell>
        </row>
        <row r="1623">
          <cell r="A1623" t="str">
            <v>DKR_1284</v>
          </cell>
          <cell r="S1623" t="str">
            <v>THIAROYE</v>
          </cell>
          <cell r="T1623" t="str">
            <v>DAKAR</v>
          </cell>
        </row>
        <row r="1624">
          <cell r="A1624" t="str">
            <v>DKR_1285</v>
          </cell>
          <cell r="S1624" t="str">
            <v>THIAROYE</v>
          </cell>
          <cell r="T1624" t="str">
            <v>DAKAR</v>
          </cell>
        </row>
        <row r="1625">
          <cell r="A1625" t="str">
            <v>DKR_1286</v>
          </cell>
          <cell r="S1625" t="str">
            <v>THIAROYE</v>
          </cell>
          <cell r="T1625" t="str">
            <v>DAKAR</v>
          </cell>
        </row>
        <row r="1626">
          <cell r="A1626" t="str">
            <v>DKR_1287</v>
          </cell>
          <cell r="S1626" t="str">
            <v>THIAROYE</v>
          </cell>
          <cell r="T1626" t="str">
            <v>DAKAR</v>
          </cell>
        </row>
        <row r="1627">
          <cell r="A1627" t="str">
            <v>DKR_1288</v>
          </cell>
          <cell r="S1627" t="str">
            <v>THIAROYE</v>
          </cell>
          <cell r="T1627" t="str">
            <v>DAKAR</v>
          </cell>
        </row>
        <row r="1628">
          <cell r="A1628" t="str">
            <v>DKR_1289</v>
          </cell>
          <cell r="S1628" t="str">
            <v>THIAROYE</v>
          </cell>
          <cell r="T1628" t="str">
            <v>DAKAR</v>
          </cell>
        </row>
        <row r="1629">
          <cell r="A1629" t="str">
            <v>DKR_1290</v>
          </cell>
          <cell r="S1629" t="str">
            <v>THIAROYE</v>
          </cell>
          <cell r="T1629" t="str">
            <v>DAKAR</v>
          </cell>
        </row>
        <row r="1630">
          <cell r="A1630" t="str">
            <v>BKL_1291</v>
          </cell>
          <cell r="S1630" t="str">
            <v>BAKEL</v>
          </cell>
          <cell r="T1630" t="str">
            <v>SAINT-LOUIS</v>
          </cell>
        </row>
        <row r="1631">
          <cell r="A1631" t="str">
            <v>ZIG_1292</v>
          </cell>
          <cell r="S1631" t="str">
            <v>SEDHIOU</v>
          </cell>
          <cell r="T1631" t="str">
            <v>ZIGUINCHOR</v>
          </cell>
        </row>
        <row r="1632">
          <cell r="A1632" t="str">
            <v>KDG_2719</v>
          </cell>
          <cell r="S1632" t="str">
            <v>KEDOUGOU</v>
          </cell>
          <cell r="T1632" t="str">
            <v>TAMBACOUNDA</v>
          </cell>
        </row>
        <row r="1633">
          <cell r="A1633" t="str">
            <v>KDG_2730</v>
          </cell>
          <cell r="S1633" t="str">
            <v>KEDOUGOU</v>
          </cell>
          <cell r="T1633" t="str">
            <v>TAMBACOUNDA</v>
          </cell>
        </row>
        <row r="1634">
          <cell r="A1634" t="str">
            <v>KDG_2722</v>
          </cell>
          <cell r="S1634" t="str">
            <v>KEDOUGOU</v>
          </cell>
          <cell r="T1634" t="str">
            <v>TAMBACOUNDA</v>
          </cell>
        </row>
        <row r="1635">
          <cell r="A1635" t="str">
            <v>KDG_2721</v>
          </cell>
          <cell r="S1635" t="str">
            <v>KEDOUGOU</v>
          </cell>
          <cell r="T1635" t="str">
            <v>TAMBACOUNDA</v>
          </cell>
        </row>
        <row r="1636">
          <cell r="A1636" t="str">
            <v>TMB_1293</v>
          </cell>
          <cell r="S1636" t="str">
            <v>KOUNGHEUL</v>
          </cell>
          <cell r="T1636" t="str">
            <v>TAMBACOUNDA</v>
          </cell>
        </row>
        <row r="1637">
          <cell r="A1637" t="str">
            <v>ORG_1294</v>
          </cell>
          <cell r="S1637" t="str">
            <v>MATAM</v>
          </cell>
          <cell r="T1637" t="str">
            <v>SAINT-LOUIS</v>
          </cell>
        </row>
        <row r="1638">
          <cell r="A1638" t="str">
            <v>ORG_1295</v>
          </cell>
          <cell r="S1638" t="str">
            <v>MATAM</v>
          </cell>
          <cell r="T1638" t="str">
            <v>SAINT-LOUIS</v>
          </cell>
        </row>
        <row r="1639">
          <cell r="A1639" t="str">
            <v>ORG_1296</v>
          </cell>
          <cell r="S1639" t="str">
            <v>MATAM</v>
          </cell>
          <cell r="T1639" t="str">
            <v>SAINT-LOUIS</v>
          </cell>
        </row>
        <row r="1640">
          <cell r="A1640" t="str">
            <v>THS_2726</v>
          </cell>
          <cell r="S1640" t="str">
            <v>TIVAOUANE</v>
          </cell>
          <cell r="T1640" t="str">
            <v>THIES</v>
          </cell>
        </row>
        <row r="1641">
          <cell r="A1641" t="str">
            <v>TMB_1297</v>
          </cell>
          <cell r="S1641" t="str">
            <v>TAMBA</v>
          </cell>
          <cell r="T1641" t="str">
            <v>TAMBACOUNDA</v>
          </cell>
        </row>
        <row r="1642">
          <cell r="A1642" t="str">
            <v>DBL_1298</v>
          </cell>
          <cell r="S1642" t="str">
            <v>LINGUERE</v>
          </cell>
          <cell r="T1642" t="str">
            <v>THIES</v>
          </cell>
        </row>
        <row r="1643">
          <cell r="A1643" t="str">
            <v>KLK_1299</v>
          </cell>
          <cell r="S1643" t="str">
            <v>KAFFRINE</v>
          </cell>
          <cell r="T1643" t="str">
            <v>KAOLACK</v>
          </cell>
        </row>
        <row r="1644">
          <cell r="A1644" t="str">
            <v>KLK_1300</v>
          </cell>
          <cell r="S1644" t="str">
            <v>KAFFRINE</v>
          </cell>
          <cell r="T1644" t="str">
            <v>KAOLACK</v>
          </cell>
        </row>
        <row r="1645">
          <cell r="A1645" t="str">
            <v>THS_1301</v>
          </cell>
          <cell r="S1645" t="str">
            <v>THIES</v>
          </cell>
          <cell r="T1645" t="str">
            <v>THIES</v>
          </cell>
        </row>
        <row r="1646">
          <cell r="A1646" t="str">
            <v>STL_2812</v>
          </cell>
          <cell r="S1646" t="str">
            <v>LOUGA</v>
          </cell>
          <cell r="T1646" t="str">
            <v>SAINT-LOUIS</v>
          </cell>
        </row>
        <row r="1647">
          <cell r="A1647" t="str">
            <v>DBL_1302</v>
          </cell>
          <cell r="S1647" t="str">
            <v>LINGUERE</v>
          </cell>
          <cell r="T1647" t="str">
            <v>SAINT-LOUIS</v>
          </cell>
        </row>
        <row r="1648">
          <cell r="A1648" t="str">
            <v>DBL_1303</v>
          </cell>
          <cell r="S1648" t="str">
            <v>TOUBA02</v>
          </cell>
          <cell r="T1648" t="str">
            <v>THIES</v>
          </cell>
        </row>
        <row r="1649">
          <cell r="A1649" t="str">
            <v>DBL_1304</v>
          </cell>
          <cell r="S1649" t="str">
            <v>TOUBA01</v>
          </cell>
          <cell r="T1649" t="str">
            <v>THIES</v>
          </cell>
        </row>
        <row r="1650">
          <cell r="A1650" t="str">
            <v>DBL_1305</v>
          </cell>
          <cell r="S1650" t="str">
            <v>TOUBA01</v>
          </cell>
          <cell r="T1650" t="str">
            <v>THIES</v>
          </cell>
        </row>
        <row r="1651">
          <cell r="A1651" t="str">
            <v>DBL_1306</v>
          </cell>
          <cell r="S1651" t="str">
            <v>TOUBA01</v>
          </cell>
          <cell r="T1651" t="str">
            <v>THIES</v>
          </cell>
        </row>
        <row r="1652">
          <cell r="A1652" t="str">
            <v>DBL_1307</v>
          </cell>
          <cell r="S1652" t="str">
            <v>TOUBA01</v>
          </cell>
          <cell r="T1652" t="str">
            <v>THIES</v>
          </cell>
        </row>
        <row r="1653">
          <cell r="A1653" t="str">
            <v>DBL_1308</v>
          </cell>
          <cell r="S1653" t="str">
            <v>TOUBA01</v>
          </cell>
          <cell r="T1653" t="str">
            <v>THIES</v>
          </cell>
        </row>
        <row r="1654">
          <cell r="A1654" t="str">
            <v>DBL_1309</v>
          </cell>
          <cell r="S1654" t="str">
            <v>TOUBA01</v>
          </cell>
          <cell r="T1654" t="str">
            <v>THIES</v>
          </cell>
        </row>
        <row r="1655">
          <cell r="A1655" t="str">
            <v>DBL_1310</v>
          </cell>
          <cell r="S1655" t="str">
            <v>TOUBA01</v>
          </cell>
          <cell r="T1655" t="str">
            <v>THIES</v>
          </cell>
        </row>
        <row r="1656">
          <cell r="A1656" t="str">
            <v>DBL_1311</v>
          </cell>
          <cell r="S1656" t="str">
            <v>TOUBA01</v>
          </cell>
          <cell r="T1656" t="str">
            <v>THIES</v>
          </cell>
        </row>
        <row r="1657">
          <cell r="A1657" t="str">
            <v>DBL_1312</v>
          </cell>
          <cell r="S1657" t="str">
            <v>TOUBA01</v>
          </cell>
          <cell r="T1657" t="str">
            <v>THIES</v>
          </cell>
        </row>
        <row r="1658">
          <cell r="A1658" t="str">
            <v>DBL_1313</v>
          </cell>
          <cell r="S1658" t="str">
            <v>TOUBA01</v>
          </cell>
          <cell r="T1658" t="str">
            <v>THIES</v>
          </cell>
        </row>
        <row r="1659">
          <cell r="A1659" t="str">
            <v>DBL_2644</v>
          </cell>
          <cell r="S1659" t="str">
            <v>TOUBA01</v>
          </cell>
          <cell r="T1659" t="str">
            <v>THIES</v>
          </cell>
        </row>
        <row r="1660">
          <cell r="A1660" t="str">
            <v>DBL_2741</v>
          </cell>
          <cell r="S1660" t="str">
            <v>TOUBA</v>
          </cell>
          <cell r="T1660" t="str">
            <v>THIES</v>
          </cell>
        </row>
        <row r="1661">
          <cell r="A1661" t="str">
            <v>DBL_2742</v>
          </cell>
          <cell r="S1661" t="str">
            <v>TOUBA</v>
          </cell>
          <cell r="T1661" t="str">
            <v>THIES</v>
          </cell>
        </row>
        <row r="1662">
          <cell r="A1662" t="str">
            <v>DBL_2775</v>
          </cell>
          <cell r="S1662" t="str">
            <v>DIOURBEL</v>
          </cell>
          <cell r="T1662" t="str">
            <v>THIES</v>
          </cell>
        </row>
        <row r="1663">
          <cell r="A1663" t="str">
            <v>DBL_2776</v>
          </cell>
          <cell r="S1663" t="str">
            <v>DIOURBEL</v>
          </cell>
          <cell r="T1663" t="str">
            <v>THIES</v>
          </cell>
        </row>
        <row r="1664">
          <cell r="A1664" t="str">
            <v>DBL_2777</v>
          </cell>
          <cell r="S1664" t="str">
            <v>Touba</v>
          </cell>
          <cell r="T1664" t="str">
            <v>THIES</v>
          </cell>
        </row>
        <row r="1665">
          <cell r="A1665" t="str">
            <v>KLK_2733</v>
          </cell>
          <cell r="S1665" t="str">
            <v>KAOLACK</v>
          </cell>
          <cell r="T1665" t="str">
            <v>KAOLACK</v>
          </cell>
        </row>
        <row r="1666">
          <cell r="A1666" t="str">
            <v>DBL_1314</v>
          </cell>
          <cell r="S1666" t="str">
            <v>TOUBA01</v>
          </cell>
          <cell r="T1666" t="str">
            <v>THIES</v>
          </cell>
        </row>
        <row r="1667">
          <cell r="A1667" t="str">
            <v>STL_2777</v>
          </cell>
          <cell r="S1667" t="str">
            <v>RICHARD_TOLL</v>
          </cell>
          <cell r="T1667" t="str">
            <v>SAINT-LOUIS</v>
          </cell>
        </row>
        <row r="1668">
          <cell r="A1668" t="str">
            <v>STL_1315</v>
          </cell>
          <cell r="S1668" t="str">
            <v>LOUGA</v>
          </cell>
          <cell r="T1668" t="str">
            <v>SAINT-LOUIS</v>
          </cell>
        </row>
        <row r="1669">
          <cell r="A1669" t="str">
            <v>TMB_1316</v>
          </cell>
          <cell r="S1669" t="str">
            <v>GOUDIRY</v>
          </cell>
          <cell r="T1669" t="str">
            <v>TAMBACOUNDA</v>
          </cell>
        </row>
        <row r="1670">
          <cell r="A1670" t="str">
            <v>ORG_1318</v>
          </cell>
          <cell r="S1670" t="str">
            <v>MATAM</v>
          </cell>
          <cell r="T1670" t="str">
            <v>SAINT-LOUIS</v>
          </cell>
        </row>
        <row r="1671">
          <cell r="A1671" t="str">
            <v>THS_2803</v>
          </cell>
          <cell r="S1671" t="str">
            <v>MBOUR</v>
          </cell>
          <cell r="T1671" t="str">
            <v>THIES</v>
          </cell>
        </row>
        <row r="1672">
          <cell r="A1672" t="str">
            <v>KLD_1319</v>
          </cell>
          <cell r="S1672" t="str">
            <v>VELINGARA</v>
          </cell>
          <cell r="T1672" t="str">
            <v>ZIGUINCHOR</v>
          </cell>
        </row>
        <row r="1673">
          <cell r="A1673" t="str">
            <v>KLK_2811</v>
          </cell>
          <cell r="S1673" t="str">
            <v>KAFFRINE</v>
          </cell>
          <cell r="T1673" t="str">
            <v xml:space="preserve"> KAOLACK</v>
          </cell>
        </row>
        <row r="1674">
          <cell r="A1674" t="str">
            <v>KLK_1320</v>
          </cell>
          <cell r="S1674" t="str">
            <v>KAOLACK</v>
          </cell>
          <cell r="T1674" t="str">
            <v>KAOLACK</v>
          </cell>
        </row>
        <row r="1675">
          <cell r="A1675" t="str">
            <v>MBR_1321</v>
          </cell>
          <cell r="S1675" t="str">
            <v>FATICK</v>
          </cell>
          <cell r="T1675" t="str">
            <v>KAOLACK</v>
          </cell>
        </row>
        <row r="1676">
          <cell r="A1676" t="str">
            <v>KLK_1322</v>
          </cell>
          <cell r="S1676" t="str">
            <v>KAOLACK</v>
          </cell>
          <cell r="T1676" t="str">
            <v>KAOLACK</v>
          </cell>
        </row>
        <row r="1677">
          <cell r="A1677" t="str">
            <v>STL_2716</v>
          </cell>
          <cell r="S1677" t="str">
            <v>MATAM</v>
          </cell>
          <cell r="T1677" t="str">
            <v>SAINT-LOUIS</v>
          </cell>
        </row>
        <row r="1678">
          <cell r="A1678" t="str">
            <v>DBL_2751</v>
          </cell>
          <cell r="S1678" t="str">
            <v>TIVAOUANE</v>
          </cell>
          <cell r="T1678" t="str">
            <v>THIES</v>
          </cell>
        </row>
        <row r="1679">
          <cell r="A1679" t="str">
            <v>STL_2813</v>
          </cell>
          <cell r="S1679" t="str">
            <v>LOUGA</v>
          </cell>
          <cell r="T1679" t="str">
            <v>SAINT-LOUIS</v>
          </cell>
        </row>
        <row r="1680">
          <cell r="A1680" t="str">
            <v>STL_1323</v>
          </cell>
          <cell r="S1680" t="str">
            <v>SAINT-LOUIS</v>
          </cell>
          <cell r="T1680" t="str">
            <v>SAINT-LOUIS</v>
          </cell>
        </row>
        <row r="1681">
          <cell r="A1681" t="str">
            <v>KLK_1324</v>
          </cell>
          <cell r="S1681" t="str">
            <v>KAFFRINE</v>
          </cell>
          <cell r="T1681" t="str">
            <v>KAOLACK</v>
          </cell>
        </row>
        <row r="1682">
          <cell r="A1682" t="str">
            <v>DKR_1325</v>
          </cell>
          <cell r="S1682" t="str">
            <v>RUFISQUE</v>
          </cell>
          <cell r="T1682" t="str">
            <v>DAKAR</v>
          </cell>
        </row>
        <row r="1683">
          <cell r="A1683" t="str">
            <v>DKR_2815</v>
          </cell>
          <cell r="S1683" t="str">
            <v>DAKAR</v>
          </cell>
          <cell r="T1683" t="str">
            <v>DAKAR</v>
          </cell>
        </row>
        <row r="1684">
          <cell r="A1684" t="str">
            <v>DKR_1326</v>
          </cell>
          <cell r="S1684" t="str">
            <v>RUFISQUE</v>
          </cell>
          <cell r="T1684" t="str">
            <v>DAKAR</v>
          </cell>
        </row>
        <row r="1685">
          <cell r="A1685" t="str">
            <v>DKR_1327</v>
          </cell>
          <cell r="S1685" t="str">
            <v>RUFISQUE</v>
          </cell>
          <cell r="T1685" t="str">
            <v>DAKAR</v>
          </cell>
        </row>
        <row r="1686">
          <cell r="A1686" t="str">
            <v>DKR_1328</v>
          </cell>
          <cell r="S1686" t="str">
            <v>RUFISQUE</v>
          </cell>
          <cell r="T1686" t="str">
            <v>DAKAR</v>
          </cell>
        </row>
        <row r="1687">
          <cell r="A1687" t="str">
            <v>DKR_1329</v>
          </cell>
          <cell r="S1687" t="str">
            <v>RUFISQUE</v>
          </cell>
          <cell r="T1687" t="str">
            <v>DAKAR</v>
          </cell>
        </row>
        <row r="1688">
          <cell r="A1688" t="str">
            <v>DBL_1330</v>
          </cell>
          <cell r="S1688" t="str">
            <v>DIOURBEL</v>
          </cell>
          <cell r="T1688" t="str">
            <v>THIES</v>
          </cell>
        </row>
        <row r="1689">
          <cell r="A1689" t="str">
            <v>KLK_1331</v>
          </cell>
          <cell r="S1689" t="str">
            <v>SOKONE</v>
          </cell>
          <cell r="T1689" t="str">
            <v>KAOLACK</v>
          </cell>
        </row>
        <row r="1690">
          <cell r="A1690" t="str">
            <v>DBL_1332</v>
          </cell>
          <cell r="S1690" t="str">
            <v>TOUBA01</v>
          </cell>
          <cell r="T1690" t="str">
            <v>THIES</v>
          </cell>
        </row>
        <row r="1691">
          <cell r="A1691" t="str">
            <v>MBR_1333</v>
          </cell>
          <cell r="S1691" t="str">
            <v>SOKONE</v>
          </cell>
          <cell r="T1691" t="str">
            <v>KAOLACK</v>
          </cell>
        </row>
        <row r="1692">
          <cell r="A1692" t="str">
            <v>KLK_1334</v>
          </cell>
          <cell r="S1692" t="str">
            <v>KAFFRINE</v>
          </cell>
          <cell r="T1692" t="str">
            <v>KAOLACK</v>
          </cell>
        </row>
        <row r="1693">
          <cell r="A1693" t="str">
            <v>STL_2806</v>
          </cell>
          <cell r="S1693" t="str">
            <v>THIES</v>
          </cell>
          <cell r="T1693" t="str">
            <v>THIES</v>
          </cell>
        </row>
        <row r="1694">
          <cell r="A1694" t="str">
            <v>KLD_1335</v>
          </cell>
          <cell r="S1694" t="str">
            <v>KOLDA</v>
          </cell>
          <cell r="T1694" t="str">
            <v>ZIGUINCHOR</v>
          </cell>
        </row>
        <row r="1695">
          <cell r="A1695" t="str">
            <v>THS_2824</v>
          </cell>
          <cell r="S1695" t="str">
            <v>THIES</v>
          </cell>
          <cell r="T1695" t="str">
            <v>THIES</v>
          </cell>
        </row>
        <row r="1696">
          <cell r="A1696" t="str">
            <v>DKR_1336</v>
          </cell>
          <cell r="S1696" t="str">
            <v>THIAROYE</v>
          </cell>
          <cell r="T1696" t="str">
            <v>DAKAR</v>
          </cell>
        </row>
        <row r="1697">
          <cell r="A1697" t="str">
            <v>DKR_1337</v>
          </cell>
          <cell r="S1697" t="str">
            <v>THIAROYE</v>
          </cell>
          <cell r="T1697" t="str">
            <v>DAKAR</v>
          </cell>
        </row>
        <row r="1698">
          <cell r="A1698" t="str">
            <v>DKR_1338</v>
          </cell>
          <cell r="S1698" t="str">
            <v>THIAROYE</v>
          </cell>
          <cell r="T1698" t="str">
            <v>DAKAR</v>
          </cell>
        </row>
        <row r="1699">
          <cell r="A1699" t="str">
            <v>DKR_1339</v>
          </cell>
          <cell r="S1699" t="str">
            <v>THIAROYE</v>
          </cell>
          <cell r="T1699" t="str">
            <v>DAKAR</v>
          </cell>
        </row>
        <row r="1700">
          <cell r="A1700" t="str">
            <v>DKR_1340</v>
          </cell>
          <cell r="S1700" t="str">
            <v>THIAROYE</v>
          </cell>
          <cell r="T1700" t="str">
            <v>DAKAR</v>
          </cell>
        </row>
        <row r="1701">
          <cell r="A1701" t="str">
            <v>DKR_1341</v>
          </cell>
          <cell r="S1701" t="str">
            <v>THIAROYE</v>
          </cell>
          <cell r="T1701" t="str">
            <v>DAKAR</v>
          </cell>
        </row>
        <row r="1702">
          <cell r="A1702" t="str">
            <v>DKR_1342</v>
          </cell>
          <cell r="S1702" t="str">
            <v>THIAROYE</v>
          </cell>
          <cell r="T1702" t="str">
            <v>DAKAR</v>
          </cell>
        </row>
        <row r="1703">
          <cell r="A1703" t="str">
            <v>DKR_1343</v>
          </cell>
          <cell r="S1703" t="str">
            <v>THIAROYE</v>
          </cell>
          <cell r="T1703" t="str">
            <v>DAKAR</v>
          </cell>
        </row>
        <row r="1704">
          <cell r="A1704" t="str">
            <v>DKR_2795</v>
          </cell>
          <cell r="S1704" t="str">
            <v>KEUR_MASSAR</v>
          </cell>
          <cell r="T1704" t="str">
            <v>DAKAR</v>
          </cell>
        </row>
        <row r="1705">
          <cell r="A1705" t="str">
            <v>ORG_2574</v>
          </cell>
          <cell r="S1705" t="str">
            <v>MATAM</v>
          </cell>
          <cell r="T1705" t="str">
            <v>SAINT-LOUIS</v>
          </cell>
        </row>
        <row r="1706">
          <cell r="A1706" t="str">
            <v>KLK_2849</v>
          </cell>
          <cell r="S1706" t="str">
            <v>FATICK</v>
          </cell>
          <cell r="T1706" t="str">
            <v>KAOLACK</v>
          </cell>
        </row>
        <row r="1707">
          <cell r="A1707" t="str">
            <v>STL_2834</v>
          </cell>
          <cell r="S1707" t="str">
            <v>LOUGA</v>
          </cell>
          <cell r="T1707" t="str">
            <v>SAINT-LOUIS</v>
          </cell>
        </row>
        <row r="1708">
          <cell r="A1708" t="str">
            <v>KLK_1344</v>
          </cell>
          <cell r="S1708" t="str">
            <v>KAFFRINE</v>
          </cell>
          <cell r="T1708" t="str">
            <v>KAOLACK</v>
          </cell>
        </row>
        <row r="1709">
          <cell r="A1709" t="str">
            <v>KLK_1345</v>
          </cell>
          <cell r="S1709" t="str">
            <v>FATICK</v>
          </cell>
          <cell r="T1709" t="str">
            <v>KAOLACK</v>
          </cell>
        </row>
        <row r="1710">
          <cell r="A1710" t="str">
            <v>MBR_1346</v>
          </cell>
          <cell r="S1710" t="str">
            <v>FATICK</v>
          </cell>
          <cell r="T1710" t="str">
            <v>KAOLACK</v>
          </cell>
        </row>
        <row r="1711">
          <cell r="A1711" t="str">
            <v>DBL_1347</v>
          </cell>
          <cell r="S1711" t="str">
            <v>LINGUERE</v>
          </cell>
          <cell r="T1711" t="str">
            <v>THIES</v>
          </cell>
        </row>
        <row r="1712">
          <cell r="A1712" t="str">
            <v>KLK_1348</v>
          </cell>
          <cell r="S1712" t="str">
            <v>KAFFRINE</v>
          </cell>
          <cell r="T1712" t="str">
            <v>KAOLACK</v>
          </cell>
        </row>
        <row r="1713">
          <cell r="A1713" t="str">
            <v>STL_2668</v>
          </cell>
          <cell r="S1713" t="str">
            <v>SAINT-LOUIS</v>
          </cell>
          <cell r="T1713" t="str">
            <v>SAINT-LOUIS</v>
          </cell>
        </row>
        <row r="1714">
          <cell r="A1714" t="str">
            <v>STL_2796</v>
          </cell>
          <cell r="S1714" t="str">
            <v>LOUGA</v>
          </cell>
          <cell r="T1714" t="str">
            <v>SAINT-LOUIS</v>
          </cell>
        </row>
        <row r="1715">
          <cell r="A1715" t="str">
            <v>DKR_2827</v>
          </cell>
          <cell r="S1715" t="str">
            <v>Dakar</v>
          </cell>
          <cell r="T1715" t="str">
            <v>DAKAR</v>
          </cell>
        </row>
        <row r="1716">
          <cell r="A1716" t="str">
            <v>DBL_1349</v>
          </cell>
          <cell r="S1716" t="str">
            <v>LINGUERE</v>
          </cell>
          <cell r="T1716" t="str">
            <v>THIES</v>
          </cell>
        </row>
        <row r="1717">
          <cell r="A1717" t="str">
            <v>KLK_1350</v>
          </cell>
          <cell r="S1717" t="str">
            <v>KAFFRINE</v>
          </cell>
          <cell r="T1717" t="str">
            <v>KAOLACK</v>
          </cell>
        </row>
        <row r="1718">
          <cell r="A1718" t="str">
            <v>THS_2757</v>
          </cell>
          <cell r="S1718" t="str">
            <v>TIVAOUANE</v>
          </cell>
          <cell r="T1718" t="str">
            <v>THIES</v>
          </cell>
        </row>
        <row r="1719">
          <cell r="A1719" t="str">
            <v>DKR_2777</v>
          </cell>
          <cell r="S1719" t="str">
            <v>RUFISQUE</v>
          </cell>
          <cell r="T1719" t="str">
            <v>DAKAR</v>
          </cell>
        </row>
        <row r="1720">
          <cell r="A1720" t="str">
            <v>NDM_1351</v>
          </cell>
          <cell r="S1720" t="str">
            <v>NDIOUM</v>
          </cell>
          <cell r="T1720" t="str">
            <v>SAINT-LOUIS</v>
          </cell>
        </row>
        <row r="1721">
          <cell r="A1721" t="str">
            <v>NDM_1352</v>
          </cell>
          <cell r="S1721" t="str">
            <v>SAINT-LOUIS</v>
          </cell>
          <cell r="T1721" t="str">
            <v>SAINT-LOUIS</v>
          </cell>
        </row>
        <row r="1722">
          <cell r="A1722" t="str">
            <v>KLK_1353</v>
          </cell>
          <cell r="S1722" t="str">
            <v>KAFFRINE</v>
          </cell>
          <cell r="T1722" t="str">
            <v>KAOLACK</v>
          </cell>
        </row>
        <row r="1723">
          <cell r="A1723" t="str">
            <v>KLK_1354</v>
          </cell>
          <cell r="S1723" t="str">
            <v>KAFFRINE</v>
          </cell>
          <cell r="T1723" t="str">
            <v>KAOLACK</v>
          </cell>
        </row>
        <row r="1724">
          <cell r="A1724" t="str">
            <v>KLK_1355</v>
          </cell>
          <cell r="S1724" t="str">
            <v>SOKONE</v>
          </cell>
          <cell r="T1724" t="str">
            <v>KAOLACK</v>
          </cell>
        </row>
        <row r="1725">
          <cell r="A1725" t="str">
            <v>MBR_1356</v>
          </cell>
          <cell r="S1725" t="str">
            <v>MBOUR</v>
          </cell>
          <cell r="T1725" t="str">
            <v>THIES</v>
          </cell>
        </row>
        <row r="1726">
          <cell r="A1726" t="str">
            <v>ORG_1357</v>
          </cell>
          <cell r="S1726" t="str">
            <v>MATAM</v>
          </cell>
          <cell r="T1726" t="str">
            <v>SAINT-LOUIS</v>
          </cell>
        </row>
        <row r="1727">
          <cell r="A1727" t="str">
            <v>DBL_2729</v>
          </cell>
          <cell r="S1727" t="str">
            <v>DIOURBEL</v>
          </cell>
          <cell r="T1727" t="str">
            <v>THIES</v>
          </cell>
        </row>
        <row r="1728">
          <cell r="A1728" t="str">
            <v>KDG_1358</v>
          </cell>
          <cell r="S1728" t="str">
            <v>KEDOUGOU</v>
          </cell>
          <cell r="T1728" t="str">
            <v>TAMBACOUNDA</v>
          </cell>
        </row>
        <row r="1729">
          <cell r="A1729" t="str">
            <v>THS_2755</v>
          </cell>
          <cell r="S1729" t="str">
            <v>TIVAOUANE</v>
          </cell>
          <cell r="T1729" t="str">
            <v>THIES</v>
          </cell>
        </row>
        <row r="1730">
          <cell r="A1730" t="str">
            <v>THS_1359</v>
          </cell>
          <cell r="S1730" t="str">
            <v>TIVAOUANE</v>
          </cell>
          <cell r="T1730" t="str">
            <v>THIES</v>
          </cell>
        </row>
        <row r="1731">
          <cell r="A1731" t="str">
            <v>THS_1360</v>
          </cell>
          <cell r="S1731" t="str">
            <v>TIVAOUANE</v>
          </cell>
          <cell r="T1731" t="str">
            <v>THIES</v>
          </cell>
        </row>
        <row r="1732">
          <cell r="A1732" t="str">
            <v>THS_2775</v>
          </cell>
          <cell r="S1732" t="str">
            <v>TIVAOUANE</v>
          </cell>
          <cell r="T1732" t="str">
            <v>THIES</v>
          </cell>
        </row>
        <row r="1733">
          <cell r="A1733" t="str">
            <v>NDM_1362</v>
          </cell>
          <cell r="S1733" t="str">
            <v>NDIOUM</v>
          </cell>
          <cell r="T1733" t="str">
            <v>SAINT-LOUIS</v>
          </cell>
        </row>
        <row r="1734">
          <cell r="A1734" t="str">
            <v>KLK_1363</v>
          </cell>
          <cell r="S1734" t="str">
            <v>KAOLACK</v>
          </cell>
          <cell r="T1734" t="str">
            <v>KAOLACK</v>
          </cell>
        </row>
        <row r="1735">
          <cell r="A1735" t="str">
            <v>STL_1364</v>
          </cell>
          <cell r="S1735" t="str">
            <v>LOUGA</v>
          </cell>
          <cell r="T1735" t="str">
            <v>SAINT-LOUIS</v>
          </cell>
        </row>
        <row r="1736">
          <cell r="A1736" t="str">
            <v>DBL_1365</v>
          </cell>
          <cell r="S1736" t="str">
            <v>LINGUERE</v>
          </cell>
          <cell r="T1736" t="str">
            <v>THIES</v>
          </cell>
        </row>
        <row r="1737">
          <cell r="A1737" t="str">
            <v>THS_2763</v>
          </cell>
          <cell r="S1737" t="str">
            <v>THIES</v>
          </cell>
          <cell r="T1737" t="str">
            <v>THIES</v>
          </cell>
        </row>
        <row r="1738">
          <cell r="A1738" t="str">
            <v>DBL_1366</v>
          </cell>
          <cell r="S1738" t="str">
            <v>DIOURBEL</v>
          </cell>
          <cell r="T1738" t="str">
            <v>THIES</v>
          </cell>
        </row>
        <row r="1739">
          <cell r="A1739" t="str">
            <v>KLK_2654</v>
          </cell>
          <cell r="S1739" t="str">
            <v>KAFFRINE</v>
          </cell>
          <cell r="T1739" t="str">
            <v>KAOLACK</v>
          </cell>
        </row>
        <row r="1740">
          <cell r="A1740" t="str">
            <v>NDM_1367</v>
          </cell>
          <cell r="S1740" t="str">
            <v>NDIOUM</v>
          </cell>
          <cell r="T1740" t="str">
            <v>SAINT-LOUIS</v>
          </cell>
        </row>
        <row r="1741">
          <cell r="A1741" t="str">
            <v>STL_1368</v>
          </cell>
          <cell r="S1741" t="str">
            <v>SAINT-LOUIS</v>
          </cell>
          <cell r="T1741" t="str">
            <v>SAINT-LOUIS</v>
          </cell>
        </row>
        <row r="1742">
          <cell r="A1742" t="str">
            <v>STL_1369</v>
          </cell>
          <cell r="S1742" t="str">
            <v>SAINT-LOUIS</v>
          </cell>
          <cell r="T1742" t="str">
            <v>SAINT-LOUIS</v>
          </cell>
        </row>
        <row r="1743">
          <cell r="A1743" t="str">
            <v>THS_2756</v>
          </cell>
          <cell r="S1743" t="str">
            <v>MBOUR</v>
          </cell>
          <cell r="T1743" t="str">
            <v>THIES</v>
          </cell>
        </row>
        <row r="1744">
          <cell r="A1744" t="str">
            <v>KLK_1370</v>
          </cell>
          <cell r="S1744" t="str">
            <v>KAOLACK</v>
          </cell>
          <cell r="T1744" t="str">
            <v>KAOLACK</v>
          </cell>
        </row>
        <row r="1745">
          <cell r="A1745" t="str">
            <v>MBR_1371</v>
          </cell>
          <cell r="S1745" t="str">
            <v>MBOUR</v>
          </cell>
          <cell r="T1745" t="str">
            <v>THIES</v>
          </cell>
        </row>
        <row r="1746">
          <cell r="A1746" t="str">
            <v>MBR_1372</v>
          </cell>
          <cell r="S1746" t="str">
            <v>MBOUR</v>
          </cell>
          <cell r="T1746" t="str">
            <v>THIES</v>
          </cell>
        </row>
        <row r="1747">
          <cell r="A1747" t="str">
            <v>MBR_1373</v>
          </cell>
          <cell r="S1747" t="str">
            <v>MBOUR</v>
          </cell>
          <cell r="T1747" t="str">
            <v>THIES</v>
          </cell>
        </row>
        <row r="1748">
          <cell r="A1748" t="str">
            <v>MBR_1374</v>
          </cell>
          <cell r="S1748" t="str">
            <v>MBOUR</v>
          </cell>
          <cell r="T1748" t="str">
            <v>THIES</v>
          </cell>
        </row>
        <row r="1749">
          <cell r="A1749" t="str">
            <v>MBR_1375</v>
          </cell>
          <cell r="S1749" t="str">
            <v>MBOUR</v>
          </cell>
          <cell r="T1749" t="str">
            <v>THIES</v>
          </cell>
        </row>
        <row r="1750">
          <cell r="A1750" t="str">
            <v>MBR_1376</v>
          </cell>
          <cell r="S1750" t="str">
            <v>MBOUR</v>
          </cell>
          <cell r="T1750" t="str">
            <v>THIES</v>
          </cell>
        </row>
        <row r="1751">
          <cell r="A1751" t="str">
            <v>MBR_1377</v>
          </cell>
          <cell r="S1751" t="str">
            <v>MBOUR</v>
          </cell>
          <cell r="T1751" t="str">
            <v>THIES</v>
          </cell>
        </row>
        <row r="1752">
          <cell r="A1752" t="str">
            <v>MBR_1378</v>
          </cell>
          <cell r="S1752" t="str">
            <v>MBOUR</v>
          </cell>
          <cell r="T1752" t="str">
            <v>THIES</v>
          </cell>
        </row>
        <row r="1753">
          <cell r="A1753" t="str">
            <v>MBR_1379</v>
          </cell>
          <cell r="S1753" t="str">
            <v>MBOUR</v>
          </cell>
          <cell r="T1753" t="str">
            <v>THIES</v>
          </cell>
        </row>
        <row r="1754">
          <cell r="A1754" t="str">
            <v>MBR_1380</v>
          </cell>
          <cell r="S1754" t="str">
            <v>MBOUR</v>
          </cell>
          <cell r="T1754" t="str">
            <v>THIES</v>
          </cell>
        </row>
        <row r="1755">
          <cell r="A1755" t="str">
            <v>MBR_1381</v>
          </cell>
          <cell r="S1755" t="str">
            <v>MBOUR</v>
          </cell>
          <cell r="T1755" t="str">
            <v>THIES</v>
          </cell>
        </row>
        <row r="1756">
          <cell r="A1756" t="str">
            <v>MBR_1382</v>
          </cell>
          <cell r="S1756" t="str">
            <v>MBOUR</v>
          </cell>
          <cell r="T1756" t="str">
            <v>THIES</v>
          </cell>
        </row>
        <row r="1757">
          <cell r="A1757" t="str">
            <v>MBR_1383</v>
          </cell>
          <cell r="S1757" t="str">
            <v>MBOUR</v>
          </cell>
          <cell r="T1757" t="str">
            <v>THIES</v>
          </cell>
        </row>
        <row r="1758">
          <cell r="A1758" t="str">
            <v>MBR_1384</v>
          </cell>
          <cell r="S1758" t="str">
            <v>MBOUR</v>
          </cell>
          <cell r="T1758" t="str">
            <v>THIES</v>
          </cell>
        </row>
        <row r="1759">
          <cell r="A1759" t="str">
            <v>MBR_1385</v>
          </cell>
          <cell r="S1759" t="str">
            <v>MBOUR</v>
          </cell>
          <cell r="T1759" t="str">
            <v>THIES</v>
          </cell>
        </row>
        <row r="1760">
          <cell r="A1760" t="str">
            <v>MBR_1386</v>
          </cell>
          <cell r="S1760" t="str">
            <v>MBOUR</v>
          </cell>
          <cell r="T1760" t="str">
            <v>THIES</v>
          </cell>
        </row>
        <row r="1761">
          <cell r="A1761" t="str">
            <v>MBR_1387</v>
          </cell>
          <cell r="S1761" t="str">
            <v>MBOUR</v>
          </cell>
          <cell r="T1761" t="str">
            <v>THIES</v>
          </cell>
        </row>
        <row r="1762">
          <cell r="A1762" t="str">
            <v>MBR_1388</v>
          </cell>
          <cell r="S1762" t="str">
            <v>MBOUR</v>
          </cell>
          <cell r="T1762" t="str">
            <v>THIES</v>
          </cell>
        </row>
        <row r="1763">
          <cell r="A1763" t="str">
            <v>MBR_1389</v>
          </cell>
          <cell r="S1763" t="str">
            <v>MBOUR</v>
          </cell>
          <cell r="T1763" t="str">
            <v>THIES</v>
          </cell>
        </row>
        <row r="1764">
          <cell r="A1764" t="str">
            <v>MBR_1390</v>
          </cell>
          <cell r="S1764" t="str">
            <v>MBOUR</v>
          </cell>
          <cell r="T1764" t="str">
            <v>THIES</v>
          </cell>
        </row>
        <row r="1765">
          <cell r="A1765" t="str">
            <v>MBR_1391</v>
          </cell>
          <cell r="S1765" t="str">
            <v>MBOUR</v>
          </cell>
          <cell r="T1765" t="str">
            <v>THIES</v>
          </cell>
        </row>
        <row r="1766">
          <cell r="A1766" t="str">
            <v>MBR_1392</v>
          </cell>
          <cell r="S1766" t="str">
            <v>MBOUR</v>
          </cell>
          <cell r="T1766" t="str">
            <v>THIES</v>
          </cell>
        </row>
        <row r="1767">
          <cell r="A1767" t="str">
            <v>THS_2750</v>
          </cell>
          <cell r="S1767" t="str">
            <v>THIES</v>
          </cell>
          <cell r="T1767" t="str">
            <v>THIES</v>
          </cell>
        </row>
        <row r="1768">
          <cell r="A1768" t="str">
            <v>MBR_1393</v>
          </cell>
          <cell r="S1768" t="str">
            <v>MBOUR</v>
          </cell>
          <cell r="T1768" t="str">
            <v>THIES</v>
          </cell>
        </row>
        <row r="1769">
          <cell r="A1769" t="str">
            <v>MBR_1394</v>
          </cell>
          <cell r="S1769" t="str">
            <v>MBOUR</v>
          </cell>
          <cell r="T1769" t="str">
            <v>THIES</v>
          </cell>
        </row>
        <row r="1770">
          <cell r="A1770" t="str">
            <v>THS_2722</v>
          </cell>
          <cell r="S1770" t="str">
            <v>MBOUR</v>
          </cell>
          <cell r="T1770" t="str">
            <v>THIES</v>
          </cell>
        </row>
        <row r="1771">
          <cell r="A1771" t="str">
            <v>MBR_1395</v>
          </cell>
          <cell r="S1771" t="str">
            <v>MBOUR</v>
          </cell>
          <cell r="T1771" t="str">
            <v>THIES</v>
          </cell>
        </row>
        <row r="1772">
          <cell r="A1772" t="str">
            <v>MBR_1396</v>
          </cell>
          <cell r="S1772" t="str">
            <v>MBOUR</v>
          </cell>
          <cell r="T1772" t="str">
            <v>THIES</v>
          </cell>
        </row>
        <row r="1773">
          <cell r="A1773" t="str">
            <v>MBR_1397</v>
          </cell>
          <cell r="S1773" t="str">
            <v>MBOUR</v>
          </cell>
          <cell r="T1773" t="str">
            <v>THIES</v>
          </cell>
        </row>
        <row r="1774">
          <cell r="A1774" t="str">
            <v>MBR_1398</v>
          </cell>
          <cell r="S1774" t="str">
            <v>MBOUR</v>
          </cell>
          <cell r="T1774" t="str">
            <v>THIES</v>
          </cell>
        </row>
        <row r="1775">
          <cell r="A1775" t="str">
            <v>MBR_1399</v>
          </cell>
          <cell r="S1775" t="str">
            <v>MBOUR</v>
          </cell>
          <cell r="T1775" t="str">
            <v>THIES</v>
          </cell>
        </row>
        <row r="1776">
          <cell r="A1776" t="str">
            <v>MBR_1400</v>
          </cell>
          <cell r="S1776" t="str">
            <v>MBOUR</v>
          </cell>
          <cell r="T1776" t="str">
            <v>THIES</v>
          </cell>
        </row>
        <row r="1777">
          <cell r="A1777" t="str">
            <v>THS_2758</v>
          </cell>
          <cell r="S1777" t="str">
            <v>MBOUR</v>
          </cell>
          <cell r="T1777" t="str">
            <v>THIES</v>
          </cell>
        </row>
        <row r="1778">
          <cell r="A1778" t="str">
            <v>THS_2631</v>
          </cell>
          <cell r="S1778" t="str">
            <v>MBOUR</v>
          </cell>
          <cell r="T1778" t="str">
            <v>THIES</v>
          </cell>
        </row>
        <row r="1779">
          <cell r="A1779" t="str">
            <v>THS_2727</v>
          </cell>
          <cell r="S1779" t="str">
            <v>MBOUR</v>
          </cell>
          <cell r="T1779" t="str">
            <v>THIES</v>
          </cell>
        </row>
        <row r="1780">
          <cell r="A1780" t="str">
            <v>THS_2731</v>
          </cell>
          <cell r="S1780" t="str">
            <v>MBOUR</v>
          </cell>
          <cell r="T1780" t="str">
            <v>THIES</v>
          </cell>
        </row>
        <row r="1781">
          <cell r="A1781" t="str">
            <v>THS_2728</v>
          </cell>
          <cell r="S1781" t="str">
            <v>MBOUR</v>
          </cell>
          <cell r="T1781" t="str">
            <v>THIES</v>
          </cell>
        </row>
        <row r="1782">
          <cell r="A1782" t="str">
            <v>THS_2732</v>
          </cell>
          <cell r="S1782" t="str">
            <v>MBOUR</v>
          </cell>
          <cell r="T1782" t="str">
            <v>THIES</v>
          </cell>
        </row>
        <row r="1783">
          <cell r="A1783" t="str">
            <v>THS_2733</v>
          </cell>
          <cell r="S1783" t="str">
            <v>MBOUR</v>
          </cell>
          <cell r="T1783" t="str">
            <v>THIES</v>
          </cell>
        </row>
        <row r="1784">
          <cell r="A1784" t="str">
            <v>MBR_2546</v>
          </cell>
          <cell r="S1784" t="str">
            <v>MBOUR</v>
          </cell>
          <cell r="T1784" t="str">
            <v>THIES</v>
          </cell>
        </row>
        <row r="1785">
          <cell r="A1785" t="str">
            <v>MBR_2547</v>
          </cell>
          <cell r="S1785" t="str">
            <v>MBOUR</v>
          </cell>
          <cell r="T1785" t="str">
            <v>THIES</v>
          </cell>
        </row>
        <row r="1786">
          <cell r="A1786" t="str">
            <v>MBR_2548</v>
          </cell>
          <cell r="S1786" t="str">
            <v>MBOUR</v>
          </cell>
          <cell r="T1786" t="str">
            <v>THIES</v>
          </cell>
        </row>
        <row r="1787">
          <cell r="A1787" t="str">
            <v>MBR_2545</v>
          </cell>
          <cell r="S1787" t="str">
            <v>Mbour</v>
          </cell>
          <cell r="T1787" t="str">
            <v>THIES</v>
          </cell>
        </row>
        <row r="1788">
          <cell r="A1788" t="str">
            <v>THS_2754</v>
          </cell>
          <cell r="S1788" t="str">
            <v>THIES</v>
          </cell>
          <cell r="T1788" t="str">
            <v>THIES</v>
          </cell>
        </row>
        <row r="1789">
          <cell r="A1789" t="str">
            <v>NDM_1401</v>
          </cell>
          <cell r="S1789" t="str">
            <v>NDIOUM</v>
          </cell>
          <cell r="T1789" t="str">
            <v>SAINT-LOUIS</v>
          </cell>
        </row>
        <row r="1790">
          <cell r="A1790" t="str">
            <v>ZIG_1402</v>
          </cell>
          <cell r="S1790" t="str">
            <v>ZIGUINCHOR</v>
          </cell>
          <cell r="T1790" t="str">
            <v>ZIGUINCHOR</v>
          </cell>
        </row>
        <row r="1791">
          <cell r="A1791" t="str">
            <v>KLD_1403</v>
          </cell>
          <cell r="S1791" t="str">
            <v>KOLDA</v>
          </cell>
          <cell r="T1791" t="str">
            <v>ZIGUINCHOR</v>
          </cell>
        </row>
        <row r="1792">
          <cell r="A1792" t="str">
            <v>TMB_1404</v>
          </cell>
          <cell r="S1792" t="str">
            <v>KOUNGHEUL</v>
          </cell>
          <cell r="T1792" t="str">
            <v>TAMBACOUNDA</v>
          </cell>
        </row>
        <row r="1793">
          <cell r="A1793" t="str">
            <v>DBL_1405</v>
          </cell>
          <cell r="S1793" t="str">
            <v>LINGUERE</v>
          </cell>
          <cell r="T1793" t="str">
            <v>THIES</v>
          </cell>
        </row>
        <row r="1794">
          <cell r="A1794" t="str">
            <v>KLD_1406</v>
          </cell>
          <cell r="S1794" t="str">
            <v>KOLDA</v>
          </cell>
          <cell r="T1794" t="str">
            <v>ZIGUINCHOR</v>
          </cell>
        </row>
        <row r="1795">
          <cell r="A1795" t="str">
            <v>DBL_1407</v>
          </cell>
          <cell r="S1795" t="str">
            <v>TOUBA02</v>
          </cell>
          <cell r="T1795" t="str">
            <v>THIES</v>
          </cell>
        </row>
        <row r="1796">
          <cell r="A1796" t="str">
            <v>NDM_1408</v>
          </cell>
          <cell r="S1796" t="str">
            <v>NDIOUM</v>
          </cell>
          <cell r="T1796" t="str">
            <v>SAINT-LOUIS</v>
          </cell>
        </row>
        <row r="1797">
          <cell r="A1797" t="str">
            <v>TMB_1409</v>
          </cell>
          <cell r="S1797" t="str">
            <v>TAMBA</v>
          </cell>
          <cell r="T1797" t="str">
            <v>TAMBACOUNDA</v>
          </cell>
        </row>
        <row r="1798">
          <cell r="A1798" t="str">
            <v>TMB_1410</v>
          </cell>
          <cell r="S1798" t="str">
            <v>TAMBA</v>
          </cell>
          <cell r="T1798" t="str">
            <v>TAMBACOUNDA</v>
          </cell>
        </row>
        <row r="1799">
          <cell r="A1799" t="str">
            <v>TMB_1411</v>
          </cell>
          <cell r="S1799" t="str">
            <v>TAMBA</v>
          </cell>
          <cell r="T1799" t="str">
            <v>TAMBACOUNDA</v>
          </cell>
        </row>
        <row r="1800">
          <cell r="A1800" t="str">
            <v>TMB_1412</v>
          </cell>
          <cell r="S1800" t="str">
            <v>KOUNGHEUL</v>
          </cell>
          <cell r="T1800" t="str">
            <v>TAMBACOUNDA</v>
          </cell>
        </row>
        <row r="1801">
          <cell r="A1801" t="str">
            <v>KLK_2826</v>
          </cell>
          <cell r="S1801" t="str">
            <v>KAFFRINE</v>
          </cell>
          <cell r="T1801" t="str">
            <v>KAOLACK</v>
          </cell>
        </row>
        <row r="1802">
          <cell r="A1802" t="str">
            <v>KLK_1413</v>
          </cell>
          <cell r="S1802" t="str">
            <v>KAFFRINE</v>
          </cell>
          <cell r="T1802" t="str">
            <v>KAOLACK</v>
          </cell>
        </row>
        <row r="1803">
          <cell r="A1803" t="str">
            <v>ZIG_1414</v>
          </cell>
          <cell r="S1803" t="str">
            <v>SEDHIOU</v>
          </cell>
          <cell r="T1803" t="str">
            <v>ZIGUINCHOR</v>
          </cell>
        </row>
        <row r="1804">
          <cell r="A1804" t="str">
            <v>KLD_1415</v>
          </cell>
          <cell r="S1804" t="str">
            <v>VELINGARA</v>
          </cell>
          <cell r="T1804" t="str">
            <v>ZIGUINCHOR</v>
          </cell>
        </row>
        <row r="1805">
          <cell r="A1805" t="str">
            <v>KLK_2734</v>
          </cell>
          <cell r="S1805" t="str">
            <v>TOUBA</v>
          </cell>
          <cell r="T1805" t="str">
            <v>THIES</v>
          </cell>
        </row>
        <row r="1806">
          <cell r="A1806" t="str">
            <v>KLK_1416</v>
          </cell>
          <cell r="S1806" t="str">
            <v>KAFFRINE</v>
          </cell>
          <cell r="T1806" t="str">
            <v>KAOLACK</v>
          </cell>
        </row>
        <row r="1807">
          <cell r="A1807" t="str">
            <v>NDM_1417</v>
          </cell>
          <cell r="S1807" t="str">
            <v>NDIOUM</v>
          </cell>
          <cell r="T1807" t="str">
            <v>SAINT-LOUIS</v>
          </cell>
        </row>
        <row r="1808">
          <cell r="A1808" t="str">
            <v>DBL_1418</v>
          </cell>
          <cell r="S1808" t="str">
            <v>TOUBA02</v>
          </cell>
          <cell r="T1808" t="str">
            <v>THIES</v>
          </cell>
        </row>
        <row r="1809">
          <cell r="A1809" t="str">
            <v>TMB_2803</v>
          </cell>
          <cell r="S1809" t="str">
            <v>VELINGARA</v>
          </cell>
          <cell r="T1809" t="str">
            <v>ZIGUINCHOR</v>
          </cell>
        </row>
        <row r="1810">
          <cell r="A1810" t="str">
            <v>KLK_1419</v>
          </cell>
          <cell r="S1810" t="str">
            <v>SOKONE</v>
          </cell>
          <cell r="T1810" t="str">
            <v>KAOLACK</v>
          </cell>
        </row>
        <row r="1811">
          <cell r="A1811" t="str">
            <v>KLD_1420</v>
          </cell>
          <cell r="S1811" t="str">
            <v>KOLDA</v>
          </cell>
          <cell r="T1811" t="str">
            <v>ZIGUINCHOR</v>
          </cell>
        </row>
        <row r="1812">
          <cell r="A1812" t="str">
            <v>KLD_2736</v>
          </cell>
          <cell r="S1812" t="str">
            <v>KOLDA</v>
          </cell>
          <cell r="T1812" t="str">
            <v>ZIGUINCHOR</v>
          </cell>
        </row>
        <row r="1813">
          <cell r="A1813" t="str">
            <v>KLK_2744</v>
          </cell>
          <cell r="S1813" t="str">
            <v>KAFFRINE</v>
          </cell>
          <cell r="T1813" t="str">
            <v xml:space="preserve"> KAOLACK</v>
          </cell>
        </row>
        <row r="1814">
          <cell r="A1814" t="str">
            <v>KLK_1421</v>
          </cell>
          <cell r="S1814" t="str">
            <v>SOKONE</v>
          </cell>
          <cell r="T1814" t="str">
            <v>KAOLACK</v>
          </cell>
        </row>
        <row r="1815">
          <cell r="A1815" t="str">
            <v>KLK_1422</v>
          </cell>
          <cell r="S1815" t="str">
            <v>KAOLACK</v>
          </cell>
          <cell r="T1815" t="str">
            <v>KAOLACK</v>
          </cell>
        </row>
        <row r="1816">
          <cell r="A1816" t="str">
            <v>KLK_1423</v>
          </cell>
          <cell r="S1816" t="str">
            <v>KAFFRINE</v>
          </cell>
          <cell r="T1816" t="str">
            <v>KAOLACK</v>
          </cell>
        </row>
        <row r="1817">
          <cell r="A1817" t="str">
            <v>TMB_1424</v>
          </cell>
          <cell r="S1817" t="str">
            <v>TAMBA</v>
          </cell>
          <cell r="T1817" t="str">
            <v>TAMBACOUNDA</v>
          </cell>
        </row>
        <row r="1818">
          <cell r="A1818" t="str">
            <v>BKL_1425</v>
          </cell>
          <cell r="S1818" t="str">
            <v>GOUDIRY</v>
          </cell>
          <cell r="T1818" t="str">
            <v>TAMBACOUNDA</v>
          </cell>
        </row>
        <row r="1819">
          <cell r="A1819" t="str">
            <v>KLD_1426</v>
          </cell>
          <cell r="S1819" t="str">
            <v>SEDHIOU</v>
          </cell>
          <cell r="T1819" t="str">
            <v>ZIGUINCHOR</v>
          </cell>
        </row>
        <row r="1820">
          <cell r="A1820" t="str">
            <v>ZIG_2701</v>
          </cell>
          <cell r="S1820" t="str">
            <v>SEDHIOU</v>
          </cell>
          <cell r="T1820" t="str">
            <v>ZIGUINCHOR</v>
          </cell>
        </row>
        <row r="1821">
          <cell r="A1821" t="str">
            <v>TMB_1427</v>
          </cell>
          <cell r="S1821" t="str">
            <v>TAMBA</v>
          </cell>
          <cell r="T1821" t="str">
            <v>TAMBACOUNDA</v>
          </cell>
        </row>
        <row r="1822">
          <cell r="A1822" t="str">
            <v>KLD_1428</v>
          </cell>
          <cell r="S1822" t="str">
            <v>KOLDA</v>
          </cell>
          <cell r="T1822" t="str">
            <v>ZIGUINCHOR</v>
          </cell>
        </row>
        <row r="1823">
          <cell r="A1823" t="str">
            <v>DKR_1429</v>
          </cell>
          <cell r="S1823" t="str">
            <v>MEDINA</v>
          </cell>
          <cell r="T1823" t="str">
            <v>DAKAR</v>
          </cell>
        </row>
        <row r="1824">
          <cell r="A1824" t="str">
            <v>DKR_1430</v>
          </cell>
          <cell r="S1824" t="str">
            <v>MBOUR</v>
          </cell>
          <cell r="T1824" t="str">
            <v>DAKAR</v>
          </cell>
        </row>
        <row r="1825">
          <cell r="A1825" t="str">
            <v>DKR_1431</v>
          </cell>
          <cell r="S1825" t="str">
            <v>MEDINA</v>
          </cell>
          <cell r="T1825" t="str">
            <v>DAKAR</v>
          </cell>
        </row>
        <row r="1826">
          <cell r="A1826" t="str">
            <v>DKR_1432</v>
          </cell>
          <cell r="S1826" t="str">
            <v>MEDINA</v>
          </cell>
          <cell r="T1826" t="str">
            <v>DAKAR</v>
          </cell>
        </row>
        <row r="1827">
          <cell r="A1827" t="str">
            <v>MBR_1433</v>
          </cell>
          <cell r="S1827" t="str">
            <v>MBOUR</v>
          </cell>
          <cell r="T1827" t="str">
            <v>THIES</v>
          </cell>
        </row>
        <row r="1828">
          <cell r="A1828" t="str">
            <v>KLK_1434</v>
          </cell>
          <cell r="S1828" t="str">
            <v>KAFFRINE</v>
          </cell>
          <cell r="T1828" t="str">
            <v>KAOLACK</v>
          </cell>
        </row>
        <row r="1829">
          <cell r="A1829" t="str">
            <v>THS_2822</v>
          </cell>
          <cell r="S1829" t="str">
            <v>THIES</v>
          </cell>
          <cell r="T1829" t="str">
            <v>THIES</v>
          </cell>
        </row>
        <row r="1830">
          <cell r="A1830" t="str">
            <v>THS_1435</v>
          </cell>
          <cell r="S1830" t="str">
            <v>TIVAOUANE</v>
          </cell>
          <cell r="T1830" t="str">
            <v>THIES</v>
          </cell>
        </row>
        <row r="1831">
          <cell r="A1831" t="str">
            <v>THS_1436</v>
          </cell>
          <cell r="S1831" t="str">
            <v>TIVAOUANE</v>
          </cell>
          <cell r="T1831" t="str">
            <v>THIES</v>
          </cell>
        </row>
        <row r="1832">
          <cell r="A1832" t="str">
            <v>THS_1437</v>
          </cell>
          <cell r="S1832" t="str">
            <v>TIVAOUANE</v>
          </cell>
          <cell r="T1832" t="str">
            <v>THIES</v>
          </cell>
        </row>
        <row r="1833">
          <cell r="A1833" t="str">
            <v>DBL_1438</v>
          </cell>
          <cell r="S1833" t="str">
            <v>LINGUERE</v>
          </cell>
          <cell r="T1833" t="str">
            <v>THIES</v>
          </cell>
        </row>
        <row r="1834">
          <cell r="A1834" t="str">
            <v>KLD_1439</v>
          </cell>
          <cell r="S1834" t="str">
            <v>KOLDA</v>
          </cell>
          <cell r="T1834" t="str">
            <v>ZIGUINCHOR</v>
          </cell>
        </row>
        <row r="1835">
          <cell r="A1835" t="str">
            <v>THS_1440</v>
          </cell>
          <cell r="S1835" t="str">
            <v>TIVAOUANE</v>
          </cell>
          <cell r="T1835" t="str">
            <v>THIES</v>
          </cell>
        </row>
        <row r="1836">
          <cell r="A1836" t="str">
            <v>TMB_1441</v>
          </cell>
          <cell r="S1836" t="str">
            <v>KOUNGHEUL</v>
          </cell>
          <cell r="T1836" t="str">
            <v>TAMBACOUNDA</v>
          </cell>
        </row>
        <row r="1837">
          <cell r="S1837" t="e">
            <v>#N/A</v>
          </cell>
          <cell r="T1837" t="e">
            <v>#N/A</v>
          </cell>
        </row>
        <row r="1838">
          <cell r="A1838" t="str">
            <v>DKR_1443</v>
          </cell>
          <cell r="S1838" t="str">
            <v>OUAKAM</v>
          </cell>
          <cell r="T1838" t="str">
            <v>DAKAR</v>
          </cell>
        </row>
        <row r="1839">
          <cell r="A1839" t="str">
            <v>THS_1444</v>
          </cell>
          <cell r="S1839" t="str">
            <v>TIVAOUANE</v>
          </cell>
          <cell r="T1839" t="str">
            <v>THIES</v>
          </cell>
        </row>
        <row r="1840">
          <cell r="A1840" t="str">
            <v>STL_1445</v>
          </cell>
          <cell r="S1840" t="str">
            <v>LOUGA</v>
          </cell>
          <cell r="T1840" t="str">
            <v>SAINT-LOUIS</v>
          </cell>
        </row>
        <row r="1841">
          <cell r="A1841" t="str">
            <v>DKR_1446</v>
          </cell>
          <cell r="S1841" t="str">
            <v>OUAKAM</v>
          </cell>
          <cell r="T1841" t="str">
            <v>DAKAR</v>
          </cell>
        </row>
        <row r="1842">
          <cell r="A1842" t="str">
            <v>DKR_1447</v>
          </cell>
          <cell r="S1842" t="str">
            <v>SACRE_COEUR</v>
          </cell>
          <cell r="T1842" t="str">
            <v>DAKAR</v>
          </cell>
        </row>
        <row r="1843">
          <cell r="A1843" t="str">
            <v>DKR_1448</v>
          </cell>
          <cell r="S1843" t="str">
            <v>SACRE_COEUR</v>
          </cell>
          <cell r="T1843" t="str">
            <v>DAKAR</v>
          </cell>
        </row>
        <row r="1844">
          <cell r="A1844" t="str">
            <v>DKR_1449</v>
          </cell>
          <cell r="S1844" t="str">
            <v>SACRE_COEUR</v>
          </cell>
          <cell r="T1844" t="str">
            <v>DAKAR</v>
          </cell>
        </row>
        <row r="1845">
          <cell r="A1845" t="str">
            <v>DKR_1450</v>
          </cell>
          <cell r="S1845" t="str">
            <v>SACRE_COEUR</v>
          </cell>
          <cell r="T1845" t="str">
            <v>DAKAR</v>
          </cell>
        </row>
        <row r="1846">
          <cell r="A1846" t="str">
            <v>DKR_1451</v>
          </cell>
          <cell r="S1846" t="str">
            <v>MEDINA</v>
          </cell>
          <cell r="T1846" t="str">
            <v>DAKAR</v>
          </cell>
        </row>
        <row r="1847">
          <cell r="A1847" t="str">
            <v>DKR_1452</v>
          </cell>
          <cell r="S1847" t="str">
            <v>OUAKAM</v>
          </cell>
          <cell r="T1847" t="str">
            <v>DAKAR</v>
          </cell>
        </row>
        <row r="1848">
          <cell r="A1848" t="str">
            <v>NDM_1453</v>
          </cell>
          <cell r="S1848" t="str">
            <v>NDIOUM</v>
          </cell>
          <cell r="T1848" t="str">
            <v>SAINT-LOUIS</v>
          </cell>
        </row>
        <row r="1849">
          <cell r="A1849" t="str">
            <v>DBL_1454</v>
          </cell>
          <cell r="S1849" t="str">
            <v>LINGUERE</v>
          </cell>
          <cell r="T1849" t="str">
            <v>SAINT-LOUIS</v>
          </cell>
        </row>
        <row r="1850">
          <cell r="A1850" t="str">
            <v>KLK_2827</v>
          </cell>
          <cell r="S1850" t="str">
            <v>KAFFRINE</v>
          </cell>
          <cell r="T1850" t="str">
            <v>KAOLACK</v>
          </cell>
        </row>
        <row r="1851">
          <cell r="A1851" t="str">
            <v>KLD_1455</v>
          </cell>
          <cell r="S1851" t="str">
            <v>KOLDA</v>
          </cell>
          <cell r="T1851" t="str">
            <v>ZIGUINCHOR</v>
          </cell>
        </row>
        <row r="1852">
          <cell r="A1852" t="str">
            <v>KLD_1456</v>
          </cell>
          <cell r="S1852" t="str">
            <v>SEDHIOU</v>
          </cell>
          <cell r="T1852" t="str">
            <v>ZIGUINCHOR</v>
          </cell>
        </row>
        <row r="1853">
          <cell r="A1853" t="str">
            <v>ZIG_1457</v>
          </cell>
          <cell r="S1853" t="str">
            <v>KOLDA</v>
          </cell>
          <cell r="T1853" t="str">
            <v>ZIGUINCHOR</v>
          </cell>
        </row>
        <row r="1854">
          <cell r="A1854" t="str">
            <v>KLK_1458</v>
          </cell>
          <cell r="S1854" t="str">
            <v>SOKONE</v>
          </cell>
          <cell r="T1854" t="str">
            <v>KAOLACK</v>
          </cell>
        </row>
        <row r="1855">
          <cell r="A1855" t="str">
            <v>TMB_1459</v>
          </cell>
          <cell r="S1855" t="str">
            <v>TAMBA</v>
          </cell>
          <cell r="T1855" t="str">
            <v>TAMBACOUNDA</v>
          </cell>
        </row>
        <row r="1856">
          <cell r="A1856" t="str">
            <v>KDG_1460</v>
          </cell>
          <cell r="S1856" t="str">
            <v>KEDOUGOU</v>
          </cell>
          <cell r="T1856" t="str">
            <v>TAMBACOUNDA</v>
          </cell>
        </row>
        <row r="1857">
          <cell r="A1857" t="str">
            <v>KLD_1461</v>
          </cell>
          <cell r="S1857" t="str">
            <v>VELINGARA</v>
          </cell>
          <cell r="T1857" t="str">
            <v>ZIGUINCHOR</v>
          </cell>
        </row>
        <row r="1858">
          <cell r="A1858" t="str">
            <v>TMB_2818</v>
          </cell>
          <cell r="S1858" t="str">
            <v>TAMBACOUNDA</v>
          </cell>
          <cell r="T1858" t="str">
            <v>TAMBACOUNDA</v>
          </cell>
        </row>
        <row r="1859">
          <cell r="A1859" t="str">
            <v>KLD_1462</v>
          </cell>
          <cell r="S1859" t="str">
            <v>VELINGARA</v>
          </cell>
          <cell r="T1859" t="str">
            <v>ZIGUINCHOR</v>
          </cell>
        </row>
        <row r="1860">
          <cell r="A1860" t="str">
            <v>KLD_1463</v>
          </cell>
          <cell r="S1860" t="str">
            <v>VELINGARA</v>
          </cell>
          <cell r="T1860" t="str">
            <v>ZIGUINCHOR</v>
          </cell>
        </row>
        <row r="1861">
          <cell r="A1861" t="str">
            <v>TMB_1464</v>
          </cell>
          <cell r="S1861" t="str">
            <v>GOUDIRY</v>
          </cell>
          <cell r="T1861" t="str">
            <v>TAMBACOUNDA</v>
          </cell>
        </row>
        <row r="1862">
          <cell r="A1862" t="str">
            <v>KDG_1465</v>
          </cell>
          <cell r="S1862" t="str">
            <v>KEDOUGOU</v>
          </cell>
          <cell r="T1862" t="str">
            <v>TAMBACOUNDA</v>
          </cell>
        </row>
        <row r="1863">
          <cell r="A1863" t="str">
            <v>TMB_1466</v>
          </cell>
          <cell r="S1863" t="str">
            <v>TAMBA</v>
          </cell>
          <cell r="T1863" t="str">
            <v>TAMBACOUNDA</v>
          </cell>
        </row>
        <row r="1864">
          <cell r="A1864" t="str">
            <v>TMB_1467</v>
          </cell>
          <cell r="S1864" t="str">
            <v>KOUNGHEUL</v>
          </cell>
          <cell r="T1864" t="str">
            <v>TAMBACOUNDA</v>
          </cell>
        </row>
        <row r="1865">
          <cell r="A1865" t="str">
            <v>ZIG_1469</v>
          </cell>
          <cell r="S1865" t="str">
            <v>ZIGUINCHOR</v>
          </cell>
          <cell r="T1865" t="str">
            <v>ZIGUINCHOR</v>
          </cell>
        </row>
        <row r="1866">
          <cell r="A1866" t="str">
            <v>ZIG_1470</v>
          </cell>
          <cell r="S1866" t="str">
            <v>ZIGUINCHOR</v>
          </cell>
          <cell r="T1866" t="str">
            <v>ZIGUINCHOR</v>
          </cell>
        </row>
        <row r="1867">
          <cell r="A1867" t="str">
            <v>DBL_2740</v>
          </cell>
          <cell r="S1867" t="str">
            <v>TOUBA</v>
          </cell>
          <cell r="T1867" t="str">
            <v>THIES</v>
          </cell>
        </row>
        <row r="1868">
          <cell r="A1868" t="str">
            <v>THS_1471</v>
          </cell>
          <cell r="S1868" t="str">
            <v>THIES</v>
          </cell>
          <cell r="T1868" t="str">
            <v>THIES</v>
          </cell>
        </row>
        <row r="1869">
          <cell r="A1869" t="str">
            <v>TMB_2806</v>
          </cell>
          <cell r="S1869" t="str">
            <v>TAMBACOUNDA</v>
          </cell>
          <cell r="T1869" t="str">
            <v>TAMBACOUNDA</v>
          </cell>
        </row>
        <row r="1870">
          <cell r="A1870" t="str">
            <v>DKR_1473</v>
          </cell>
          <cell r="S1870" t="str">
            <v>OUAKAM</v>
          </cell>
          <cell r="T1870" t="str">
            <v>DAKAR</v>
          </cell>
        </row>
        <row r="1871">
          <cell r="A1871" t="str">
            <v>BKL_1474</v>
          </cell>
          <cell r="S1871" t="str">
            <v>BAKEL</v>
          </cell>
          <cell r="T1871" t="str">
            <v>SAINT-LOUIS</v>
          </cell>
        </row>
        <row r="1872">
          <cell r="A1872" t="str">
            <v>STL_1475</v>
          </cell>
          <cell r="S1872" t="str">
            <v>LOUGA</v>
          </cell>
          <cell r="T1872" t="str">
            <v>SAINT-LOUIS</v>
          </cell>
        </row>
        <row r="1873">
          <cell r="A1873" t="str">
            <v>KDG_1476</v>
          </cell>
          <cell r="S1873" t="str">
            <v>KEDOUGOU</v>
          </cell>
          <cell r="T1873" t="str">
            <v>TAMBACOUNDA</v>
          </cell>
        </row>
        <row r="1874">
          <cell r="A1874" t="str">
            <v>KLK_2774</v>
          </cell>
          <cell r="S1874" t="str">
            <v>FATICK</v>
          </cell>
          <cell r="T1874" t="str">
            <v xml:space="preserve"> KAOLACK</v>
          </cell>
        </row>
        <row r="1875">
          <cell r="A1875" t="str">
            <v>KDG_2709</v>
          </cell>
          <cell r="S1875" t="str">
            <v>KEDOUGOU</v>
          </cell>
          <cell r="T1875" t="str">
            <v>TAMBACOUNDA</v>
          </cell>
        </row>
        <row r="1876">
          <cell r="A1876" t="str">
            <v>DBL_1477</v>
          </cell>
          <cell r="S1876" t="str">
            <v>TOUBA01</v>
          </cell>
          <cell r="T1876" t="str">
            <v>THIES</v>
          </cell>
        </row>
        <row r="1877">
          <cell r="A1877" t="str">
            <v>KDG_1478</v>
          </cell>
          <cell r="S1877" t="str">
            <v>KEDOUGOU</v>
          </cell>
          <cell r="T1877" t="str">
            <v>TAMBACOUNDA</v>
          </cell>
        </row>
        <row r="1878">
          <cell r="A1878" t="str">
            <v>KDG_1479</v>
          </cell>
          <cell r="S1878" t="str">
            <v>KEDOUGOU</v>
          </cell>
          <cell r="T1878" t="str">
            <v>TAMBACOUNDA</v>
          </cell>
        </row>
        <row r="1879">
          <cell r="A1879" t="str">
            <v>DBL_1480</v>
          </cell>
          <cell r="S1879" t="str">
            <v>LINGUERE</v>
          </cell>
          <cell r="T1879" t="str">
            <v>THIES</v>
          </cell>
        </row>
        <row r="1880">
          <cell r="A1880" t="str">
            <v>ZIG_1481</v>
          </cell>
          <cell r="S1880" t="str">
            <v>ZIGUINCHOR</v>
          </cell>
          <cell r="T1880" t="str">
            <v>ZIGUINCHOR</v>
          </cell>
        </row>
        <row r="1881">
          <cell r="A1881" t="str">
            <v>STL_1482</v>
          </cell>
          <cell r="S1881" t="str">
            <v>SAINT-LOUIS</v>
          </cell>
          <cell r="T1881" t="str">
            <v>SAINT-LOUIS</v>
          </cell>
        </row>
        <row r="1882">
          <cell r="A1882" t="str">
            <v>ORG_1483</v>
          </cell>
          <cell r="S1882" t="str">
            <v>MATAM</v>
          </cell>
          <cell r="T1882" t="str">
            <v>SAINT-LOUIS</v>
          </cell>
        </row>
        <row r="1883">
          <cell r="A1883" t="str">
            <v>STL_1484</v>
          </cell>
          <cell r="S1883" t="str">
            <v>SAINT-LOUIS</v>
          </cell>
          <cell r="T1883" t="str">
            <v>SAINT-LOUIS</v>
          </cell>
        </row>
        <row r="1884">
          <cell r="A1884" t="str">
            <v>KDG_1485</v>
          </cell>
          <cell r="S1884" t="str">
            <v>KEDOUGOU</v>
          </cell>
          <cell r="T1884" t="str">
            <v>TAMBACOUNDA</v>
          </cell>
        </row>
        <row r="1885">
          <cell r="A1885" t="str">
            <v>DBL_1486</v>
          </cell>
          <cell r="S1885" t="str">
            <v>LINGUERE</v>
          </cell>
          <cell r="T1885" t="str">
            <v>THIES</v>
          </cell>
        </row>
        <row r="1886">
          <cell r="A1886" t="str">
            <v>NDM_1487</v>
          </cell>
          <cell r="S1886" t="str">
            <v>NDIOUM</v>
          </cell>
          <cell r="T1886" t="str">
            <v>SAINT-LOUIS</v>
          </cell>
        </row>
        <row r="1887">
          <cell r="A1887" t="str">
            <v>NDM_1488</v>
          </cell>
          <cell r="S1887" t="str">
            <v>NDIOUM</v>
          </cell>
          <cell r="T1887" t="str">
            <v>SAINT-LOUIS</v>
          </cell>
        </row>
        <row r="1888">
          <cell r="A1888" t="str">
            <v>DBL_1489</v>
          </cell>
          <cell r="S1888" t="str">
            <v>LINGUERE</v>
          </cell>
          <cell r="T1888" t="str">
            <v>THIES</v>
          </cell>
        </row>
        <row r="1889">
          <cell r="A1889" t="str">
            <v>KLK_2735</v>
          </cell>
          <cell r="S1889" t="str">
            <v>KAOLACK</v>
          </cell>
          <cell r="T1889" t="str">
            <v>KAOLACK</v>
          </cell>
        </row>
        <row r="1890">
          <cell r="A1890" t="str">
            <v>DKR_1490</v>
          </cell>
          <cell r="S1890" t="str">
            <v>GUEDIAWAYE</v>
          </cell>
          <cell r="T1890" t="str">
            <v>DAKAR</v>
          </cell>
        </row>
        <row r="1891">
          <cell r="A1891" t="str">
            <v>DKR_1491</v>
          </cell>
          <cell r="S1891" t="str">
            <v>GUEDIAWAYE</v>
          </cell>
          <cell r="T1891" t="str">
            <v>DAKAR</v>
          </cell>
        </row>
        <row r="1892">
          <cell r="A1892" t="str">
            <v>BKL_1492</v>
          </cell>
          <cell r="S1892" t="str">
            <v>BAKEL</v>
          </cell>
          <cell r="T1892" t="str">
            <v>SAINT-LOUIS</v>
          </cell>
        </row>
        <row r="1893">
          <cell r="A1893" t="str">
            <v>BKL_2737</v>
          </cell>
          <cell r="S1893" t="str">
            <v>BAKEL</v>
          </cell>
          <cell r="T1893" t="str">
            <v>SAINT-LOUIS</v>
          </cell>
        </row>
        <row r="1894">
          <cell r="A1894" t="str">
            <v>STL_1493</v>
          </cell>
          <cell r="S1894" t="str">
            <v>LOUGA</v>
          </cell>
          <cell r="T1894" t="str">
            <v>SAINT-LOUIS</v>
          </cell>
        </row>
        <row r="1895">
          <cell r="A1895" t="str">
            <v>DBL_1494</v>
          </cell>
          <cell r="S1895" t="str">
            <v>DIOURBEL</v>
          </cell>
          <cell r="T1895" t="str">
            <v>THIES</v>
          </cell>
        </row>
        <row r="1896">
          <cell r="A1896" t="str">
            <v>KLK_2745</v>
          </cell>
          <cell r="S1896" t="str">
            <v>KAOLACK</v>
          </cell>
          <cell r="T1896" t="str">
            <v xml:space="preserve"> KAOLACK</v>
          </cell>
        </row>
        <row r="1897">
          <cell r="A1897" t="str">
            <v>KLK_2828</v>
          </cell>
          <cell r="S1897" t="str">
            <v>KAFFRINE</v>
          </cell>
          <cell r="T1897" t="str">
            <v>KAOLACK</v>
          </cell>
        </row>
        <row r="1898">
          <cell r="A1898" t="str">
            <v>KLK_1495</v>
          </cell>
          <cell r="S1898" t="str">
            <v>KAFFRINE</v>
          </cell>
          <cell r="T1898" t="str">
            <v>KAOLACK</v>
          </cell>
        </row>
        <row r="1899">
          <cell r="A1899" t="str">
            <v>STL_2667</v>
          </cell>
          <cell r="S1899" t="str">
            <v>LOUGA</v>
          </cell>
          <cell r="T1899" t="str">
            <v>SAINT-LOUIS</v>
          </cell>
        </row>
        <row r="1900">
          <cell r="A1900" t="str">
            <v>DBL_1496</v>
          </cell>
          <cell r="S1900" t="str">
            <v>TOUBA02</v>
          </cell>
          <cell r="T1900" t="str">
            <v>THIES</v>
          </cell>
        </row>
        <row r="1901">
          <cell r="A1901" t="str">
            <v>DBL_1497</v>
          </cell>
          <cell r="S1901" t="str">
            <v>TOUBA02</v>
          </cell>
          <cell r="T1901" t="str">
            <v>THIES</v>
          </cell>
        </row>
        <row r="1902">
          <cell r="A1902" t="str">
            <v>DBL_1498</v>
          </cell>
          <cell r="S1902" t="str">
            <v>TOUBA02</v>
          </cell>
          <cell r="T1902" t="str">
            <v>THIES</v>
          </cell>
        </row>
        <row r="1903">
          <cell r="A1903" t="str">
            <v>DBL_1499</v>
          </cell>
          <cell r="S1903" t="str">
            <v>TOUBA02</v>
          </cell>
          <cell r="T1903" t="str">
            <v>THIES</v>
          </cell>
        </row>
        <row r="1904">
          <cell r="A1904" t="str">
            <v>DBL_1500</v>
          </cell>
          <cell r="S1904" t="str">
            <v>TOUBA02</v>
          </cell>
          <cell r="T1904" t="str">
            <v>THIES</v>
          </cell>
        </row>
        <row r="1905">
          <cell r="A1905" t="str">
            <v>DBL_1501</v>
          </cell>
          <cell r="S1905" t="str">
            <v>TOUBA02</v>
          </cell>
          <cell r="T1905" t="str">
            <v>THIES</v>
          </cell>
        </row>
        <row r="1906">
          <cell r="A1906" t="str">
            <v>DBL_1502</v>
          </cell>
          <cell r="S1906" t="str">
            <v>TOUBA02</v>
          </cell>
          <cell r="T1906" t="str">
            <v>THIES</v>
          </cell>
        </row>
        <row r="1907">
          <cell r="A1907" t="str">
            <v>DBL_1503</v>
          </cell>
          <cell r="S1907" t="str">
            <v>TOUBA02</v>
          </cell>
          <cell r="T1907" t="str">
            <v>THIES</v>
          </cell>
        </row>
        <row r="1908">
          <cell r="A1908" t="str">
            <v>DBL_1504</v>
          </cell>
          <cell r="S1908" t="str">
            <v>TOUBA02</v>
          </cell>
          <cell r="T1908" t="str">
            <v>THIES</v>
          </cell>
        </row>
        <row r="1909">
          <cell r="A1909" t="str">
            <v>STL_1505</v>
          </cell>
          <cell r="S1909" t="str">
            <v>LOUGA</v>
          </cell>
          <cell r="T1909" t="str">
            <v>SAINT-LOUIS</v>
          </cell>
        </row>
        <row r="1910">
          <cell r="A1910" t="str">
            <v>STL_1506</v>
          </cell>
          <cell r="S1910" t="str">
            <v>LOUGA</v>
          </cell>
          <cell r="T1910" t="str">
            <v>SAINT-LOUIS</v>
          </cell>
        </row>
        <row r="1911">
          <cell r="A1911" t="str">
            <v>DBL_1507</v>
          </cell>
          <cell r="S1911" t="str">
            <v>TOUBA01</v>
          </cell>
          <cell r="T1911" t="str">
            <v>THIES</v>
          </cell>
        </row>
        <row r="1912">
          <cell r="A1912" t="str">
            <v>DBL_1508</v>
          </cell>
          <cell r="S1912" t="str">
            <v>TOUBA01</v>
          </cell>
          <cell r="T1912" t="str">
            <v>THIES</v>
          </cell>
        </row>
        <row r="1913">
          <cell r="A1913" t="str">
            <v>DBL_1509</v>
          </cell>
          <cell r="S1913" t="str">
            <v>TOUBA01</v>
          </cell>
          <cell r="T1913" t="str">
            <v>THIES</v>
          </cell>
        </row>
        <row r="1914">
          <cell r="A1914" t="str">
            <v>DBL_1510</v>
          </cell>
          <cell r="S1914" t="str">
            <v>TOUBA01</v>
          </cell>
          <cell r="T1914" t="str">
            <v>THIES</v>
          </cell>
        </row>
        <row r="1915">
          <cell r="A1915" t="str">
            <v>DBL_1511</v>
          </cell>
          <cell r="S1915" t="str">
            <v>TOUBA01</v>
          </cell>
          <cell r="T1915" t="str">
            <v>THIES</v>
          </cell>
        </row>
        <row r="1916">
          <cell r="A1916" t="str">
            <v>DBL_2723</v>
          </cell>
          <cell r="S1916" t="str">
            <v>TOUBA</v>
          </cell>
          <cell r="T1916" t="str">
            <v>THIES</v>
          </cell>
        </row>
        <row r="1917">
          <cell r="A1917" t="str">
            <v>DBL_2724</v>
          </cell>
          <cell r="S1917" t="str">
            <v>TOUBA</v>
          </cell>
          <cell r="T1917" t="str">
            <v>THIES</v>
          </cell>
        </row>
        <row r="1918">
          <cell r="A1918" t="str">
            <v>DBL_2778</v>
          </cell>
          <cell r="S1918" t="str">
            <v>DIOURBEL</v>
          </cell>
          <cell r="T1918" t="str">
            <v>THIES</v>
          </cell>
        </row>
        <row r="1919">
          <cell r="A1919" t="str">
            <v>STL_1512</v>
          </cell>
          <cell r="S1919" t="str">
            <v>LOUGA</v>
          </cell>
          <cell r="T1919" t="str">
            <v>SAINT-LOUIS</v>
          </cell>
        </row>
        <row r="1920">
          <cell r="A1920" t="str">
            <v>DBL_1513</v>
          </cell>
          <cell r="S1920" t="str">
            <v>DIOURBEL</v>
          </cell>
          <cell r="T1920" t="str">
            <v>THIES</v>
          </cell>
        </row>
        <row r="1921">
          <cell r="A1921" t="str">
            <v>MBR_1514</v>
          </cell>
          <cell r="S1921" t="str">
            <v>FATICK</v>
          </cell>
          <cell r="T1921" t="str">
            <v>KAOLACK</v>
          </cell>
        </row>
        <row r="1922">
          <cell r="A1922" t="str">
            <v>MBR_1515</v>
          </cell>
          <cell r="S1922" t="str">
            <v>FATICK</v>
          </cell>
          <cell r="T1922" t="str">
            <v>KAOLACK</v>
          </cell>
        </row>
        <row r="1923">
          <cell r="A1923" t="str">
            <v>STL_2838</v>
          </cell>
          <cell r="S1923" t="str">
            <v>LOUGA</v>
          </cell>
          <cell r="T1923" t="str">
            <v>SAINT-LOUIS</v>
          </cell>
        </row>
        <row r="1924">
          <cell r="A1924" t="str">
            <v>KLK_1516</v>
          </cell>
          <cell r="S1924" t="str">
            <v>KAFFRINE</v>
          </cell>
          <cell r="T1924" t="str">
            <v>KAOLACK</v>
          </cell>
        </row>
        <row r="1925">
          <cell r="A1925" t="str">
            <v>KLK_2783</v>
          </cell>
          <cell r="S1925" t="str">
            <v>KAFFRINE</v>
          </cell>
          <cell r="T1925" t="str">
            <v>KAOLACK</v>
          </cell>
        </row>
        <row r="1926">
          <cell r="A1926" t="str">
            <v>THS_2798</v>
          </cell>
          <cell r="S1926" t="str">
            <v>MBOUR</v>
          </cell>
          <cell r="T1926" t="str">
            <v>THIES</v>
          </cell>
        </row>
        <row r="1927">
          <cell r="A1927" t="str">
            <v>DBL_1517</v>
          </cell>
          <cell r="S1927" t="str">
            <v>DIOURBEL</v>
          </cell>
          <cell r="T1927" t="str">
            <v>THIES</v>
          </cell>
        </row>
        <row r="1928">
          <cell r="A1928" t="str">
            <v>STL_1518</v>
          </cell>
          <cell r="S1928" t="str">
            <v>LOUGA</v>
          </cell>
          <cell r="T1928" t="str">
            <v>SAINT-LOUIS</v>
          </cell>
        </row>
        <row r="1929">
          <cell r="A1929" t="str">
            <v>THS_2734</v>
          </cell>
          <cell r="S1929" t="str">
            <v>MBOUR</v>
          </cell>
          <cell r="T1929" t="str">
            <v>THIES</v>
          </cell>
        </row>
        <row r="1930">
          <cell r="A1930" t="str">
            <v>KLK_1519</v>
          </cell>
          <cell r="S1930" t="str">
            <v>KAOLACK</v>
          </cell>
          <cell r="T1930" t="str">
            <v>KAOLACK</v>
          </cell>
        </row>
        <row r="1931">
          <cell r="A1931" t="str">
            <v>STL_2788</v>
          </cell>
          <cell r="S1931" t="str">
            <v>RICHARD_TOLL</v>
          </cell>
          <cell r="T1931" t="str">
            <v>SAINT-LOUIS</v>
          </cell>
        </row>
        <row r="1932">
          <cell r="A1932" t="str">
            <v>DBL_2743</v>
          </cell>
          <cell r="S1932" t="str">
            <v>DIOURBEL</v>
          </cell>
          <cell r="T1932" t="str">
            <v>THIES</v>
          </cell>
        </row>
        <row r="1933">
          <cell r="A1933" t="str">
            <v>THS_2790</v>
          </cell>
          <cell r="S1933" t="str">
            <v>THIES</v>
          </cell>
          <cell r="T1933" t="str">
            <v>THIES</v>
          </cell>
        </row>
        <row r="1934">
          <cell r="A1934" t="str">
            <v>STL_1520</v>
          </cell>
          <cell r="S1934" t="str">
            <v>LOUGA</v>
          </cell>
          <cell r="T1934" t="str">
            <v>SAINT-LOUIS</v>
          </cell>
        </row>
        <row r="1935">
          <cell r="A1935" t="str">
            <v>ORG_1521</v>
          </cell>
          <cell r="S1935" t="str">
            <v>MATAM</v>
          </cell>
          <cell r="T1935" t="str">
            <v>SAINT-LOUIS</v>
          </cell>
        </row>
        <row r="1936">
          <cell r="A1936" t="str">
            <v>KLK_1522</v>
          </cell>
          <cell r="S1936" t="str">
            <v>KAOLACK</v>
          </cell>
          <cell r="T1936" t="str">
            <v>KAOLACK</v>
          </cell>
        </row>
        <row r="1937">
          <cell r="A1937" t="str">
            <v>MBR_1523</v>
          </cell>
          <cell r="S1937" t="str">
            <v>MBOUR</v>
          </cell>
          <cell r="T1937" t="str">
            <v>THIES</v>
          </cell>
        </row>
        <row r="1938">
          <cell r="A1938" t="str">
            <v>THS_2782</v>
          </cell>
          <cell r="S1938" t="str">
            <v>THIES</v>
          </cell>
          <cell r="T1938" t="str">
            <v>THIES</v>
          </cell>
        </row>
        <row r="1939">
          <cell r="A1939" t="str">
            <v>STL_1524</v>
          </cell>
          <cell r="S1939" t="str">
            <v>LOUGA</v>
          </cell>
          <cell r="T1939" t="str">
            <v>SAINT-LOUIS</v>
          </cell>
        </row>
        <row r="1940">
          <cell r="A1940" t="str">
            <v>DBL_1525</v>
          </cell>
          <cell r="S1940" t="str">
            <v>DIOURBEL</v>
          </cell>
          <cell r="T1940" t="str">
            <v>THIES</v>
          </cell>
        </row>
        <row r="1941">
          <cell r="A1941" t="str">
            <v>DBL_1526</v>
          </cell>
          <cell r="S1941" t="str">
            <v>DIOURBEL</v>
          </cell>
          <cell r="T1941" t="str">
            <v>THIES</v>
          </cell>
        </row>
        <row r="1942">
          <cell r="A1942" t="str">
            <v>ZIG_1527</v>
          </cell>
          <cell r="S1942" t="str">
            <v>ZIGUINCHOR</v>
          </cell>
          <cell r="T1942" t="str">
            <v>ZIGUINCHOR</v>
          </cell>
        </row>
        <row r="1943">
          <cell r="A1943" t="str">
            <v>KLK_1528</v>
          </cell>
          <cell r="S1943" t="str">
            <v>SOKONE</v>
          </cell>
          <cell r="T1943" t="str">
            <v>KAOLACK</v>
          </cell>
        </row>
        <row r="1944">
          <cell r="A1944" t="str">
            <v>KLK_1529</v>
          </cell>
          <cell r="S1944" t="str">
            <v>KAOLACK</v>
          </cell>
          <cell r="T1944" t="str">
            <v>KAOLACK</v>
          </cell>
        </row>
        <row r="1945">
          <cell r="A1945" t="str">
            <v>DBL_1530</v>
          </cell>
          <cell r="S1945" t="str">
            <v>LINGUERE</v>
          </cell>
          <cell r="T1945" t="str">
            <v>THIES</v>
          </cell>
        </row>
        <row r="1946">
          <cell r="A1946" t="str">
            <v>THS_1531</v>
          </cell>
          <cell r="S1946" t="str">
            <v>THIES</v>
          </cell>
          <cell r="T1946" t="str">
            <v>THIES</v>
          </cell>
        </row>
        <row r="1947">
          <cell r="A1947" t="str">
            <v>STL_2752</v>
          </cell>
          <cell r="S1947" t="str">
            <v>LINGUERE</v>
          </cell>
          <cell r="T1947" t="str">
            <v>SAINT-LOUIS</v>
          </cell>
        </row>
        <row r="1948">
          <cell r="A1948" t="str">
            <v>STL_2753</v>
          </cell>
          <cell r="S1948" t="str">
            <v>RICHARD_TOLL</v>
          </cell>
          <cell r="T1948" t="str">
            <v>SAINT-LOUIS</v>
          </cell>
        </row>
        <row r="1949">
          <cell r="A1949" t="str">
            <v>KLD_1532</v>
          </cell>
          <cell r="S1949" t="str">
            <v>SEDHIOU</v>
          </cell>
          <cell r="T1949" t="str">
            <v>ZIGUINCHOR</v>
          </cell>
        </row>
        <row r="1950">
          <cell r="A1950" t="str">
            <v>KLD_1533</v>
          </cell>
          <cell r="S1950" t="str">
            <v>SEDHIOU</v>
          </cell>
          <cell r="T1950" t="str">
            <v>ZIGUINCHOR</v>
          </cell>
        </row>
        <row r="1951">
          <cell r="A1951" t="str">
            <v>KLK_2829</v>
          </cell>
          <cell r="S1951" t="str">
            <v>KAOLACK</v>
          </cell>
          <cell r="T1951" t="str">
            <v>KAOLACK</v>
          </cell>
        </row>
        <row r="1952">
          <cell r="A1952" t="str">
            <v>DBL_1534</v>
          </cell>
          <cell r="S1952" t="str">
            <v>DIOURBEL</v>
          </cell>
          <cell r="T1952" t="str">
            <v>THIES</v>
          </cell>
        </row>
        <row r="1953">
          <cell r="A1953" t="str">
            <v>MBR_1535</v>
          </cell>
          <cell r="S1953" t="str">
            <v>MBOUR</v>
          </cell>
          <cell r="T1953" t="str">
            <v>THIES</v>
          </cell>
        </row>
        <row r="1954">
          <cell r="A1954" t="str">
            <v>DBL_2714</v>
          </cell>
          <cell r="S1954" t="str">
            <v>LINGUERE</v>
          </cell>
          <cell r="T1954" t="str">
            <v>THIES</v>
          </cell>
        </row>
        <row r="1955">
          <cell r="A1955" t="str">
            <v>DBL_1536</v>
          </cell>
          <cell r="S1955" t="str">
            <v>KOUNGHEUL</v>
          </cell>
          <cell r="T1955" t="str">
            <v>TAMBACOUNDA</v>
          </cell>
        </row>
        <row r="1956">
          <cell r="A1956" t="str">
            <v>KLK_1537</v>
          </cell>
          <cell r="S1956" t="str">
            <v>KAFFRINE</v>
          </cell>
          <cell r="T1956" t="str">
            <v>KAOLACK</v>
          </cell>
        </row>
        <row r="1957">
          <cell r="A1957" t="str">
            <v>STL_2745</v>
          </cell>
          <cell r="S1957" t="str">
            <v>SAINT-LOUIS</v>
          </cell>
          <cell r="T1957" t="str">
            <v>SAINT-LOUIS</v>
          </cell>
        </row>
        <row r="1958">
          <cell r="A1958" t="str">
            <v>THS_1538</v>
          </cell>
          <cell r="S1958" t="str">
            <v>THIES</v>
          </cell>
          <cell r="T1958" t="str">
            <v>THIES</v>
          </cell>
        </row>
        <row r="1959">
          <cell r="A1959" t="str">
            <v>DBL_1539</v>
          </cell>
          <cell r="S1959" t="str">
            <v>DIOURBEL</v>
          </cell>
          <cell r="T1959" t="str">
            <v>THIES</v>
          </cell>
        </row>
        <row r="1960">
          <cell r="A1960" t="str">
            <v>DKR_1540</v>
          </cell>
          <cell r="S1960" t="str">
            <v>MBOUR</v>
          </cell>
          <cell r="T1960" t="str">
            <v>THIES</v>
          </cell>
        </row>
        <row r="1961">
          <cell r="A1961" t="str">
            <v>THS_1541</v>
          </cell>
          <cell r="S1961" t="str">
            <v>MBOUR</v>
          </cell>
          <cell r="T1961" t="str">
            <v>THIES</v>
          </cell>
        </row>
        <row r="1962">
          <cell r="A1962" t="str">
            <v>THS_1542</v>
          </cell>
          <cell r="S1962" t="str">
            <v>MBOUR</v>
          </cell>
          <cell r="T1962" t="str">
            <v>THIES</v>
          </cell>
        </row>
        <row r="1963">
          <cell r="A1963" t="str">
            <v>THS_1543</v>
          </cell>
          <cell r="S1963" t="str">
            <v>TIVAOUANE</v>
          </cell>
          <cell r="T1963" t="str">
            <v>THIES</v>
          </cell>
        </row>
        <row r="1964">
          <cell r="A1964" t="str">
            <v>THS_1544</v>
          </cell>
          <cell r="S1964" t="str">
            <v>TIVAOUANE</v>
          </cell>
          <cell r="T1964" t="str">
            <v>THIES</v>
          </cell>
        </row>
        <row r="1965">
          <cell r="A1965" t="str">
            <v>NDM_1545</v>
          </cell>
          <cell r="S1965" t="str">
            <v>NDIOUM</v>
          </cell>
          <cell r="T1965" t="str">
            <v>SAINT-LOUIS</v>
          </cell>
        </row>
        <row r="1966">
          <cell r="A1966" t="str">
            <v>DBL_2744</v>
          </cell>
          <cell r="S1966" t="str">
            <v>DIOURBEL</v>
          </cell>
          <cell r="T1966" t="str">
            <v>THIES</v>
          </cell>
        </row>
        <row r="1967">
          <cell r="A1967" t="str">
            <v>STL_1546</v>
          </cell>
          <cell r="S1967" t="str">
            <v>LOUGA</v>
          </cell>
          <cell r="T1967" t="str">
            <v>SAINT-LOUIS</v>
          </cell>
        </row>
        <row r="1968">
          <cell r="A1968" t="str">
            <v>KLK_2830</v>
          </cell>
          <cell r="S1968" t="str">
            <v>FATICK</v>
          </cell>
          <cell r="T1968" t="str">
            <v>KAOLACK</v>
          </cell>
        </row>
        <row r="1969">
          <cell r="A1969" t="str">
            <v>STL_1547</v>
          </cell>
          <cell r="S1969" t="str">
            <v>SAINT-LOUIS</v>
          </cell>
          <cell r="T1969" t="str">
            <v>SAINT-LOUIS</v>
          </cell>
        </row>
        <row r="1970">
          <cell r="A1970" t="str">
            <v>TMB_1548</v>
          </cell>
          <cell r="S1970" t="str">
            <v>KOUNGHEUL</v>
          </cell>
          <cell r="T1970" t="str">
            <v>TAMBACOUNDA</v>
          </cell>
        </row>
        <row r="1971">
          <cell r="A1971" t="str">
            <v>DBL_1549</v>
          </cell>
          <cell r="S1971" t="str">
            <v>LINGUERE</v>
          </cell>
          <cell r="T1971" t="str">
            <v>THIES</v>
          </cell>
        </row>
        <row r="1972">
          <cell r="A1972" t="str">
            <v>KLK_1550</v>
          </cell>
          <cell r="S1972" t="str">
            <v>KAOLACK</v>
          </cell>
          <cell r="T1972" t="str">
            <v>KAOLACK</v>
          </cell>
        </row>
        <row r="1973">
          <cell r="A1973" t="str">
            <v>KLK_1551</v>
          </cell>
          <cell r="S1973" t="str">
            <v>KAOLACK</v>
          </cell>
          <cell r="T1973" t="str">
            <v>KAOLACK</v>
          </cell>
        </row>
        <row r="1974">
          <cell r="A1974" t="str">
            <v>KLK_1552</v>
          </cell>
          <cell r="S1974" t="str">
            <v>KAOLACK</v>
          </cell>
          <cell r="T1974" t="str">
            <v>KAOLACK</v>
          </cell>
        </row>
        <row r="1975">
          <cell r="A1975" t="str">
            <v>KLK_1553</v>
          </cell>
          <cell r="S1975" t="str">
            <v>SOKONE</v>
          </cell>
          <cell r="T1975" t="str">
            <v>KAOLACK</v>
          </cell>
        </row>
        <row r="1976">
          <cell r="A1976" t="str">
            <v>DBL_1554</v>
          </cell>
          <cell r="S1976" t="str">
            <v>KAOLACK</v>
          </cell>
          <cell r="T1976" t="str">
            <v>KAOLACK</v>
          </cell>
        </row>
        <row r="1977">
          <cell r="A1977" t="str">
            <v>KLK_1555</v>
          </cell>
          <cell r="S1977" t="str">
            <v>KAFFRINE</v>
          </cell>
          <cell r="T1977" t="str">
            <v>KAOLACK</v>
          </cell>
        </row>
        <row r="1978">
          <cell r="A1978" t="str">
            <v>NDM_1556</v>
          </cell>
          <cell r="S1978" t="str">
            <v>NDIOUM</v>
          </cell>
          <cell r="T1978" t="str">
            <v>SAINT-LOUIS</v>
          </cell>
        </row>
        <row r="1979">
          <cell r="A1979" t="str">
            <v>STL_1557</v>
          </cell>
          <cell r="S1979" t="str">
            <v>SAINT-LOUIS</v>
          </cell>
          <cell r="T1979" t="str">
            <v>SAINT-LOUIS</v>
          </cell>
        </row>
        <row r="1980">
          <cell r="A1980" t="str">
            <v>STL_1558</v>
          </cell>
          <cell r="S1980" t="str">
            <v>LOUGA</v>
          </cell>
          <cell r="T1980" t="str">
            <v>SAINT-LOUIS</v>
          </cell>
        </row>
        <row r="1981">
          <cell r="A1981" t="str">
            <v>THS_1559</v>
          </cell>
          <cell r="S1981" t="str">
            <v>THIES</v>
          </cell>
          <cell r="T1981" t="str">
            <v>THIES</v>
          </cell>
        </row>
        <row r="1982">
          <cell r="A1982" t="str">
            <v>STL_2830</v>
          </cell>
          <cell r="S1982" t="str">
            <v>LOUGA</v>
          </cell>
          <cell r="T1982" t="str">
            <v>SAINT-LOUIS</v>
          </cell>
        </row>
        <row r="1983">
          <cell r="A1983" t="str">
            <v>KLK_1560</v>
          </cell>
          <cell r="S1983" t="str">
            <v>KAFFRINE</v>
          </cell>
          <cell r="T1983" t="str">
            <v>KAOLACK</v>
          </cell>
        </row>
        <row r="1984">
          <cell r="A1984" t="str">
            <v>STL_2655</v>
          </cell>
          <cell r="S1984" t="str">
            <v>LOUGA</v>
          </cell>
          <cell r="T1984" t="str">
            <v>SAINT-LOUIS</v>
          </cell>
        </row>
        <row r="1985">
          <cell r="A1985" t="str">
            <v>DBL_1561</v>
          </cell>
          <cell r="S1985" t="str">
            <v>DIOURBEL</v>
          </cell>
          <cell r="T1985" t="str">
            <v>THIES</v>
          </cell>
        </row>
        <row r="1986">
          <cell r="A1986" t="str">
            <v>DBL_1562</v>
          </cell>
          <cell r="S1986" t="str">
            <v>DIOURBEL</v>
          </cell>
          <cell r="T1986" t="str">
            <v>THIES</v>
          </cell>
        </row>
        <row r="1987">
          <cell r="A1987" t="str">
            <v>KLK_1563</v>
          </cell>
          <cell r="S1987" t="str">
            <v>KAOLACK</v>
          </cell>
          <cell r="T1987" t="str">
            <v>KAOLACK</v>
          </cell>
        </row>
        <row r="1988">
          <cell r="A1988" t="str">
            <v>MBR_1564</v>
          </cell>
          <cell r="S1988" t="str">
            <v>MBOUR</v>
          </cell>
          <cell r="T1988" t="str">
            <v>THIES</v>
          </cell>
        </row>
        <row r="1989">
          <cell r="A1989" t="str">
            <v>THS_1565</v>
          </cell>
          <cell r="S1989" t="str">
            <v>THIES</v>
          </cell>
          <cell r="T1989" t="str">
            <v>THIES</v>
          </cell>
        </row>
        <row r="1990">
          <cell r="A1990" t="str">
            <v>KLK_2736</v>
          </cell>
          <cell r="S1990" t="str">
            <v>FATICK</v>
          </cell>
          <cell r="T1990" t="str">
            <v>KAOLACK</v>
          </cell>
        </row>
        <row r="1991">
          <cell r="A1991" t="str">
            <v>TMB_1566</v>
          </cell>
          <cell r="S1991" t="str">
            <v>GOUDIRY</v>
          </cell>
          <cell r="T1991" t="str">
            <v>TAMBACOUNDA</v>
          </cell>
        </row>
        <row r="1992">
          <cell r="A1992" t="str">
            <v>KLK_1567</v>
          </cell>
          <cell r="S1992" t="str">
            <v>SOKONE</v>
          </cell>
          <cell r="T1992" t="str">
            <v>KAOLACK</v>
          </cell>
        </row>
        <row r="1993">
          <cell r="A1993" t="str">
            <v>STL_2794</v>
          </cell>
          <cell r="S1993" t="str">
            <v>LOUGA</v>
          </cell>
          <cell r="T1993" t="str">
            <v>SAINT-LOUIS</v>
          </cell>
        </row>
        <row r="1994">
          <cell r="A1994" t="str">
            <v>STL_1568</v>
          </cell>
          <cell r="S1994" t="str">
            <v>LOUGA</v>
          </cell>
          <cell r="T1994" t="str">
            <v>SAINT-LOUIS</v>
          </cell>
        </row>
        <row r="1995">
          <cell r="A1995" t="str">
            <v>KLK_1569</v>
          </cell>
          <cell r="S1995" t="str">
            <v>KAFFRINE</v>
          </cell>
          <cell r="T1995" t="str">
            <v>KAOLACK</v>
          </cell>
        </row>
        <row r="1996">
          <cell r="A1996" t="str">
            <v>KLK_1570</v>
          </cell>
          <cell r="S1996" t="str">
            <v>SOKONE</v>
          </cell>
          <cell r="T1996" t="str">
            <v>KAOLACK</v>
          </cell>
        </row>
        <row r="1997">
          <cell r="A1997" t="str">
            <v>KLK_1571</v>
          </cell>
          <cell r="S1997" t="str">
            <v>KAFFRINE</v>
          </cell>
          <cell r="T1997" t="str">
            <v>KAOLACK</v>
          </cell>
        </row>
        <row r="1998">
          <cell r="A1998" t="str">
            <v>KLK_2737</v>
          </cell>
          <cell r="S1998" t="str">
            <v>KAFFRINE</v>
          </cell>
          <cell r="T1998" t="str">
            <v>KAOLACK</v>
          </cell>
        </row>
        <row r="1999">
          <cell r="A1999" t="str">
            <v>MBR_1572</v>
          </cell>
          <cell r="S1999" t="str">
            <v>MBOUR</v>
          </cell>
          <cell r="T1999" t="str">
            <v>THIES</v>
          </cell>
        </row>
        <row r="2000">
          <cell r="A2000" t="str">
            <v>KLD_1573</v>
          </cell>
          <cell r="S2000" t="str">
            <v>SEDHIOU</v>
          </cell>
          <cell r="T2000" t="str">
            <v>ZIGUINCHOR</v>
          </cell>
        </row>
        <row r="2001">
          <cell r="A2001" t="str">
            <v>THS_2819</v>
          </cell>
          <cell r="S2001" t="str">
            <v>THIES</v>
          </cell>
          <cell r="T2001" t="str">
            <v>THIES</v>
          </cell>
        </row>
        <row r="2002">
          <cell r="A2002" t="str">
            <v>MBR_1574</v>
          </cell>
          <cell r="S2002" t="str">
            <v>FATICK</v>
          </cell>
          <cell r="T2002" t="str">
            <v>KAOLACK</v>
          </cell>
        </row>
        <row r="2003">
          <cell r="A2003" t="str">
            <v>THS_1575</v>
          </cell>
          <cell r="S2003" t="str">
            <v>THIES</v>
          </cell>
          <cell r="T2003" t="str">
            <v>THIES</v>
          </cell>
        </row>
        <row r="2004">
          <cell r="A2004" t="str">
            <v>KLK_2805</v>
          </cell>
          <cell r="S2004" t="str">
            <v>FATICK</v>
          </cell>
          <cell r="T2004" t="str">
            <v>KAOLACK</v>
          </cell>
        </row>
        <row r="2005">
          <cell r="A2005" t="str">
            <v>BKL_1576</v>
          </cell>
          <cell r="S2005" t="str">
            <v>BAKEL</v>
          </cell>
          <cell r="T2005" t="str">
            <v>SAINT-LOUIS</v>
          </cell>
        </row>
        <row r="2006">
          <cell r="A2006" t="str">
            <v>DBL_1577</v>
          </cell>
          <cell r="S2006" t="str">
            <v>DIOURBEL</v>
          </cell>
          <cell r="T2006" t="str">
            <v>THIES</v>
          </cell>
        </row>
        <row r="2007">
          <cell r="A2007" t="str">
            <v>THS_2799</v>
          </cell>
          <cell r="S2007" t="str">
            <v>MBOUR</v>
          </cell>
          <cell r="T2007" t="str">
            <v>THIES</v>
          </cell>
        </row>
        <row r="2008">
          <cell r="A2008" t="str">
            <v>NDM_1578</v>
          </cell>
          <cell r="S2008" t="str">
            <v>NDIOUM</v>
          </cell>
          <cell r="T2008" t="str">
            <v>SAINT-LOUIS</v>
          </cell>
        </row>
        <row r="2009">
          <cell r="A2009" t="str">
            <v>STL_1579</v>
          </cell>
          <cell r="S2009" t="str">
            <v>NDIOUM</v>
          </cell>
          <cell r="T2009" t="str">
            <v>SAINT-LOUIS</v>
          </cell>
        </row>
        <row r="2010">
          <cell r="A2010" t="str">
            <v>KLK_1580</v>
          </cell>
          <cell r="S2010" t="str">
            <v>KAFFRINE</v>
          </cell>
          <cell r="T2010" t="str">
            <v>KAOLACK</v>
          </cell>
        </row>
        <row r="2011">
          <cell r="A2011" t="str">
            <v>DBL_1581</v>
          </cell>
          <cell r="S2011" t="str">
            <v>DIOURBEL</v>
          </cell>
          <cell r="T2011" t="str">
            <v>THIES</v>
          </cell>
        </row>
        <row r="2012">
          <cell r="A2012" t="str">
            <v>MBR_1582</v>
          </cell>
          <cell r="S2012" t="str">
            <v>FATICK</v>
          </cell>
          <cell r="T2012" t="str">
            <v>KAOLACK</v>
          </cell>
        </row>
        <row r="2013">
          <cell r="A2013" t="str">
            <v>KLK_1583</v>
          </cell>
          <cell r="S2013" t="str">
            <v>KAFFRINE</v>
          </cell>
          <cell r="T2013" t="str">
            <v>KAOLACK</v>
          </cell>
        </row>
        <row r="2014">
          <cell r="A2014" t="str">
            <v>KLK_1584</v>
          </cell>
          <cell r="S2014" t="str">
            <v>KAOLACK</v>
          </cell>
          <cell r="T2014" t="str">
            <v>KAOLACK</v>
          </cell>
        </row>
        <row r="2015">
          <cell r="A2015" t="str">
            <v>KLK_1585</v>
          </cell>
          <cell r="S2015" t="str">
            <v>KAOLACK</v>
          </cell>
          <cell r="T2015" t="str">
            <v>KAOLACK</v>
          </cell>
        </row>
        <row r="2016">
          <cell r="A2016" t="str">
            <v>TMB_1586</v>
          </cell>
          <cell r="S2016" t="str">
            <v>TAMBA</v>
          </cell>
          <cell r="T2016" t="str">
            <v>TAMBACOUNDA</v>
          </cell>
        </row>
        <row r="2017">
          <cell r="A2017" t="str">
            <v>TMB_1587</v>
          </cell>
          <cell r="S2017" t="str">
            <v>KOUNGHEUL</v>
          </cell>
          <cell r="T2017" t="str">
            <v>TAMBACOUNDA</v>
          </cell>
        </row>
        <row r="2018">
          <cell r="A2018" t="str">
            <v>STL_1588</v>
          </cell>
          <cell r="S2018" t="str">
            <v>SAINT-LOUIS</v>
          </cell>
          <cell r="T2018" t="str">
            <v>SAINT-LOUIS</v>
          </cell>
        </row>
        <row r="2019">
          <cell r="A2019" t="str">
            <v>DBL_1589</v>
          </cell>
          <cell r="S2019" t="str">
            <v>DIOURBEL</v>
          </cell>
          <cell r="T2019" t="str">
            <v>THIES</v>
          </cell>
        </row>
        <row r="2020">
          <cell r="A2020" t="str">
            <v>DBL_1590</v>
          </cell>
          <cell r="S2020" t="str">
            <v>DIOURBEL</v>
          </cell>
          <cell r="T2020" t="str">
            <v>THIES</v>
          </cell>
        </row>
        <row r="2021">
          <cell r="A2021" t="str">
            <v>KLD_1591</v>
          </cell>
          <cell r="S2021" t="str">
            <v>KOLDA</v>
          </cell>
          <cell r="T2021" t="str">
            <v>ZIGUINCHOR</v>
          </cell>
        </row>
        <row r="2022">
          <cell r="S2022" t="e">
            <v>#N/A</v>
          </cell>
          <cell r="T2022" t="e">
            <v>#N/A</v>
          </cell>
        </row>
        <row r="2023">
          <cell r="A2023" t="str">
            <v>KLK_2831</v>
          </cell>
          <cell r="S2023" t="str">
            <v>FATICK</v>
          </cell>
          <cell r="T2023" t="str">
            <v>KAOLACK</v>
          </cell>
        </row>
        <row r="2024">
          <cell r="A2024" t="str">
            <v>THS_1592</v>
          </cell>
          <cell r="S2024" t="str">
            <v>TIVAOUANE</v>
          </cell>
          <cell r="T2024" t="str">
            <v>THIES</v>
          </cell>
        </row>
        <row r="2025">
          <cell r="A2025" t="str">
            <v>DBL_1593</v>
          </cell>
          <cell r="S2025" t="str">
            <v>DIOURBEL</v>
          </cell>
          <cell r="T2025" t="str">
            <v>THIES</v>
          </cell>
        </row>
        <row r="2026">
          <cell r="A2026" t="str">
            <v>STL_1594</v>
          </cell>
          <cell r="S2026" t="str">
            <v>MATAM</v>
          </cell>
          <cell r="T2026" t="str">
            <v>SAINT-LOUIS</v>
          </cell>
        </row>
        <row r="2027">
          <cell r="A2027" t="str">
            <v>KLK_1595</v>
          </cell>
          <cell r="S2027" t="str">
            <v>SOKONE</v>
          </cell>
          <cell r="T2027" t="str">
            <v>KAOLACK</v>
          </cell>
        </row>
        <row r="2028">
          <cell r="A2028" t="str">
            <v>KLK_1596</v>
          </cell>
          <cell r="S2028" t="str">
            <v>KAFFRINE</v>
          </cell>
          <cell r="T2028" t="str">
            <v>KAOLACK</v>
          </cell>
        </row>
        <row r="2029">
          <cell r="A2029" t="str">
            <v>STL_1597</v>
          </cell>
          <cell r="S2029" t="str">
            <v>LOUGA</v>
          </cell>
          <cell r="T2029" t="str">
            <v>SAINT-LOUIS</v>
          </cell>
        </row>
        <row r="2030">
          <cell r="A2030" t="str">
            <v>KLK_1598</v>
          </cell>
          <cell r="S2030" t="str">
            <v>SOKONE</v>
          </cell>
          <cell r="T2030" t="str">
            <v>KAOLACK</v>
          </cell>
        </row>
        <row r="2031">
          <cell r="A2031" t="str">
            <v>ORG_2563</v>
          </cell>
          <cell r="S2031" t="str">
            <v>TIVAOUANE</v>
          </cell>
          <cell r="T2031" t="str">
            <v>THIES</v>
          </cell>
        </row>
        <row r="2032">
          <cell r="A2032" t="str">
            <v>KDG_1599</v>
          </cell>
          <cell r="S2032" t="str">
            <v>KEDOUGOU</v>
          </cell>
          <cell r="T2032" t="str">
            <v>TAMBACOUNDA</v>
          </cell>
        </row>
        <row r="2033">
          <cell r="A2033" t="str">
            <v>NDM_1600</v>
          </cell>
          <cell r="S2033" t="str">
            <v>NDIOUM</v>
          </cell>
          <cell r="T2033" t="str">
            <v>SAINT-LOUIS</v>
          </cell>
        </row>
        <row r="2034">
          <cell r="A2034" t="str">
            <v>KDG_1601</v>
          </cell>
          <cell r="S2034" t="str">
            <v>KEDOUGOU</v>
          </cell>
          <cell r="T2034" t="str">
            <v>TAMBACOUNDA</v>
          </cell>
        </row>
        <row r="2035">
          <cell r="A2035" t="str">
            <v>TMB_1602</v>
          </cell>
          <cell r="S2035" t="str">
            <v>TAMBA</v>
          </cell>
          <cell r="T2035" t="str">
            <v>TAMBACOUNDA</v>
          </cell>
        </row>
        <row r="2036">
          <cell r="A2036" t="str">
            <v>DBL_1603</v>
          </cell>
          <cell r="S2036" t="str">
            <v>DIOURBEL</v>
          </cell>
          <cell r="T2036" t="str">
            <v>THIES</v>
          </cell>
        </row>
        <row r="2037">
          <cell r="A2037" t="str">
            <v>DBL_2780</v>
          </cell>
          <cell r="S2037" t="str">
            <v>DIOURBEL</v>
          </cell>
          <cell r="T2037" t="str">
            <v>THIES</v>
          </cell>
        </row>
        <row r="2038">
          <cell r="A2038" t="str">
            <v>STL_1604</v>
          </cell>
          <cell r="S2038" t="str">
            <v>LOUGA</v>
          </cell>
          <cell r="T2038" t="str">
            <v>SAINT-LOUIS</v>
          </cell>
        </row>
        <row r="2039">
          <cell r="A2039" t="str">
            <v>THS_1605</v>
          </cell>
          <cell r="S2039" t="str">
            <v>TIVAOUANE</v>
          </cell>
          <cell r="T2039" t="str">
            <v>THIES</v>
          </cell>
        </row>
        <row r="2040">
          <cell r="A2040" t="str">
            <v>THS_1606</v>
          </cell>
          <cell r="S2040" t="str">
            <v>TIVAOUANE</v>
          </cell>
          <cell r="T2040" t="str">
            <v>THIES</v>
          </cell>
        </row>
        <row r="2041">
          <cell r="A2041" t="str">
            <v>STL_1607</v>
          </cell>
          <cell r="S2041" t="str">
            <v>SAINT-LOUIS</v>
          </cell>
          <cell r="T2041" t="str">
            <v>SAINT-LOUIS</v>
          </cell>
        </row>
        <row r="2042">
          <cell r="A2042" t="str">
            <v>STL_2729</v>
          </cell>
          <cell r="S2042" t="str">
            <v>SAINT-LOUIS</v>
          </cell>
          <cell r="T2042" t="str">
            <v>SAINT-LOUIS</v>
          </cell>
        </row>
        <row r="2043">
          <cell r="A2043" t="str">
            <v>STL_2754</v>
          </cell>
          <cell r="S2043" t="str">
            <v>LOUGA</v>
          </cell>
          <cell r="T2043" t="str">
            <v>SAINT-LOUIS</v>
          </cell>
        </row>
        <row r="2044">
          <cell r="A2044" t="str">
            <v>KLK_1608</v>
          </cell>
          <cell r="S2044" t="str">
            <v>KAFFRINE</v>
          </cell>
          <cell r="T2044" t="str">
            <v>KAOLACK</v>
          </cell>
        </row>
        <row r="2045">
          <cell r="A2045" t="str">
            <v>THS_1609</v>
          </cell>
          <cell r="S2045" t="str">
            <v>TIVAOUANE</v>
          </cell>
          <cell r="T2045" t="str">
            <v>THIES</v>
          </cell>
        </row>
        <row r="2046">
          <cell r="A2046" t="str">
            <v>NDM_1610</v>
          </cell>
          <cell r="S2046" t="str">
            <v>NDIOUM</v>
          </cell>
          <cell r="T2046" t="str">
            <v>SAINT-LOUIS</v>
          </cell>
        </row>
        <row r="2047">
          <cell r="A2047" t="str">
            <v>ORG_1611</v>
          </cell>
          <cell r="S2047" t="str">
            <v>MATAM</v>
          </cell>
          <cell r="T2047" t="str">
            <v>SAINT-LOUIS</v>
          </cell>
        </row>
        <row r="2048">
          <cell r="A2048" t="str">
            <v>MBR_1612</v>
          </cell>
          <cell r="S2048" t="str">
            <v>MBOUR</v>
          </cell>
          <cell r="T2048" t="str">
            <v>THIES</v>
          </cell>
        </row>
        <row r="2049">
          <cell r="A2049" t="str">
            <v>KDG_1614</v>
          </cell>
          <cell r="S2049" t="str">
            <v>KEDOUGOU</v>
          </cell>
          <cell r="T2049" t="str">
            <v>TAMBACOUNDA</v>
          </cell>
        </row>
        <row r="2050">
          <cell r="A2050" t="str">
            <v>KLK_2815</v>
          </cell>
          <cell r="S2050" t="str">
            <v>KAOLACK</v>
          </cell>
          <cell r="T2050" t="str">
            <v>KAOLACK</v>
          </cell>
        </row>
        <row r="2051">
          <cell r="A2051" t="str">
            <v>KLK_1615</v>
          </cell>
          <cell r="S2051" t="str">
            <v>SOKONE</v>
          </cell>
          <cell r="T2051" t="str">
            <v>KAOLACK</v>
          </cell>
        </row>
        <row r="2052">
          <cell r="A2052" t="str">
            <v>TMB_1616</v>
          </cell>
          <cell r="S2052" t="str">
            <v>KOUNGHEUL</v>
          </cell>
          <cell r="T2052" t="str">
            <v>TAMBACOUNDA</v>
          </cell>
        </row>
        <row r="2053">
          <cell r="A2053" t="str">
            <v>ORG_2558</v>
          </cell>
          <cell r="S2053" t="str">
            <v>MATAM</v>
          </cell>
          <cell r="T2053" t="str">
            <v>SAINT-LOUIS</v>
          </cell>
        </row>
        <row r="2054">
          <cell r="A2054" t="str">
            <v>KLK_2741</v>
          </cell>
          <cell r="S2054" t="str">
            <v>KAFFRINE</v>
          </cell>
          <cell r="T2054" t="str">
            <v>KAOLACK</v>
          </cell>
        </row>
        <row r="2055">
          <cell r="A2055" t="str">
            <v>MBR_1617</v>
          </cell>
          <cell r="S2055" t="str">
            <v>FATICK</v>
          </cell>
          <cell r="T2055" t="str">
            <v>KAOLACK</v>
          </cell>
        </row>
        <row r="2056">
          <cell r="A2056" t="str">
            <v>KLK_1618</v>
          </cell>
          <cell r="S2056" t="str">
            <v>KAOLACK</v>
          </cell>
          <cell r="T2056" t="str">
            <v>KAOLACK</v>
          </cell>
        </row>
        <row r="2057">
          <cell r="A2057" t="str">
            <v>STL_1619</v>
          </cell>
          <cell r="S2057" t="str">
            <v>LOUGA</v>
          </cell>
          <cell r="T2057" t="str">
            <v>SAINT-LOUIS</v>
          </cell>
        </row>
        <row r="2058">
          <cell r="A2058" t="str">
            <v>STL_1620</v>
          </cell>
          <cell r="S2058" t="str">
            <v>LOUGA</v>
          </cell>
          <cell r="T2058" t="str">
            <v>SAINT-LOUIS</v>
          </cell>
        </row>
        <row r="2059">
          <cell r="A2059" t="str">
            <v>KDG_1621</v>
          </cell>
          <cell r="S2059" t="str">
            <v>GOUDIRY</v>
          </cell>
          <cell r="T2059" t="str">
            <v>TAMBACOUNDA</v>
          </cell>
        </row>
        <row r="2060">
          <cell r="A2060" t="str">
            <v>DKR_1622</v>
          </cell>
          <cell r="S2060" t="str">
            <v>MBOUR</v>
          </cell>
          <cell r="T2060" t="str">
            <v>DAKAR</v>
          </cell>
        </row>
        <row r="2061">
          <cell r="A2061" t="str">
            <v>DKR_1623</v>
          </cell>
          <cell r="S2061" t="str">
            <v>OUAKAM</v>
          </cell>
          <cell r="T2061" t="str">
            <v>DAKAR</v>
          </cell>
        </row>
        <row r="2062">
          <cell r="A2062" t="str">
            <v>DKR_1624</v>
          </cell>
          <cell r="S2062" t="str">
            <v>OUAKAM</v>
          </cell>
          <cell r="T2062" t="str">
            <v>DAKAR</v>
          </cell>
        </row>
        <row r="2063">
          <cell r="A2063" t="str">
            <v>DKR_2736</v>
          </cell>
          <cell r="S2063" t="str">
            <v>DAKAR</v>
          </cell>
          <cell r="T2063" t="str">
            <v>DAKAR</v>
          </cell>
        </row>
        <row r="2064">
          <cell r="A2064" t="str">
            <v>DKR_1626</v>
          </cell>
          <cell r="S2064" t="str">
            <v>OUAKAM</v>
          </cell>
          <cell r="T2064" t="str">
            <v>DAKAR</v>
          </cell>
        </row>
        <row r="2065">
          <cell r="A2065" t="str">
            <v>DKR_1627</v>
          </cell>
          <cell r="S2065" t="str">
            <v>OUAKAM</v>
          </cell>
          <cell r="T2065" t="str">
            <v>DAKAR</v>
          </cell>
        </row>
        <row r="2066">
          <cell r="A2066" t="str">
            <v>DKR_1628</v>
          </cell>
          <cell r="S2066" t="str">
            <v>DAKAR</v>
          </cell>
          <cell r="T2066" t="str">
            <v>DAKAR</v>
          </cell>
        </row>
        <row r="2067">
          <cell r="A2067" t="str">
            <v>DKR_2796</v>
          </cell>
          <cell r="S2067" t="str">
            <v>KEUR_MASSAR</v>
          </cell>
          <cell r="T2067" t="str">
            <v>DAKAR</v>
          </cell>
        </row>
        <row r="2068">
          <cell r="A2068" t="str">
            <v>KLD_1629</v>
          </cell>
          <cell r="S2068" t="str">
            <v>KOLDA</v>
          </cell>
          <cell r="T2068" t="str">
            <v>ZIGUINCHOR</v>
          </cell>
        </row>
        <row r="2069">
          <cell r="A2069" t="str">
            <v>STL_2755</v>
          </cell>
          <cell r="S2069" t="str">
            <v>LOUGA</v>
          </cell>
          <cell r="T2069" t="str">
            <v>SAINT-LOUIS</v>
          </cell>
        </row>
        <row r="2070">
          <cell r="A2070" t="str">
            <v>KLK_1630</v>
          </cell>
          <cell r="S2070" t="str">
            <v>FATICK</v>
          </cell>
          <cell r="T2070" t="str">
            <v>KAOLACK</v>
          </cell>
        </row>
        <row r="2071">
          <cell r="A2071" t="str">
            <v>STL_1631</v>
          </cell>
          <cell r="S2071" t="str">
            <v>LOUGA</v>
          </cell>
          <cell r="T2071" t="str">
            <v>SAINT-LOUIS</v>
          </cell>
        </row>
        <row r="2072">
          <cell r="A2072" t="str">
            <v>THS_1632</v>
          </cell>
          <cell r="S2072" t="str">
            <v>THIES</v>
          </cell>
          <cell r="T2072" t="str">
            <v>THIES</v>
          </cell>
        </row>
        <row r="2073">
          <cell r="A2073" t="str">
            <v>TMB_1633</v>
          </cell>
          <cell r="S2073" t="str">
            <v>KOUNGHEUL</v>
          </cell>
          <cell r="T2073" t="str">
            <v>TAMBACOUNDA</v>
          </cell>
        </row>
        <row r="2074">
          <cell r="A2074" t="str">
            <v>STL_2756</v>
          </cell>
          <cell r="S2074" t="str">
            <v>LOUGA</v>
          </cell>
          <cell r="T2074" t="str">
            <v>SAINT-LOUIS</v>
          </cell>
        </row>
        <row r="2075">
          <cell r="A2075" t="str">
            <v>KLK_1634</v>
          </cell>
          <cell r="S2075" t="str">
            <v>KAFFRINE</v>
          </cell>
          <cell r="T2075" t="str">
            <v>KAOLACK</v>
          </cell>
        </row>
        <row r="2076">
          <cell r="A2076" t="str">
            <v>KLK_1635</v>
          </cell>
          <cell r="S2076" t="str">
            <v>KAFFRINE</v>
          </cell>
          <cell r="T2076" t="str">
            <v>KAOLACK</v>
          </cell>
        </row>
        <row r="2077">
          <cell r="A2077" t="str">
            <v>MBR_1636</v>
          </cell>
          <cell r="S2077" t="str">
            <v>MBOUR</v>
          </cell>
          <cell r="T2077" t="str">
            <v>THIES</v>
          </cell>
        </row>
        <row r="2078">
          <cell r="A2078" t="str">
            <v>MBR_1637</v>
          </cell>
          <cell r="S2078" t="str">
            <v>MBOUR</v>
          </cell>
          <cell r="T2078" t="str">
            <v>THIES</v>
          </cell>
        </row>
        <row r="2079">
          <cell r="A2079" t="str">
            <v>MBR_1638</v>
          </cell>
          <cell r="S2079" t="str">
            <v>MBOUR</v>
          </cell>
          <cell r="T2079" t="str">
            <v>THIES</v>
          </cell>
        </row>
        <row r="2080">
          <cell r="A2080" t="str">
            <v>THS_2759</v>
          </cell>
          <cell r="S2080" t="str">
            <v>MBOUR</v>
          </cell>
          <cell r="T2080" t="str">
            <v>THIES</v>
          </cell>
        </row>
        <row r="2081">
          <cell r="A2081" t="str">
            <v>STL_1639</v>
          </cell>
          <cell r="S2081" t="str">
            <v>LOUGA</v>
          </cell>
          <cell r="T2081" t="str">
            <v>SAINT-LOUIS</v>
          </cell>
        </row>
        <row r="2082">
          <cell r="A2082" t="str">
            <v>TMB_1640</v>
          </cell>
          <cell r="S2082" t="str">
            <v>TAMBA</v>
          </cell>
          <cell r="T2082" t="str">
            <v>TAMBACOUNDA</v>
          </cell>
        </row>
        <row r="2083">
          <cell r="A2083" t="str">
            <v>MBR_1641</v>
          </cell>
          <cell r="S2083" t="str">
            <v>MBOUR</v>
          </cell>
          <cell r="T2083" t="str">
            <v>THIES</v>
          </cell>
        </row>
        <row r="2084">
          <cell r="A2084" t="str">
            <v>THS_2821</v>
          </cell>
          <cell r="S2084" t="str">
            <v>THIES</v>
          </cell>
          <cell r="T2084" t="str">
            <v>THIES</v>
          </cell>
        </row>
        <row r="2085">
          <cell r="A2085" t="str">
            <v>STL_1642</v>
          </cell>
          <cell r="S2085" t="str">
            <v>LOUGA</v>
          </cell>
          <cell r="T2085" t="str">
            <v>SAINT-LOUIS</v>
          </cell>
        </row>
        <row r="2086">
          <cell r="A2086" t="str">
            <v>KLK_2738</v>
          </cell>
          <cell r="S2086" t="str">
            <v>KAFFRINE</v>
          </cell>
          <cell r="T2086" t="str">
            <v>KAOLACK</v>
          </cell>
        </row>
        <row r="2087">
          <cell r="A2087" t="str">
            <v>KLK_1643</v>
          </cell>
          <cell r="S2087" t="str">
            <v>KAFFRINE</v>
          </cell>
          <cell r="T2087" t="str">
            <v>KAOLACK</v>
          </cell>
        </row>
        <row r="2088">
          <cell r="A2088" t="str">
            <v>KLK_2794</v>
          </cell>
          <cell r="S2088" t="str">
            <v>KAFFRINE</v>
          </cell>
          <cell r="T2088" t="str">
            <v>KAOLACK</v>
          </cell>
        </row>
        <row r="2089">
          <cell r="A2089" t="str">
            <v>MBR_1644</v>
          </cell>
          <cell r="S2089" t="str">
            <v>MBOUR</v>
          </cell>
          <cell r="T2089" t="str">
            <v>THIES</v>
          </cell>
        </row>
        <row r="2090">
          <cell r="A2090" t="str">
            <v>THS_1645</v>
          </cell>
          <cell r="S2090" t="str">
            <v>MBOUR</v>
          </cell>
          <cell r="T2090" t="str">
            <v>THIES</v>
          </cell>
        </row>
        <row r="2091">
          <cell r="A2091" t="str">
            <v>KLK_2822</v>
          </cell>
          <cell r="S2091" t="str">
            <v>KAFFRINE</v>
          </cell>
          <cell r="T2091" t="str">
            <v>KAOLACK</v>
          </cell>
        </row>
        <row r="2092">
          <cell r="A2092" t="str">
            <v>STL_1646</v>
          </cell>
          <cell r="S2092" t="str">
            <v>LOUGA</v>
          </cell>
          <cell r="T2092" t="str">
            <v>SAINT-LOUIS</v>
          </cell>
        </row>
        <row r="2093">
          <cell r="A2093" t="str">
            <v>THS_2791</v>
          </cell>
          <cell r="S2093" t="str">
            <v>THIES</v>
          </cell>
          <cell r="T2093" t="str">
            <v>THIES</v>
          </cell>
        </row>
        <row r="2094">
          <cell r="A2094" t="str">
            <v>STL_2757</v>
          </cell>
          <cell r="S2094" t="str">
            <v>LOUGA</v>
          </cell>
          <cell r="T2094" t="str">
            <v>SAINT-LOUIS</v>
          </cell>
        </row>
        <row r="2095">
          <cell r="A2095" t="str">
            <v>ORG_1647</v>
          </cell>
          <cell r="S2095" t="str">
            <v>MATAM</v>
          </cell>
          <cell r="T2095" t="str">
            <v>SAINT-LOUIS</v>
          </cell>
        </row>
        <row r="2096">
          <cell r="A2096" t="str">
            <v>THS_2653</v>
          </cell>
          <cell r="S2096" t="str">
            <v>TIVAOUANE</v>
          </cell>
          <cell r="T2096" t="str">
            <v>THIES</v>
          </cell>
        </row>
        <row r="2097">
          <cell r="A2097" t="str">
            <v>DBL_1648</v>
          </cell>
          <cell r="S2097" t="str">
            <v>LINGUERE</v>
          </cell>
          <cell r="T2097" t="str">
            <v>SAINT-LOUIS</v>
          </cell>
        </row>
        <row r="2098">
          <cell r="A2098" t="str">
            <v>DKR_1649</v>
          </cell>
          <cell r="S2098" t="str">
            <v>RUFISQUE</v>
          </cell>
          <cell r="T2098" t="str">
            <v>DAKAR</v>
          </cell>
        </row>
        <row r="2099">
          <cell r="A2099" t="str">
            <v>DKR_2723</v>
          </cell>
          <cell r="S2099" t="str">
            <v>KEUR_MASSAR</v>
          </cell>
          <cell r="T2099" t="str">
            <v>DAKAR</v>
          </cell>
        </row>
        <row r="2100">
          <cell r="A2100" t="str">
            <v>DKR_2778</v>
          </cell>
          <cell r="S2100" t="str">
            <v>KEUR_MASSAR</v>
          </cell>
          <cell r="T2100" t="str">
            <v>DAKAR</v>
          </cell>
        </row>
        <row r="2101">
          <cell r="A2101" t="str">
            <v>ZIG_1650</v>
          </cell>
          <cell r="S2101" t="str">
            <v>ZIGUINCHOR</v>
          </cell>
          <cell r="T2101" t="str">
            <v>ZIGUINCHOR</v>
          </cell>
        </row>
        <row r="2102">
          <cell r="A2102" t="str">
            <v>KLK_1651</v>
          </cell>
          <cell r="S2102" t="str">
            <v>KAFFRINE</v>
          </cell>
          <cell r="T2102" t="str">
            <v>KAOLACK</v>
          </cell>
        </row>
        <row r="2103">
          <cell r="A2103" t="str">
            <v>KLD_2737</v>
          </cell>
          <cell r="S2103" t="str">
            <v>ZIGUINCHOR</v>
          </cell>
          <cell r="T2103" t="str">
            <v>ZIGUINCHOR</v>
          </cell>
        </row>
        <row r="2104">
          <cell r="A2104" t="str">
            <v>MBR_1652</v>
          </cell>
          <cell r="S2104" t="str">
            <v>FATICK</v>
          </cell>
          <cell r="T2104" t="str">
            <v>KAOLACK</v>
          </cell>
        </row>
        <row r="2105">
          <cell r="A2105" t="str">
            <v>KLK_2777</v>
          </cell>
          <cell r="S2105" t="str">
            <v>FATICK</v>
          </cell>
          <cell r="T2105" t="str">
            <v>KAOLACK</v>
          </cell>
        </row>
        <row r="2106">
          <cell r="A2106" t="str">
            <v>THS_1653</v>
          </cell>
          <cell r="S2106" t="str">
            <v>TIVAOUANE</v>
          </cell>
          <cell r="T2106" t="str">
            <v>THIES</v>
          </cell>
        </row>
        <row r="2107">
          <cell r="A2107" t="str">
            <v>DKR_1654</v>
          </cell>
          <cell r="S2107" t="str">
            <v>RUFISQUE</v>
          </cell>
          <cell r="T2107" t="str">
            <v>DAKAR</v>
          </cell>
        </row>
        <row r="2108">
          <cell r="A2108" t="str">
            <v>DKR_1655</v>
          </cell>
          <cell r="S2108" t="str">
            <v>RUFISQUE</v>
          </cell>
          <cell r="T2108" t="str">
            <v>DAKAR</v>
          </cell>
        </row>
        <row r="2109">
          <cell r="A2109" t="str">
            <v>DKR_1656</v>
          </cell>
          <cell r="S2109" t="str">
            <v>RUFISQUE</v>
          </cell>
          <cell r="T2109" t="str">
            <v>DAKAR</v>
          </cell>
        </row>
        <row r="2110">
          <cell r="A2110" t="str">
            <v>DKR_2664</v>
          </cell>
          <cell r="S2110" t="str">
            <v>RUFISQUE</v>
          </cell>
          <cell r="T2110" t="str">
            <v>DAKAR</v>
          </cell>
        </row>
        <row r="2111">
          <cell r="A2111" t="str">
            <v>ZIG_1657</v>
          </cell>
          <cell r="S2111" t="str">
            <v>ZIGUINCHOR</v>
          </cell>
          <cell r="T2111" t="str">
            <v>ZIGUINCHOR</v>
          </cell>
        </row>
        <row r="2112">
          <cell r="A2112" t="str">
            <v>ZIG_2706</v>
          </cell>
          <cell r="S2112" t="str">
            <v>ZIGUINCHOR</v>
          </cell>
          <cell r="T2112" t="str">
            <v>ZIGUINCHOR</v>
          </cell>
        </row>
        <row r="2113">
          <cell r="A2113" t="str">
            <v>ZIG_1658</v>
          </cell>
          <cell r="S2113" t="str">
            <v>ZIGUINCHOR</v>
          </cell>
          <cell r="T2113" t="str">
            <v>ZIGUINCHOR</v>
          </cell>
        </row>
        <row r="2114">
          <cell r="A2114" t="str">
            <v>ZIG_2707</v>
          </cell>
          <cell r="S2114" t="str">
            <v>ZIGUINCHOR</v>
          </cell>
          <cell r="T2114" t="str">
            <v>ZIGUINCHOR</v>
          </cell>
        </row>
        <row r="2115">
          <cell r="A2115" t="str">
            <v>KLD_1659</v>
          </cell>
          <cell r="S2115" t="str">
            <v>VELINGARA</v>
          </cell>
          <cell r="T2115" t="str">
            <v>ZIGUINCHOR</v>
          </cell>
        </row>
        <row r="2116">
          <cell r="A2116" t="str">
            <v>NDM_1660</v>
          </cell>
          <cell r="S2116" t="str">
            <v>NDIOUM</v>
          </cell>
          <cell r="T2116" t="str">
            <v>SAINT-LOUIS</v>
          </cell>
        </row>
        <row r="2117">
          <cell r="A2117" t="str">
            <v>STL_2829</v>
          </cell>
          <cell r="S2117" t="str">
            <v>LOUGA</v>
          </cell>
          <cell r="T2117" t="str">
            <v>SAINT-LOUIS</v>
          </cell>
        </row>
        <row r="2118">
          <cell r="A2118" t="str">
            <v>KLK_1661</v>
          </cell>
          <cell r="S2118" t="str">
            <v>SOKONE</v>
          </cell>
          <cell r="T2118" t="str">
            <v>KAOLACK</v>
          </cell>
        </row>
        <row r="2119">
          <cell r="A2119" t="str">
            <v>KLD_1662</v>
          </cell>
          <cell r="S2119" t="str">
            <v>KOLDA</v>
          </cell>
          <cell r="T2119" t="str">
            <v>ZIGUINCHOR</v>
          </cell>
        </row>
        <row r="2120">
          <cell r="A2120" t="str">
            <v>ORG_2559</v>
          </cell>
          <cell r="S2120" t="str">
            <v>BAKEL</v>
          </cell>
          <cell r="T2120" t="str">
            <v>SAINT-LOUIS</v>
          </cell>
        </row>
        <row r="2121">
          <cell r="A2121" t="str">
            <v>TMB_1663</v>
          </cell>
          <cell r="S2121" t="str">
            <v>KOUNGHEUL</v>
          </cell>
          <cell r="T2121" t="str">
            <v>TAMBACOUNDA</v>
          </cell>
        </row>
        <row r="2122">
          <cell r="A2122" t="str">
            <v>TMB_2738</v>
          </cell>
          <cell r="S2122" t="str">
            <v>KOUNGHEUL</v>
          </cell>
          <cell r="T2122" t="str">
            <v>TAMBACOUNDA</v>
          </cell>
        </row>
        <row r="2123">
          <cell r="A2123" t="str">
            <v>MBR_1664</v>
          </cell>
          <cell r="S2123" t="str">
            <v>MBOUR</v>
          </cell>
          <cell r="T2123" t="str">
            <v>THIES</v>
          </cell>
        </row>
        <row r="2124">
          <cell r="A2124" t="str">
            <v>TMB_2739</v>
          </cell>
          <cell r="S2124" t="str">
            <v>TAMBACOUNDA</v>
          </cell>
          <cell r="T2124" t="str">
            <v>TAMBACOUNDA</v>
          </cell>
        </row>
        <row r="2125">
          <cell r="A2125" t="str">
            <v>ORG_2560</v>
          </cell>
          <cell r="S2125" t="str">
            <v>BAKEL</v>
          </cell>
          <cell r="T2125" t="str">
            <v>SAINT-LOUIS</v>
          </cell>
        </row>
        <row r="2126">
          <cell r="A2126" t="str">
            <v>DBL_1665</v>
          </cell>
          <cell r="S2126" t="str">
            <v>TOUBA02</v>
          </cell>
          <cell r="T2126" t="str">
            <v>THIES</v>
          </cell>
        </row>
        <row r="2127">
          <cell r="A2127" t="str">
            <v>DBL_1666</v>
          </cell>
          <cell r="S2127" t="str">
            <v>TOUBA02</v>
          </cell>
          <cell r="T2127" t="str">
            <v>THIES</v>
          </cell>
        </row>
        <row r="2128">
          <cell r="A2128" t="str">
            <v>DBL_1667</v>
          </cell>
          <cell r="S2128" t="str">
            <v>TOUBA02</v>
          </cell>
          <cell r="T2128" t="str">
            <v>THIES</v>
          </cell>
        </row>
        <row r="2129">
          <cell r="A2129" t="str">
            <v>DBL_2782</v>
          </cell>
          <cell r="S2129" t="str">
            <v>DIOURBEL</v>
          </cell>
          <cell r="T2129" t="str">
            <v>THIES</v>
          </cell>
        </row>
        <row r="2130">
          <cell r="A2130" t="str">
            <v>DKR_1668</v>
          </cell>
          <cell r="S2130" t="str">
            <v>SACRE_COEUR</v>
          </cell>
          <cell r="T2130" t="str">
            <v>DAKAR</v>
          </cell>
        </row>
        <row r="2131">
          <cell r="A2131" t="str">
            <v>DKR_1669</v>
          </cell>
          <cell r="S2131" t="str">
            <v>SACRE_COEUR</v>
          </cell>
          <cell r="T2131" t="str">
            <v>DAKAR</v>
          </cell>
        </row>
        <row r="2132">
          <cell r="A2132" t="str">
            <v>DKR_1670</v>
          </cell>
          <cell r="S2132" t="str">
            <v>SACRE_COEUR</v>
          </cell>
          <cell r="T2132" t="str">
            <v>DAKAR</v>
          </cell>
        </row>
        <row r="2133">
          <cell r="A2133" t="str">
            <v>STL_1671</v>
          </cell>
          <cell r="S2133" t="str">
            <v>SAINT-LOUIS</v>
          </cell>
          <cell r="T2133" t="str">
            <v>SAINT-LOUIS</v>
          </cell>
        </row>
        <row r="2134">
          <cell r="A2134" t="str">
            <v>DBL_2755</v>
          </cell>
          <cell r="S2134" t="str">
            <v>TOUBA</v>
          </cell>
          <cell r="T2134" t="str">
            <v>THIES</v>
          </cell>
        </row>
        <row r="2135">
          <cell r="A2135" t="str">
            <v>KDG_2704</v>
          </cell>
          <cell r="S2135" t="str">
            <v>KEDOUGOU</v>
          </cell>
          <cell r="T2135" t="str">
            <v>TAMBACOUNDA</v>
          </cell>
        </row>
        <row r="2136">
          <cell r="A2136" t="str">
            <v>DKR_1672</v>
          </cell>
          <cell r="S2136" t="str">
            <v>GUEDIAWAYE</v>
          </cell>
          <cell r="T2136" t="str">
            <v>DAKAR</v>
          </cell>
        </row>
        <row r="2137">
          <cell r="A2137" t="str">
            <v>DKR_1673</v>
          </cell>
          <cell r="S2137" t="str">
            <v>GUEDIAWAYE</v>
          </cell>
          <cell r="T2137" t="str">
            <v>DAKAR</v>
          </cell>
        </row>
        <row r="2138">
          <cell r="A2138" t="str">
            <v>DKR_1674</v>
          </cell>
          <cell r="S2138" t="str">
            <v>SACRE_COEUR</v>
          </cell>
          <cell r="T2138" t="str">
            <v>DAKAR</v>
          </cell>
        </row>
        <row r="2139">
          <cell r="A2139" t="str">
            <v>DKR_2797</v>
          </cell>
          <cell r="S2139" t="str">
            <v>DAKAR</v>
          </cell>
          <cell r="T2139" t="str">
            <v>DAKAR</v>
          </cell>
        </row>
        <row r="2140">
          <cell r="A2140" t="str">
            <v>DKR_1675</v>
          </cell>
          <cell r="S2140" t="str">
            <v>MEDINA</v>
          </cell>
          <cell r="T2140" t="str">
            <v>DAKAR</v>
          </cell>
        </row>
        <row r="2141">
          <cell r="A2141" t="str">
            <v>DKR_1676</v>
          </cell>
          <cell r="S2141" t="str">
            <v>MEDINA</v>
          </cell>
          <cell r="T2141" t="str">
            <v>DAKAR</v>
          </cell>
        </row>
        <row r="2142">
          <cell r="A2142" t="str">
            <v>MBR_1677</v>
          </cell>
          <cell r="S2142" t="str">
            <v>FATICK</v>
          </cell>
          <cell r="T2142" t="str">
            <v>KAOLACK</v>
          </cell>
        </row>
        <row r="2143">
          <cell r="A2143" t="str">
            <v>KDG_1678</v>
          </cell>
          <cell r="S2143" t="str">
            <v>KEDOUGOU</v>
          </cell>
          <cell r="T2143" t="str">
            <v>TAMBACOUNDA</v>
          </cell>
        </row>
        <row r="2144">
          <cell r="A2144" t="str">
            <v>KDG_1679</v>
          </cell>
          <cell r="S2144" t="str">
            <v>TAMBA</v>
          </cell>
          <cell r="T2144" t="str">
            <v>TAMBACOUNDA</v>
          </cell>
        </row>
        <row r="2145">
          <cell r="A2145" t="str">
            <v>KDG_1680</v>
          </cell>
          <cell r="S2145" t="str">
            <v>KEDOUGOU</v>
          </cell>
          <cell r="T2145" t="str">
            <v>TAMBACOUNDA</v>
          </cell>
        </row>
        <row r="2146">
          <cell r="A2146" t="str">
            <v>ZIG_1681</v>
          </cell>
          <cell r="S2146" t="str">
            <v>ZIGUINCHOR</v>
          </cell>
          <cell r="T2146" t="str">
            <v>ZIGUINCHOR</v>
          </cell>
        </row>
        <row r="2147">
          <cell r="A2147" t="str">
            <v>STL_1682</v>
          </cell>
          <cell r="S2147" t="str">
            <v>LOUGA</v>
          </cell>
          <cell r="T2147" t="str">
            <v>SAINT-LOUIS</v>
          </cell>
        </row>
        <row r="2148">
          <cell r="A2148" t="str">
            <v>KLK_1683</v>
          </cell>
          <cell r="S2148" t="str">
            <v>SOKONE</v>
          </cell>
          <cell r="T2148" t="str">
            <v>KAOLACK</v>
          </cell>
        </row>
        <row r="2149">
          <cell r="A2149" t="str">
            <v>KLK_1684</v>
          </cell>
          <cell r="S2149" t="str">
            <v>SOKONE</v>
          </cell>
          <cell r="T2149" t="str">
            <v>KAOLACK</v>
          </cell>
        </row>
        <row r="2150">
          <cell r="A2150" t="str">
            <v>KLK_1685</v>
          </cell>
          <cell r="S2150" t="str">
            <v>SOKONE</v>
          </cell>
          <cell r="T2150" t="str">
            <v>KAOLACK</v>
          </cell>
        </row>
        <row r="2151">
          <cell r="A2151" t="str">
            <v>KLK_1686</v>
          </cell>
          <cell r="S2151" t="str">
            <v>SOKONE</v>
          </cell>
          <cell r="T2151" t="str">
            <v>KAOLACK</v>
          </cell>
        </row>
        <row r="2152">
          <cell r="A2152" t="str">
            <v>DKR_1687</v>
          </cell>
          <cell r="S2152" t="str">
            <v>OUAKAM</v>
          </cell>
          <cell r="T2152" t="str">
            <v>DAKAR</v>
          </cell>
        </row>
        <row r="2153">
          <cell r="A2153" t="str">
            <v>DKR_1688</v>
          </cell>
          <cell r="S2153" t="str">
            <v>OUAKAM</v>
          </cell>
          <cell r="T2153" t="str">
            <v>DAKAR</v>
          </cell>
        </row>
        <row r="2154">
          <cell r="A2154" t="str">
            <v>DKR_1689</v>
          </cell>
          <cell r="S2154" t="str">
            <v>OUAKAM</v>
          </cell>
          <cell r="T2154" t="str">
            <v>DAKAR</v>
          </cell>
        </row>
        <row r="2155">
          <cell r="A2155" t="str">
            <v>THS_1690</v>
          </cell>
          <cell r="S2155" t="str">
            <v>THIES</v>
          </cell>
          <cell r="T2155" t="str">
            <v>THIES</v>
          </cell>
        </row>
        <row r="2156">
          <cell r="A2156" t="str">
            <v>THS_1691</v>
          </cell>
          <cell r="S2156" t="str">
            <v>THIES</v>
          </cell>
          <cell r="T2156" t="str">
            <v>THIES</v>
          </cell>
        </row>
        <row r="2157">
          <cell r="A2157" t="str">
            <v>KDG_1692</v>
          </cell>
          <cell r="S2157" t="str">
            <v>KEDOUGOU</v>
          </cell>
          <cell r="T2157" t="str">
            <v>TAMBACOUNDA</v>
          </cell>
        </row>
        <row r="2158">
          <cell r="A2158" t="str">
            <v>KDG_1693</v>
          </cell>
          <cell r="S2158" t="str">
            <v>KEDOUGOU</v>
          </cell>
          <cell r="T2158" t="str">
            <v>TAMBACOUNDA</v>
          </cell>
        </row>
        <row r="2159">
          <cell r="A2159" t="str">
            <v>TMB_1694</v>
          </cell>
          <cell r="S2159" t="str">
            <v>TAMBA</v>
          </cell>
          <cell r="T2159" t="str">
            <v>TAMBACOUNDA</v>
          </cell>
        </row>
        <row r="2160">
          <cell r="A2160" t="str">
            <v>TMB_2740</v>
          </cell>
          <cell r="S2160" t="str">
            <v>TAMBACOUNDA</v>
          </cell>
          <cell r="T2160" t="str">
            <v>TAMBACOUNDA</v>
          </cell>
        </row>
        <row r="2161">
          <cell r="A2161" t="str">
            <v>DKR_1695</v>
          </cell>
          <cell r="S2161" t="str">
            <v>MEDINA</v>
          </cell>
          <cell r="T2161" t="str">
            <v>DAKAR</v>
          </cell>
        </row>
        <row r="2162">
          <cell r="A2162" t="str">
            <v>ORG_1696</v>
          </cell>
          <cell r="S2162" t="str">
            <v>MATAM</v>
          </cell>
          <cell r="T2162" t="str">
            <v>SAINT-LOUIS</v>
          </cell>
        </row>
        <row r="2163">
          <cell r="A2163" t="str">
            <v>ORG_1697</v>
          </cell>
          <cell r="S2163" t="str">
            <v>MATAM</v>
          </cell>
          <cell r="T2163" t="str">
            <v>SAINT-LOUIS</v>
          </cell>
        </row>
        <row r="2164">
          <cell r="A2164" t="str">
            <v>BKL_1698</v>
          </cell>
          <cell r="S2164" t="str">
            <v>BAKEL</v>
          </cell>
          <cell r="T2164" t="str">
            <v>SAINT-LOUIS</v>
          </cell>
        </row>
        <row r="2165">
          <cell r="A2165" t="str">
            <v>TMB_2741</v>
          </cell>
          <cell r="S2165" t="str">
            <v>BAKEL</v>
          </cell>
          <cell r="T2165" t="str">
            <v>SAINT-LOUIS</v>
          </cell>
        </row>
        <row r="2166">
          <cell r="A2166" t="str">
            <v>TMB_1699</v>
          </cell>
          <cell r="S2166" t="str">
            <v>KEDOUGOU</v>
          </cell>
          <cell r="T2166" t="str">
            <v>TAMBACOUNDA</v>
          </cell>
        </row>
        <row r="2167">
          <cell r="A2167" t="str">
            <v>DKR_1700</v>
          </cell>
          <cell r="S2167" t="str">
            <v>MEDINA</v>
          </cell>
          <cell r="T2167" t="str">
            <v>DAKAR</v>
          </cell>
        </row>
        <row r="2168">
          <cell r="A2168" t="str">
            <v>DKR_1702</v>
          </cell>
          <cell r="S2168" t="str">
            <v>MBOUR</v>
          </cell>
          <cell r="T2168" t="str">
            <v>DAKAR</v>
          </cell>
        </row>
        <row r="2169">
          <cell r="A2169" t="str">
            <v>ORG_1703</v>
          </cell>
          <cell r="S2169" t="str">
            <v>MATAM</v>
          </cell>
          <cell r="T2169" t="str">
            <v>SAINT-LOUIS</v>
          </cell>
        </row>
        <row r="2170">
          <cell r="A2170" t="str">
            <v>ORG_1704</v>
          </cell>
          <cell r="S2170" t="str">
            <v>MATAM</v>
          </cell>
          <cell r="T2170" t="str">
            <v>SAINT-LOUIS</v>
          </cell>
        </row>
        <row r="2171">
          <cell r="A2171" t="str">
            <v>ORG_1705</v>
          </cell>
          <cell r="S2171" t="str">
            <v>MATAM</v>
          </cell>
          <cell r="T2171" t="str">
            <v>SAINT-LOUIS</v>
          </cell>
        </row>
        <row r="2172">
          <cell r="A2172" t="str">
            <v>ORG_1706</v>
          </cell>
          <cell r="S2172" t="str">
            <v>MATAM</v>
          </cell>
          <cell r="T2172" t="str">
            <v>SAINT-LOUIS</v>
          </cell>
        </row>
        <row r="2173">
          <cell r="A2173" t="str">
            <v>DBL_1707</v>
          </cell>
          <cell r="S2173" t="str">
            <v>KAOLACK</v>
          </cell>
          <cell r="T2173" t="str">
            <v>KAOLACK</v>
          </cell>
        </row>
        <row r="2174">
          <cell r="A2174" t="str">
            <v>DKR_1708</v>
          </cell>
          <cell r="S2174" t="str">
            <v>SACRE_COEUR</v>
          </cell>
          <cell r="T2174" t="str">
            <v>DAKAR</v>
          </cell>
        </row>
        <row r="2175">
          <cell r="A2175" t="str">
            <v>DKR_1709</v>
          </cell>
          <cell r="S2175" t="str">
            <v>SACRE_COEUR</v>
          </cell>
          <cell r="T2175" t="str">
            <v>DAKAR</v>
          </cell>
        </row>
        <row r="2176">
          <cell r="A2176" t="str">
            <v>DKR_2731</v>
          </cell>
          <cell r="S2176" t="str">
            <v>DAKAR</v>
          </cell>
          <cell r="T2176" t="str">
            <v>DAKAR</v>
          </cell>
        </row>
        <row r="2177">
          <cell r="A2177" t="str">
            <v>DKR_1710</v>
          </cell>
          <cell r="S2177" t="str">
            <v>OUAKAM</v>
          </cell>
          <cell r="T2177" t="str">
            <v>DAKAR</v>
          </cell>
        </row>
        <row r="2178">
          <cell r="A2178" t="str">
            <v>DKR_1711</v>
          </cell>
          <cell r="S2178" t="str">
            <v>OUAKAM</v>
          </cell>
          <cell r="T2178" t="str">
            <v>DAKAR</v>
          </cell>
        </row>
        <row r="2179">
          <cell r="A2179" t="str">
            <v>DKR_1712</v>
          </cell>
          <cell r="S2179" t="str">
            <v>OUAKAM</v>
          </cell>
          <cell r="T2179" t="str">
            <v>DAKAR</v>
          </cell>
        </row>
        <row r="2180">
          <cell r="A2180" t="str">
            <v>DKR_1713</v>
          </cell>
          <cell r="S2180" t="str">
            <v>OUAKAM</v>
          </cell>
          <cell r="T2180" t="str">
            <v>DAKAR</v>
          </cell>
        </row>
        <row r="2181">
          <cell r="A2181" t="str">
            <v>DKR_1714</v>
          </cell>
          <cell r="S2181" t="str">
            <v>OUAKAM</v>
          </cell>
          <cell r="T2181" t="str">
            <v>DAKAR</v>
          </cell>
        </row>
        <row r="2182">
          <cell r="A2182" t="str">
            <v>DKR_1715</v>
          </cell>
          <cell r="S2182" t="str">
            <v>OUAKAM</v>
          </cell>
          <cell r="T2182" t="str">
            <v>DAKAR</v>
          </cell>
        </row>
        <row r="2183">
          <cell r="A2183" t="str">
            <v>DKR_1716</v>
          </cell>
          <cell r="S2183" t="str">
            <v>OUAKAM</v>
          </cell>
          <cell r="T2183" t="str">
            <v>DAKAR</v>
          </cell>
        </row>
        <row r="2184">
          <cell r="A2184" t="str">
            <v>DKR_1717</v>
          </cell>
          <cell r="S2184" t="str">
            <v>OUAKAM</v>
          </cell>
          <cell r="T2184" t="str">
            <v>DAKAR</v>
          </cell>
        </row>
        <row r="2185">
          <cell r="A2185" t="str">
            <v>DKR_1718</v>
          </cell>
          <cell r="S2185" t="str">
            <v>OUAKAM</v>
          </cell>
          <cell r="T2185" t="str">
            <v>DAKAR</v>
          </cell>
        </row>
        <row r="2186">
          <cell r="A2186" t="str">
            <v>DKR_1719</v>
          </cell>
          <cell r="S2186" t="str">
            <v>OUAKAM</v>
          </cell>
          <cell r="T2186" t="str">
            <v>DAKAR</v>
          </cell>
        </row>
        <row r="2187">
          <cell r="A2187" t="str">
            <v>DKR_1720</v>
          </cell>
          <cell r="S2187" t="str">
            <v>MBOUR</v>
          </cell>
          <cell r="T2187" t="str">
            <v>DAKAR</v>
          </cell>
        </row>
        <row r="2188">
          <cell r="A2188" t="str">
            <v>DKR_1721</v>
          </cell>
          <cell r="S2188" t="str">
            <v>OUAKAM</v>
          </cell>
          <cell r="T2188" t="str">
            <v>DAKAR</v>
          </cell>
        </row>
        <row r="2189">
          <cell r="A2189" t="str">
            <v>DKR_1722</v>
          </cell>
          <cell r="S2189" t="str">
            <v>OUAKAM</v>
          </cell>
          <cell r="T2189" t="str">
            <v>DAKAR</v>
          </cell>
        </row>
        <row r="2190">
          <cell r="A2190" t="str">
            <v>DKR_1723</v>
          </cell>
          <cell r="S2190" t="str">
            <v>OUAKAM</v>
          </cell>
          <cell r="T2190" t="str">
            <v>DAKAR</v>
          </cell>
        </row>
        <row r="2191">
          <cell r="A2191" t="str">
            <v>DKR_2748</v>
          </cell>
          <cell r="S2191" t="str">
            <v>OUAKAM</v>
          </cell>
          <cell r="T2191" t="str">
            <v>DAKAR</v>
          </cell>
        </row>
        <row r="2192">
          <cell r="A2192" t="str">
            <v>DKR_2749</v>
          </cell>
          <cell r="S2192" t="str">
            <v>OUAKAM</v>
          </cell>
          <cell r="T2192" t="str">
            <v>DAKAR</v>
          </cell>
        </row>
        <row r="2193">
          <cell r="A2193" t="str">
            <v>ORG_1724</v>
          </cell>
          <cell r="S2193" t="str">
            <v>MATAM</v>
          </cell>
          <cell r="T2193" t="str">
            <v>SAINT-LOUIS</v>
          </cell>
        </row>
        <row r="2194">
          <cell r="A2194" t="str">
            <v>ORG_1725</v>
          </cell>
          <cell r="S2194" t="str">
            <v>MATAM</v>
          </cell>
          <cell r="T2194" t="str">
            <v>SAINT-LOUIS</v>
          </cell>
        </row>
        <row r="2195">
          <cell r="A2195" t="str">
            <v>STL_1726</v>
          </cell>
          <cell r="S2195" t="str">
            <v>LOUGA</v>
          </cell>
          <cell r="T2195" t="str">
            <v>SAINT-LOUIS</v>
          </cell>
        </row>
        <row r="2196">
          <cell r="A2196" t="str">
            <v>DBL_1727</v>
          </cell>
          <cell r="S2196" t="str">
            <v>LINGUERE</v>
          </cell>
          <cell r="T2196" t="str">
            <v>THIES</v>
          </cell>
        </row>
        <row r="2197">
          <cell r="A2197" t="str">
            <v>STL_2758</v>
          </cell>
          <cell r="S2197" t="str">
            <v>LOUGA</v>
          </cell>
          <cell r="T2197" t="str">
            <v>SAINT-LOUIS</v>
          </cell>
        </row>
        <row r="2198">
          <cell r="A2198" t="str">
            <v>KLD_1728</v>
          </cell>
          <cell r="S2198" t="str">
            <v>VELINGARA</v>
          </cell>
          <cell r="T2198" t="str">
            <v>ZIGUINCHOR</v>
          </cell>
        </row>
        <row r="2199">
          <cell r="A2199" t="str">
            <v>KDG_1729</v>
          </cell>
          <cell r="S2199" t="str">
            <v>KEDOUGOU</v>
          </cell>
          <cell r="T2199" t="str">
            <v>TAMBACOUNDA</v>
          </cell>
        </row>
        <row r="2200">
          <cell r="A2200" t="str">
            <v>DKR_1730</v>
          </cell>
          <cell r="S2200" t="str">
            <v>OUAKAM</v>
          </cell>
          <cell r="T2200" t="str">
            <v>DAKAR</v>
          </cell>
        </row>
        <row r="2201">
          <cell r="A2201" t="str">
            <v>DKR_1731</v>
          </cell>
          <cell r="S2201" t="str">
            <v>OUAKAM</v>
          </cell>
          <cell r="T2201" t="str">
            <v>DAKAR</v>
          </cell>
        </row>
        <row r="2202">
          <cell r="A2202" t="str">
            <v>DKR_1732</v>
          </cell>
          <cell r="S2202" t="str">
            <v>OUAKAM</v>
          </cell>
          <cell r="T2202" t="str">
            <v>DAKAR</v>
          </cell>
        </row>
        <row r="2203">
          <cell r="A2203" t="str">
            <v>DKR_1733</v>
          </cell>
          <cell r="S2203" t="str">
            <v>OUAKAM</v>
          </cell>
          <cell r="T2203" t="str">
            <v>DAKAR</v>
          </cell>
        </row>
        <row r="2204">
          <cell r="A2204" t="str">
            <v>DKR_1734</v>
          </cell>
          <cell r="S2204" t="str">
            <v>OUAKAM</v>
          </cell>
          <cell r="T2204" t="str">
            <v>DAKAR</v>
          </cell>
        </row>
        <row r="2205">
          <cell r="A2205" t="str">
            <v>DKR_1735</v>
          </cell>
          <cell r="S2205" t="str">
            <v>OUAKAM</v>
          </cell>
          <cell r="T2205" t="str">
            <v>DAKAR</v>
          </cell>
        </row>
        <row r="2206">
          <cell r="A2206" t="str">
            <v>DKR_1736</v>
          </cell>
          <cell r="S2206" t="str">
            <v>OUAKAM</v>
          </cell>
          <cell r="T2206" t="str">
            <v>DAKAR</v>
          </cell>
        </row>
        <row r="2207">
          <cell r="A2207" t="str">
            <v>DKR_1737</v>
          </cell>
          <cell r="S2207" t="str">
            <v>OUAKAM</v>
          </cell>
          <cell r="T2207" t="str">
            <v>DAKAR</v>
          </cell>
        </row>
        <row r="2208">
          <cell r="A2208" t="str">
            <v>DKR_1738</v>
          </cell>
          <cell r="S2208" t="str">
            <v>OUAKAM</v>
          </cell>
          <cell r="T2208" t="str">
            <v>DAKAR</v>
          </cell>
        </row>
        <row r="2209">
          <cell r="A2209" t="str">
            <v>ZIG_1739</v>
          </cell>
          <cell r="S2209" t="str">
            <v>SEDHIOU</v>
          </cell>
          <cell r="T2209" t="str">
            <v>ZIGUINCHOR</v>
          </cell>
        </row>
        <row r="2210">
          <cell r="A2210" t="str">
            <v>ZIG_1740</v>
          </cell>
          <cell r="S2210" t="str">
            <v>ZIGUINCHOR</v>
          </cell>
          <cell r="T2210" t="str">
            <v>ZIGUINCHOR</v>
          </cell>
        </row>
        <row r="2211">
          <cell r="A2211" t="str">
            <v>BKL_1741</v>
          </cell>
          <cell r="S2211" t="str">
            <v>BAKEL</v>
          </cell>
          <cell r="T2211" t="str">
            <v>SAINT-LOUIS</v>
          </cell>
        </row>
        <row r="2212">
          <cell r="A2212" t="str">
            <v>STL_2759</v>
          </cell>
          <cell r="S2212" t="str">
            <v>NDIOUM</v>
          </cell>
          <cell r="T2212" t="str">
            <v>SAINT-LOUIS</v>
          </cell>
        </row>
        <row r="2213">
          <cell r="A2213" t="str">
            <v>NDM_1742</v>
          </cell>
          <cell r="S2213" t="str">
            <v>NDIOUM</v>
          </cell>
          <cell r="T2213" t="str">
            <v>SAINT-LOUIS</v>
          </cell>
        </row>
        <row r="2214">
          <cell r="A2214" t="str">
            <v>TMB_2808</v>
          </cell>
          <cell r="S2214" t="str">
            <v>TAMBACOUNDA</v>
          </cell>
          <cell r="T2214" t="str">
            <v>TAMBACOUNDA</v>
          </cell>
        </row>
        <row r="2215">
          <cell r="A2215" t="str">
            <v>ORG_1743</v>
          </cell>
          <cell r="S2215" t="str">
            <v>MATAM</v>
          </cell>
          <cell r="T2215" t="str">
            <v>SAINT-LOUIS</v>
          </cell>
        </row>
        <row r="2216">
          <cell r="A2216" t="str">
            <v>BKL_1744</v>
          </cell>
          <cell r="S2216" t="str">
            <v>GOUDIRY</v>
          </cell>
          <cell r="T2216" t="str">
            <v>TAMBACOUNDA</v>
          </cell>
        </row>
        <row r="2217">
          <cell r="A2217" t="str">
            <v>STL_1745</v>
          </cell>
          <cell r="S2217" t="str">
            <v>MATAM</v>
          </cell>
          <cell r="T2217" t="str">
            <v>SAINT-LOUIS</v>
          </cell>
        </row>
        <row r="2218">
          <cell r="A2218" t="str">
            <v>ORG_1746</v>
          </cell>
          <cell r="S2218" t="str">
            <v>MATAM</v>
          </cell>
          <cell r="T2218" t="str">
            <v>SAINT-LOUIS</v>
          </cell>
        </row>
        <row r="2219">
          <cell r="A2219" t="str">
            <v>ORG_1747</v>
          </cell>
          <cell r="S2219" t="str">
            <v>MATAM</v>
          </cell>
          <cell r="T2219" t="str">
            <v>SAINT-LOUIS</v>
          </cell>
        </row>
        <row r="2220">
          <cell r="A2220" t="str">
            <v>ORG_1748</v>
          </cell>
          <cell r="S2220" t="str">
            <v>MATAM</v>
          </cell>
          <cell r="T2220" t="str">
            <v>SAINT-LOUIS</v>
          </cell>
        </row>
        <row r="2221">
          <cell r="A2221" t="str">
            <v>ZIG_1749</v>
          </cell>
          <cell r="S2221" t="str">
            <v>ZIGUINCHOR</v>
          </cell>
          <cell r="T2221" t="str">
            <v>ZIGUINCHOR</v>
          </cell>
        </row>
        <row r="2222">
          <cell r="A2222" t="str">
            <v>ZIG_1750</v>
          </cell>
          <cell r="S2222" t="str">
            <v>ZIGUINCHOR</v>
          </cell>
          <cell r="T2222" t="str">
            <v>ZIGUINCHOR</v>
          </cell>
        </row>
        <row r="2223">
          <cell r="A2223" t="str">
            <v>ORG_1751</v>
          </cell>
          <cell r="S2223" t="str">
            <v>MATAM</v>
          </cell>
          <cell r="T2223" t="str">
            <v>SAINT-LOUIS</v>
          </cell>
        </row>
        <row r="2224">
          <cell r="A2224" t="str">
            <v>KLK_1752</v>
          </cell>
          <cell r="S2224" t="str">
            <v>KAFFRINE</v>
          </cell>
          <cell r="T2224" t="str">
            <v>KAOLACK</v>
          </cell>
        </row>
        <row r="2225">
          <cell r="A2225" t="str">
            <v>KLD_2741</v>
          </cell>
          <cell r="S2225" t="str">
            <v>KOLDA</v>
          </cell>
          <cell r="T2225" t="str">
            <v>ZIGUINCHOR</v>
          </cell>
        </row>
        <row r="2226">
          <cell r="A2226" t="str">
            <v>DKR_1754</v>
          </cell>
          <cell r="S2226" t="str">
            <v>MBOUR</v>
          </cell>
          <cell r="T2226" t="str">
            <v>DAKAR</v>
          </cell>
        </row>
        <row r="2227">
          <cell r="A2227" t="str">
            <v>DBL_1755</v>
          </cell>
          <cell r="S2227" t="str">
            <v>DIOURBEL</v>
          </cell>
          <cell r="T2227" t="str">
            <v>THIES</v>
          </cell>
        </row>
        <row r="2228">
          <cell r="A2228" t="str">
            <v>DBL_1756</v>
          </cell>
          <cell r="S2228" t="str">
            <v>TOUBA01</v>
          </cell>
          <cell r="T2228" t="str">
            <v>THIES</v>
          </cell>
        </row>
        <row r="2229">
          <cell r="A2229" t="str">
            <v>DBL_1757</v>
          </cell>
          <cell r="S2229" t="str">
            <v>TOUBA01</v>
          </cell>
          <cell r="T2229" t="str">
            <v>THIES</v>
          </cell>
        </row>
        <row r="2230">
          <cell r="A2230" t="str">
            <v>DBL_1758</v>
          </cell>
          <cell r="S2230" t="str">
            <v>TOUBA01</v>
          </cell>
          <cell r="T2230" t="str">
            <v>THIES</v>
          </cell>
        </row>
        <row r="2231">
          <cell r="A2231" t="str">
            <v>DBL_1759</v>
          </cell>
          <cell r="S2231" t="str">
            <v>TOUBA01</v>
          </cell>
          <cell r="T2231" t="str">
            <v>THIES</v>
          </cell>
        </row>
        <row r="2232">
          <cell r="A2232" t="str">
            <v>STL_2760</v>
          </cell>
          <cell r="S2232" t="str">
            <v>LOUGA</v>
          </cell>
          <cell r="T2232" t="str">
            <v>SAINT-LOUIS</v>
          </cell>
        </row>
        <row r="2233">
          <cell r="A2233" t="str">
            <v>DBL_2806</v>
          </cell>
          <cell r="S2233" t="str">
            <v>DIOURBEL</v>
          </cell>
          <cell r="T2233" t="str">
            <v>THIES</v>
          </cell>
        </row>
        <row r="2234">
          <cell r="A2234" t="str">
            <v>MBR_1760</v>
          </cell>
          <cell r="S2234" t="str">
            <v>FATICK</v>
          </cell>
          <cell r="T2234" t="str">
            <v>KAOLACK</v>
          </cell>
        </row>
        <row r="2235">
          <cell r="A2235" t="str">
            <v>THS_2687</v>
          </cell>
          <cell r="S2235" t="str">
            <v>THIES</v>
          </cell>
          <cell r="T2235" t="str">
            <v>THIES</v>
          </cell>
        </row>
        <row r="2236">
          <cell r="A2236" t="str">
            <v>KLK_2833</v>
          </cell>
          <cell r="S2236" t="str">
            <v>KAOLACK</v>
          </cell>
          <cell r="T2236" t="str">
            <v>KAOLACK</v>
          </cell>
        </row>
        <row r="2237">
          <cell r="A2237" t="str">
            <v>TMB_2742</v>
          </cell>
          <cell r="S2237" t="str">
            <v>GOUDIRY</v>
          </cell>
          <cell r="T2237" t="str">
            <v>TAMBACOUNDA</v>
          </cell>
        </row>
        <row r="2238">
          <cell r="A2238" t="str">
            <v>KLK_2679</v>
          </cell>
          <cell r="S2238" t="str">
            <v>KAOLACK</v>
          </cell>
          <cell r="T2238" t="str">
            <v>KAOLACK</v>
          </cell>
        </row>
        <row r="2239">
          <cell r="A2239" t="str">
            <v>DKR_1761</v>
          </cell>
          <cell r="S2239" t="str">
            <v>MEDINA</v>
          </cell>
          <cell r="T2239" t="str">
            <v>DAKAR</v>
          </cell>
        </row>
        <row r="2240">
          <cell r="A2240" t="str">
            <v>DKR_1762</v>
          </cell>
          <cell r="S2240" t="str">
            <v>MEDINA</v>
          </cell>
          <cell r="T2240" t="str">
            <v>DAKAR</v>
          </cell>
        </row>
        <row r="2241">
          <cell r="A2241" t="str">
            <v>KDG_1763</v>
          </cell>
          <cell r="S2241" t="str">
            <v>TAMBA</v>
          </cell>
          <cell r="T2241" t="str">
            <v>TAMBACOUNDA</v>
          </cell>
        </row>
        <row r="2242">
          <cell r="A2242" t="str">
            <v>KDG_1764</v>
          </cell>
          <cell r="S2242" t="str">
            <v>TAMBA</v>
          </cell>
          <cell r="T2242" t="str">
            <v>TAMBACOUNDA</v>
          </cell>
        </row>
        <row r="2243">
          <cell r="A2243" t="str">
            <v>KDG_1765</v>
          </cell>
          <cell r="S2243" t="str">
            <v>KEDOUGOU</v>
          </cell>
          <cell r="T2243" t="str">
            <v>TAMBACOUNDA</v>
          </cell>
        </row>
        <row r="2244">
          <cell r="A2244" t="str">
            <v>DKR_1766</v>
          </cell>
          <cell r="S2244" t="str">
            <v>GUEDIAWAYE</v>
          </cell>
          <cell r="T2244" t="str">
            <v>DAKAR</v>
          </cell>
        </row>
        <row r="2245">
          <cell r="A2245" t="str">
            <v>DKR_1767</v>
          </cell>
          <cell r="S2245" t="str">
            <v>GUEDIAWAYE</v>
          </cell>
          <cell r="T2245" t="str">
            <v>DAKAR</v>
          </cell>
        </row>
        <row r="2246">
          <cell r="A2246" t="str">
            <v>DKR_1768</v>
          </cell>
          <cell r="S2246" t="str">
            <v>GUEDIAWAYE</v>
          </cell>
          <cell r="T2246" t="str">
            <v>DAKAR</v>
          </cell>
        </row>
        <row r="2247">
          <cell r="A2247" t="str">
            <v>DKR_1769</v>
          </cell>
          <cell r="S2247" t="str">
            <v>GUEDIAWAYE</v>
          </cell>
          <cell r="T2247" t="str">
            <v>DAKAR</v>
          </cell>
        </row>
        <row r="2248">
          <cell r="A2248" t="str">
            <v>KLD_1770</v>
          </cell>
          <cell r="S2248" t="str">
            <v>VELINGARA</v>
          </cell>
          <cell r="T2248" t="str">
            <v>ZIGUINCHOR</v>
          </cell>
        </row>
        <row r="2249">
          <cell r="A2249" t="str">
            <v>TMB_1771</v>
          </cell>
          <cell r="S2249" t="str">
            <v>KOUNGHEUL</v>
          </cell>
          <cell r="T2249" t="str">
            <v>TAMBACOUNDA</v>
          </cell>
        </row>
        <row r="2250">
          <cell r="A2250" t="str">
            <v>KLK_1772</v>
          </cell>
          <cell r="S2250" t="str">
            <v>SOKONE</v>
          </cell>
          <cell r="T2250" t="str">
            <v>KAOLACK</v>
          </cell>
        </row>
        <row r="2251">
          <cell r="A2251" t="str">
            <v>KLK_1773</v>
          </cell>
          <cell r="S2251" t="str">
            <v>SOKONE</v>
          </cell>
          <cell r="T2251" t="str">
            <v>KAOLACK</v>
          </cell>
        </row>
        <row r="2252">
          <cell r="A2252" t="str">
            <v>DKR_1774</v>
          </cell>
          <cell r="S2252" t="str">
            <v>MEDINA</v>
          </cell>
          <cell r="T2252" t="str">
            <v>DAKAR</v>
          </cell>
        </row>
        <row r="2253">
          <cell r="A2253" t="str">
            <v>KLD_1775</v>
          </cell>
          <cell r="S2253" t="str">
            <v>KOLDA</v>
          </cell>
          <cell r="T2253" t="str">
            <v>ZIGUINCHOR</v>
          </cell>
        </row>
        <row r="2254">
          <cell r="A2254" t="str">
            <v>DBL_1776</v>
          </cell>
          <cell r="S2254" t="str">
            <v>FATICK</v>
          </cell>
          <cell r="T2254" t="str">
            <v>KAOLACK</v>
          </cell>
        </row>
        <row r="2255">
          <cell r="A2255" t="str">
            <v>DBL_1777</v>
          </cell>
          <cell r="S2255" t="str">
            <v>KAOLACK</v>
          </cell>
          <cell r="T2255" t="str">
            <v>KAOLACK</v>
          </cell>
        </row>
        <row r="2256">
          <cell r="A2256" t="str">
            <v>STL_2761</v>
          </cell>
          <cell r="S2256" t="str">
            <v>LOUGA</v>
          </cell>
          <cell r="T2256" t="str">
            <v>SAINT-LOUIS</v>
          </cell>
        </row>
        <row r="2257">
          <cell r="A2257" t="str">
            <v>NDM_1778</v>
          </cell>
          <cell r="S2257" t="str">
            <v>NDIOUM</v>
          </cell>
          <cell r="T2257" t="str">
            <v>SAINT-LOUIS</v>
          </cell>
        </row>
        <row r="2258">
          <cell r="A2258" t="str">
            <v>STL_2762</v>
          </cell>
          <cell r="S2258" t="str">
            <v>LOUGA</v>
          </cell>
          <cell r="T2258" t="str">
            <v>SAINT-LOUIS</v>
          </cell>
        </row>
        <row r="2259">
          <cell r="A2259" t="str">
            <v>KLK_1779</v>
          </cell>
          <cell r="S2259" t="str">
            <v>KAFFRINE</v>
          </cell>
          <cell r="T2259" t="str">
            <v>KAOLACK</v>
          </cell>
        </row>
        <row r="2260">
          <cell r="A2260" t="str">
            <v>KLD_1780</v>
          </cell>
          <cell r="S2260" t="str">
            <v>VELINGARA</v>
          </cell>
          <cell r="T2260" t="str">
            <v>ZIGUINCHOR</v>
          </cell>
        </row>
        <row r="2261">
          <cell r="A2261" t="str">
            <v>ORG_1781</v>
          </cell>
          <cell r="S2261" t="str">
            <v>MATAM</v>
          </cell>
          <cell r="T2261" t="str">
            <v>SAINT-LOUIS</v>
          </cell>
        </row>
        <row r="2262">
          <cell r="A2262" t="str">
            <v>TMB_1782</v>
          </cell>
          <cell r="S2262" t="str">
            <v>KOUNGHEUL</v>
          </cell>
          <cell r="T2262" t="str">
            <v>TAMBACOUNDA</v>
          </cell>
        </row>
        <row r="2263">
          <cell r="A2263" t="str">
            <v>DKR_1783</v>
          </cell>
          <cell r="S2263" t="str">
            <v>SACRE_COEUR</v>
          </cell>
          <cell r="T2263" t="str">
            <v>DAKAR</v>
          </cell>
        </row>
        <row r="2264">
          <cell r="A2264" t="str">
            <v>DKR_1784</v>
          </cell>
          <cell r="S2264" t="str">
            <v>SACRE_COEUR</v>
          </cell>
          <cell r="T2264" t="str">
            <v>DAKAR</v>
          </cell>
        </row>
        <row r="2265">
          <cell r="A2265" t="str">
            <v>DKR_1785</v>
          </cell>
          <cell r="S2265" t="str">
            <v>SACRE_COEUR</v>
          </cell>
          <cell r="T2265" t="str">
            <v>DAKAR</v>
          </cell>
        </row>
        <row r="2266">
          <cell r="A2266" t="str">
            <v>DKR_1786</v>
          </cell>
          <cell r="S2266" t="str">
            <v>SACRE_COEUR</v>
          </cell>
          <cell r="T2266" t="str">
            <v>DAKAR</v>
          </cell>
        </row>
        <row r="2267">
          <cell r="A2267" t="str">
            <v>TMB_1787</v>
          </cell>
          <cell r="S2267" t="str">
            <v>KOUNGHEUL</v>
          </cell>
          <cell r="T2267" t="str">
            <v>TAMBACOUNDA</v>
          </cell>
        </row>
        <row r="2268">
          <cell r="A2268" t="str">
            <v>KLK_1788</v>
          </cell>
          <cell r="S2268" t="str">
            <v>SOKONE</v>
          </cell>
          <cell r="T2268" t="str">
            <v>KAOLACK</v>
          </cell>
        </row>
        <row r="2269">
          <cell r="A2269" t="str">
            <v>KLD_1789</v>
          </cell>
          <cell r="S2269" t="str">
            <v>VELINGARA</v>
          </cell>
          <cell r="T2269" t="str">
            <v>ZIGUINCHOR</v>
          </cell>
        </row>
        <row r="2270">
          <cell r="A2270" t="str">
            <v>DKR_1790</v>
          </cell>
          <cell r="S2270" t="str">
            <v>THIAROYE</v>
          </cell>
          <cell r="T2270" t="str">
            <v>DAKAR</v>
          </cell>
        </row>
        <row r="2271">
          <cell r="A2271" t="str">
            <v>THS_1791</v>
          </cell>
          <cell r="S2271" t="str">
            <v>TIVAOUANE</v>
          </cell>
          <cell r="T2271" t="str">
            <v>THIES</v>
          </cell>
        </row>
        <row r="2272">
          <cell r="A2272" t="str">
            <v>STL_2763</v>
          </cell>
          <cell r="S2272" t="str">
            <v>LOUGA</v>
          </cell>
          <cell r="T2272" t="str">
            <v>SAINT-LOUIS</v>
          </cell>
        </row>
        <row r="2273">
          <cell r="A2273" t="str">
            <v>STL_1792</v>
          </cell>
          <cell r="S2273" t="str">
            <v>SAINT-LOUIS</v>
          </cell>
          <cell r="T2273" t="str">
            <v>SAINT-LOUIS</v>
          </cell>
        </row>
        <row r="2274">
          <cell r="A2274" t="str">
            <v>STL_2833</v>
          </cell>
          <cell r="S2274" t="str">
            <v>LOUGA</v>
          </cell>
          <cell r="T2274" t="str">
            <v>SAINT-LOUIS</v>
          </cell>
        </row>
        <row r="2275">
          <cell r="A2275" t="str">
            <v>NDM_1793</v>
          </cell>
          <cell r="S2275" t="str">
            <v>NDIOUM</v>
          </cell>
          <cell r="T2275" t="str">
            <v>SAINT-LOUIS</v>
          </cell>
        </row>
        <row r="2276">
          <cell r="A2276" t="str">
            <v>STL_1794</v>
          </cell>
          <cell r="S2276" t="str">
            <v>LOUGA</v>
          </cell>
          <cell r="T2276" t="str">
            <v>SAINT-LOUIS</v>
          </cell>
        </row>
        <row r="2277">
          <cell r="A2277" t="str">
            <v>ZIG_1795</v>
          </cell>
          <cell r="S2277" t="str">
            <v>ZIGUINCHOR</v>
          </cell>
          <cell r="T2277" t="str">
            <v>ZIGUINCHOR</v>
          </cell>
        </row>
        <row r="2278">
          <cell r="A2278" t="str">
            <v>DKR_1796</v>
          </cell>
          <cell r="S2278" t="str">
            <v>RUFISQUE</v>
          </cell>
          <cell r="T2278" t="str">
            <v>DAKAR</v>
          </cell>
        </row>
        <row r="2279">
          <cell r="A2279" t="str">
            <v>DKR_1797</v>
          </cell>
          <cell r="S2279" t="str">
            <v>RUFISQUE</v>
          </cell>
          <cell r="T2279" t="str">
            <v>DAKAR</v>
          </cell>
        </row>
        <row r="2280">
          <cell r="A2280" t="str">
            <v>DKR_1798</v>
          </cell>
          <cell r="S2280" t="str">
            <v>RUFISQUE</v>
          </cell>
          <cell r="T2280" t="str">
            <v>DAKAR</v>
          </cell>
        </row>
        <row r="2281">
          <cell r="A2281" t="str">
            <v>DKR_2750</v>
          </cell>
          <cell r="S2281" t="str">
            <v>THIAROYE</v>
          </cell>
          <cell r="T2281" t="str">
            <v>DAKAR</v>
          </cell>
        </row>
        <row r="2282">
          <cell r="A2282" t="str">
            <v>DKR_1799</v>
          </cell>
          <cell r="S2282" t="str">
            <v>RUFISQUE</v>
          </cell>
          <cell r="T2282" t="str">
            <v>DAKAR</v>
          </cell>
        </row>
        <row r="2283">
          <cell r="A2283" t="str">
            <v>DKR_1800</v>
          </cell>
          <cell r="S2283" t="str">
            <v>RUFISQUE</v>
          </cell>
          <cell r="T2283" t="str">
            <v>DAKAR</v>
          </cell>
        </row>
        <row r="2284">
          <cell r="A2284" t="str">
            <v>THS_1801</v>
          </cell>
          <cell r="S2284" t="str">
            <v>THIES</v>
          </cell>
          <cell r="T2284" t="str">
            <v>THIES</v>
          </cell>
        </row>
        <row r="2285">
          <cell r="A2285" t="str">
            <v>DBL_1802</v>
          </cell>
          <cell r="S2285" t="str">
            <v>DIOURBEL</v>
          </cell>
          <cell r="T2285" t="str">
            <v>THIES</v>
          </cell>
        </row>
        <row r="2286">
          <cell r="A2286" t="str">
            <v>THS_1803</v>
          </cell>
          <cell r="S2286" t="str">
            <v>TIVAOUANE</v>
          </cell>
          <cell r="T2286" t="str">
            <v>THIES</v>
          </cell>
        </row>
        <row r="2287">
          <cell r="A2287" t="str">
            <v>KLK_2816</v>
          </cell>
          <cell r="S2287" t="str">
            <v>KOUNGHEUL</v>
          </cell>
          <cell r="T2287" t="str">
            <v>TAMBACOUNDA</v>
          </cell>
        </row>
        <row r="2288">
          <cell r="A2288" t="str">
            <v>THS_2765</v>
          </cell>
          <cell r="S2288" t="str">
            <v>MBOUR</v>
          </cell>
          <cell r="T2288" t="str">
            <v>THIES</v>
          </cell>
        </row>
        <row r="2289">
          <cell r="A2289" t="str">
            <v>THS_2766</v>
          </cell>
          <cell r="S2289" t="str">
            <v>THIES</v>
          </cell>
          <cell r="T2289" t="str">
            <v>THIES</v>
          </cell>
        </row>
        <row r="2290">
          <cell r="A2290" t="str">
            <v>KLK_2761</v>
          </cell>
          <cell r="S2290" t="str">
            <v>KAOLACK</v>
          </cell>
          <cell r="T2290" t="str">
            <v xml:space="preserve"> KAOLACK</v>
          </cell>
        </row>
        <row r="2291">
          <cell r="A2291" t="str">
            <v>KLK_2766</v>
          </cell>
          <cell r="S2291" t="str">
            <v>KAOLACK</v>
          </cell>
          <cell r="T2291" t="str">
            <v>KAOLACK</v>
          </cell>
        </row>
        <row r="2292">
          <cell r="A2292" t="str">
            <v>KLK_2767</v>
          </cell>
          <cell r="S2292" t="str">
            <v>KAOLACK</v>
          </cell>
          <cell r="T2292" t="str">
            <v>KAOLACK</v>
          </cell>
        </row>
        <row r="2293">
          <cell r="A2293" t="str">
            <v>KLK_2760</v>
          </cell>
          <cell r="S2293" t="str">
            <v>FATICK</v>
          </cell>
          <cell r="T2293" t="str">
            <v>KAOLACK</v>
          </cell>
        </row>
        <row r="2294">
          <cell r="A2294" t="str">
            <v>THS_2767</v>
          </cell>
          <cell r="S2294" t="str">
            <v>MBOUR</v>
          </cell>
          <cell r="T2294" t="str">
            <v>THIES</v>
          </cell>
        </row>
        <row r="2295">
          <cell r="A2295" t="str">
            <v>KLK_2762</v>
          </cell>
          <cell r="S2295" t="str">
            <v>FATICK</v>
          </cell>
          <cell r="T2295" t="str">
            <v>KAOLACK</v>
          </cell>
        </row>
        <row r="2296">
          <cell r="A2296" t="str">
            <v>KLK_2768</v>
          </cell>
          <cell r="S2296" t="str">
            <v>FATICK</v>
          </cell>
          <cell r="T2296" t="str">
            <v>KAOLACK</v>
          </cell>
        </row>
        <row r="2297">
          <cell r="A2297" t="str">
            <v>DKR_2763</v>
          </cell>
          <cell r="S2297" t="str">
            <v>THIAROYE</v>
          </cell>
          <cell r="T2297" t="str">
            <v>DAKAR</v>
          </cell>
        </row>
        <row r="2298">
          <cell r="A2298" t="str">
            <v>DKR_2798</v>
          </cell>
          <cell r="S2298" t="str">
            <v>THIAROYE</v>
          </cell>
          <cell r="T2298" t="str">
            <v>DAKAR</v>
          </cell>
        </row>
        <row r="2299">
          <cell r="A2299" t="str">
            <v>DKR_2751</v>
          </cell>
          <cell r="S2299" t="str">
            <v>DAKAR</v>
          </cell>
          <cell r="T2299" t="str">
            <v>DAKAR</v>
          </cell>
        </row>
        <row r="2300">
          <cell r="A2300" t="str">
            <v>DKR_2799</v>
          </cell>
          <cell r="S2300" t="str">
            <v>GUEDIAWAYE</v>
          </cell>
          <cell r="T2300" t="str">
            <v>DAKAR</v>
          </cell>
        </row>
        <row r="2301">
          <cell r="A2301" t="str">
            <v>DKR_1804</v>
          </cell>
          <cell r="S2301" t="str">
            <v>THIAROYE</v>
          </cell>
          <cell r="T2301" t="str">
            <v>DAKAR</v>
          </cell>
        </row>
        <row r="2302">
          <cell r="A2302" t="str">
            <v>DKR_1805</v>
          </cell>
          <cell r="S2302" t="str">
            <v>THIAROYE</v>
          </cell>
          <cell r="T2302" t="str">
            <v>DAKAR</v>
          </cell>
        </row>
        <row r="2303">
          <cell r="A2303" t="str">
            <v>DKR_1806</v>
          </cell>
          <cell r="S2303" t="str">
            <v>THIAROYE</v>
          </cell>
          <cell r="T2303" t="str">
            <v>DAKAR</v>
          </cell>
        </row>
        <row r="2304">
          <cell r="A2304" t="str">
            <v>DKR_1807</v>
          </cell>
          <cell r="S2304" t="str">
            <v>THIAROYE</v>
          </cell>
          <cell r="T2304" t="str">
            <v>DAKAR</v>
          </cell>
        </row>
        <row r="2305">
          <cell r="A2305" t="str">
            <v>DKR_1808</v>
          </cell>
          <cell r="S2305" t="str">
            <v>THIAROYE</v>
          </cell>
          <cell r="T2305" t="str">
            <v>DAKAR</v>
          </cell>
        </row>
        <row r="2306">
          <cell r="A2306" t="str">
            <v>DKR_1809</v>
          </cell>
          <cell r="S2306" t="str">
            <v>THIAROYE</v>
          </cell>
          <cell r="T2306" t="str">
            <v>DAKAR</v>
          </cell>
        </row>
        <row r="2307">
          <cell r="A2307" t="str">
            <v>DKR_1810</v>
          </cell>
          <cell r="S2307" t="str">
            <v>THIAROYE</v>
          </cell>
          <cell r="T2307" t="str">
            <v>DAKAR</v>
          </cell>
        </row>
        <row r="2308">
          <cell r="A2308" t="str">
            <v>DKR_1811</v>
          </cell>
          <cell r="S2308" t="str">
            <v>THIAROYE</v>
          </cell>
          <cell r="T2308" t="str">
            <v>DAKAR</v>
          </cell>
        </row>
        <row r="2309">
          <cell r="A2309" t="str">
            <v>DKR_1812</v>
          </cell>
          <cell r="S2309" t="str">
            <v>THIAROYE</v>
          </cell>
          <cell r="T2309" t="str">
            <v>DAKAR</v>
          </cell>
        </row>
        <row r="2310">
          <cell r="A2310" t="str">
            <v>DKR_1813</v>
          </cell>
          <cell r="S2310" t="str">
            <v>THIAROYE</v>
          </cell>
          <cell r="T2310" t="str">
            <v>DAKAR</v>
          </cell>
        </row>
        <row r="2311">
          <cell r="A2311" t="str">
            <v>DKR_2700</v>
          </cell>
          <cell r="S2311" t="str">
            <v>DAKAR</v>
          </cell>
          <cell r="T2311" t="str">
            <v>DAKAR</v>
          </cell>
        </row>
        <row r="2312">
          <cell r="A2312" t="str">
            <v>NDM_1814</v>
          </cell>
          <cell r="S2312" t="str">
            <v>NDIOUM</v>
          </cell>
          <cell r="T2312" t="str">
            <v>SAINT-LOUIS</v>
          </cell>
        </row>
        <row r="2313">
          <cell r="A2313" t="str">
            <v>NDM_1815</v>
          </cell>
          <cell r="S2313" t="str">
            <v>NDIOUM</v>
          </cell>
          <cell r="T2313" t="str">
            <v>SAINT-LOUIS</v>
          </cell>
        </row>
        <row r="2314">
          <cell r="A2314" t="str">
            <v>DKR_1816</v>
          </cell>
          <cell r="S2314" t="str">
            <v>SACRE_COEUR</v>
          </cell>
          <cell r="T2314" t="str">
            <v>DAKAR</v>
          </cell>
        </row>
        <row r="2315">
          <cell r="A2315" t="str">
            <v>DKR_1817</v>
          </cell>
          <cell r="S2315" t="str">
            <v>SACRE_COEUR</v>
          </cell>
          <cell r="T2315" t="str">
            <v>DAKAR</v>
          </cell>
        </row>
        <row r="2316">
          <cell r="A2316" t="str">
            <v>MBR_1818</v>
          </cell>
          <cell r="S2316" t="str">
            <v>MBOUR</v>
          </cell>
          <cell r="T2316" t="str">
            <v>THIES</v>
          </cell>
        </row>
        <row r="2317">
          <cell r="A2317" t="str">
            <v>DKR_1819</v>
          </cell>
          <cell r="S2317" t="str">
            <v>MEDINA</v>
          </cell>
          <cell r="T2317" t="str">
            <v>DAKAR</v>
          </cell>
        </row>
        <row r="2318">
          <cell r="A2318" t="str">
            <v>DKR_1820</v>
          </cell>
          <cell r="S2318" t="str">
            <v>MEDINA</v>
          </cell>
          <cell r="T2318" t="str">
            <v>DAKAR</v>
          </cell>
        </row>
        <row r="2319">
          <cell r="A2319" t="str">
            <v>THS_2748</v>
          </cell>
          <cell r="S2319" t="str">
            <v>MBOUR</v>
          </cell>
          <cell r="T2319" t="str">
            <v>THIES</v>
          </cell>
        </row>
        <row r="2320">
          <cell r="A2320" t="str">
            <v>MBR_1821</v>
          </cell>
          <cell r="S2320" t="str">
            <v>MBOUR</v>
          </cell>
          <cell r="T2320" t="str">
            <v>THIES</v>
          </cell>
        </row>
        <row r="2321">
          <cell r="A2321" t="str">
            <v>MBR_1822</v>
          </cell>
          <cell r="S2321" t="str">
            <v>MBOUR</v>
          </cell>
          <cell r="T2321" t="str">
            <v>THIES</v>
          </cell>
        </row>
        <row r="2322">
          <cell r="A2322" t="str">
            <v>MBR_1823</v>
          </cell>
          <cell r="S2322" t="str">
            <v>MBOUR</v>
          </cell>
          <cell r="T2322" t="str">
            <v>THIES</v>
          </cell>
        </row>
        <row r="2323">
          <cell r="A2323" t="str">
            <v>MBR_1824</v>
          </cell>
          <cell r="S2323" t="str">
            <v>MBOUR</v>
          </cell>
          <cell r="T2323" t="str">
            <v>THIES</v>
          </cell>
        </row>
        <row r="2324">
          <cell r="A2324" t="str">
            <v>MBR_1825</v>
          </cell>
          <cell r="S2324" t="str">
            <v>MBOUR</v>
          </cell>
          <cell r="T2324" t="str">
            <v>THIES</v>
          </cell>
        </row>
        <row r="2325">
          <cell r="A2325" t="str">
            <v>STL_2814</v>
          </cell>
          <cell r="S2325" t="str">
            <v>LOUGA</v>
          </cell>
          <cell r="T2325" t="str">
            <v>SAINT-LOUIS</v>
          </cell>
        </row>
        <row r="2326">
          <cell r="A2326" t="str">
            <v>KLK_1826</v>
          </cell>
          <cell r="S2326" t="str">
            <v>SOKONE</v>
          </cell>
          <cell r="T2326" t="str">
            <v>KAOLACK</v>
          </cell>
        </row>
        <row r="2327">
          <cell r="A2327" t="str">
            <v>KLK_1827</v>
          </cell>
          <cell r="S2327" t="str">
            <v>SOKONE</v>
          </cell>
          <cell r="T2327" t="str">
            <v>KAOLACK</v>
          </cell>
        </row>
        <row r="2328">
          <cell r="A2328" t="str">
            <v>KLK_1828</v>
          </cell>
          <cell r="S2328" t="str">
            <v>SOKONE</v>
          </cell>
          <cell r="T2328" t="str">
            <v>KAOLACK</v>
          </cell>
        </row>
        <row r="2329">
          <cell r="A2329" t="str">
            <v>KLK_1829</v>
          </cell>
          <cell r="S2329" t="str">
            <v>SOKONE</v>
          </cell>
          <cell r="T2329" t="str">
            <v>KAOLACK</v>
          </cell>
        </row>
        <row r="2330">
          <cell r="A2330" t="str">
            <v>KLK_1830</v>
          </cell>
          <cell r="S2330" t="str">
            <v>SOKONE</v>
          </cell>
          <cell r="T2330" t="str">
            <v>KAOLACK</v>
          </cell>
        </row>
        <row r="2331">
          <cell r="A2331" t="str">
            <v>KLK_1831</v>
          </cell>
          <cell r="S2331" t="str">
            <v>SOKONE</v>
          </cell>
          <cell r="T2331" t="str">
            <v>KAOLACK</v>
          </cell>
        </row>
        <row r="2332">
          <cell r="A2332" t="str">
            <v>KLK_1832</v>
          </cell>
          <cell r="S2332" t="str">
            <v>SOKONE</v>
          </cell>
          <cell r="T2332" t="str">
            <v>KAOLACK</v>
          </cell>
        </row>
        <row r="2333">
          <cell r="A2333" t="str">
            <v>THS_2809</v>
          </cell>
          <cell r="S2333" t="str">
            <v>THIES</v>
          </cell>
          <cell r="T2333" t="str">
            <v>THIES</v>
          </cell>
        </row>
        <row r="2334">
          <cell r="A2334" t="str">
            <v>STL_1833</v>
          </cell>
          <cell r="S2334" t="str">
            <v>LOUGA</v>
          </cell>
          <cell r="T2334" t="str">
            <v>SAINT-LOUIS</v>
          </cell>
        </row>
        <row r="2335">
          <cell r="A2335" t="str">
            <v>DKR_1834</v>
          </cell>
          <cell r="S2335" t="str">
            <v>MBOUR</v>
          </cell>
          <cell r="T2335" t="str">
            <v>DAKAR</v>
          </cell>
        </row>
        <row r="2336">
          <cell r="A2336" t="str">
            <v>DKR_1835</v>
          </cell>
          <cell r="S2336" t="str">
            <v>MEDINA</v>
          </cell>
          <cell r="T2336" t="str">
            <v>DAKAR</v>
          </cell>
        </row>
        <row r="2337">
          <cell r="A2337" t="str">
            <v>THS_1836</v>
          </cell>
          <cell r="S2337" t="str">
            <v>THIES</v>
          </cell>
          <cell r="T2337" t="str">
            <v>THIES</v>
          </cell>
        </row>
        <row r="2338">
          <cell r="A2338" t="str">
            <v>THS_1837</v>
          </cell>
          <cell r="S2338" t="str">
            <v>THIES</v>
          </cell>
          <cell r="T2338" t="str">
            <v>THIES</v>
          </cell>
        </row>
        <row r="2339">
          <cell r="A2339" t="str">
            <v>THS_1838</v>
          </cell>
          <cell r="S2339" t="str">
            <v>THIES</v>
          </cell>
          <cell r="T2339" t="str">
            <v>THIES</v>
          </cell>
        </row>
        <row r="2340">
          <cell r="A2340" t="str">
            <v>DKR_1839</v>
          </cell>
          <cell r="S2340" t="str">
            <v>MEDINA</v>
          </cell>
          <cell r="T2340" t="str">
            <v>DAKAR</v>
          </cell>
        </row>
        <row r="2341">
          <cell r="A2341" t="str">
            <v>DKR_1840</v>
          </cell>
          <cell r="S2341" t="str">
            <v>RUFISQUE</v>
          </cell>
          <cell r="T2341" t="str">
            <v>DAKAR</v>
          </cell>
        </row>
        <row r="2342">
          <cell r="A2342" t="str">
            <v>DKR_1841</v>
          </cell>
          <cell r="S2342" t="str">
            <v>RUFISQUE</v>
          </cell>
          <cell r="T2342" t="str">
            <v>DAKAR</v>
          </cell>
        </row>
        <row r="2343">
          <cell r="A2343" t="str">
            <v>DKR_1842</v>
          </cell>
          <cell r="S2343" t="str">
            <v>RUFISQUE</v>
          </cell>
          <cell r="T2343" t="str">
            <v>DAKAR</v>
          </cell>
        </row>
        <row r="2344">
          <cell r="A2344" t="str">
            <v>DKR_1843</v>
          </cell>
          <cell r="S2344" t="str">
            <v>RUFISQUE</v>
          </cell>
          <cell r="T2344" t="str">
            <v>DAKAR</v>
          </cell>
        </row>
        <row r="2345">
          <cell r="A2345" t="str">
            <v>DKR_1844</v>
          </cell>
          <cell r="S2345" t="str">
            <v>RUFISQUE</v>
          </cell>
          <cell r="T2345" t="str">
            <v>DAKAR</v>
          </cell>
        </row>
        <row r="2346">
          <cell r="A2346" t="str">
            <v>DKR_1845</v>
          </cell>
          <cell r="S2346" t="str">
            <v>RUFISQUE</v>
          </cell>
          <cell r="T2346" t="str">
            <v>DAKAR</v>
          </cell>
        </row>
        <row r="2347">
          <cell r="A2347" t="str">
            <v>DKR_2737</v>
          </cell>
          <cell r="S2347" t="str">
            <v>DAKAR</v>
          </cell>
          <cell r="T2347" t="str">
            <v>DAKAR</v>
          </cell>
        </row>
        <row r="2348">
          <cell r="A2348" t="str">
            <v>DKR_1846</v>
          </cell>
          <cell r="S2348" t="str">
            <v>RUFISQUE</v>
          </cell>
          <cell r="T2348" t="str">
            <v>DAKAR</v>
          </cell>
        </row>
        <row r="2349">
          <cell r="A2349" t="str">
            <v>DKR_1847</v>
          </cell>
          <cell r="S2349" t="str">
            <v>RUFISQUE</v>
          </cell>
          <cell r="T2349" t="str">
            <v>DAKAR</v>
          </cell>
        </row>
        <row r="2350">
          <cell r="A2350" t="str">
            <v>DKR_1848</v>
          </cell>
          <cell r="S2350" t="str">
            <v>RUFISQUE</v>
          </cell>
          <cell r="T2350" t="str">
            <v>DAKAR</v>
          </cell>
        </row>
        <row r="2351">
          <cell r="A2351" t="str">
            <v>DKR_1849</v>
          </cell>
          <cell r="S2351" t="str">
            <v>RUFISQUE</v>
          </cell>
          <cell r="T2351" t="str">
            <v>DAKAR</v>
          </cell>
        </row>
        <row r="2352">
          <cell r="A2352" t="str">
            <v>DKR_1850</v>
          </cell>
          <cell r="S2352" t="str">
            <v>SACRE_COEUR</v>
          </cell>
          <cell r="T2352" t="str">
            <v>DAKAR</v>
          </cell>
        </row>
        <row r="2353">
          <cell r="A2353" t="str">
            <v>DKR_1851</v>
          </cell>
          <cell r="S2353" t="str">
            <v>SACRE_COEUR</v>
          </cell>
          <cell r="T2353" t="str">
            <v>DAKAR</v>
          </cell>
        </row>
        <row r="2354">
          <cell r="A2354" t="str">
            <v>DKR_1852</v>
          </cell>
          <cell r="S2354" t="str">
            <v>SACRE_COEUR</v>
          </cell>
          <cell r="T2354" t="str">
            <v>DAKAR</v>
          </cell>
        </row>
        <row r="2355">
          <cell r="A2355" t="str">
            <v>DKR_1853</v>
          </cell>
          <cell r="S2355" t="str">
            <v>Dakar</v>
          </cell>
          <cell r="T2355" t="str">
            <v>DAKAR</v>
          </cell>
        </row>
        <row r="2356">
          <cell r="A2356" t="str">
            <v>ZIG_2708</v>
          </cell>
          <cell r="S2356" t="str">
            <v>TAMBACOUNDA</v>
          </cell>
          <cell r="T2356" t="str">
            <v>TAMBACOUNDA</v>
          </cell>
        </row>
        <row r="2357">
          <cell r="A2357" t="str">
            <v>KDG_1855</v>
          </cell>
          <cell r="S2357" t="str">
            <v>KEDOUGOU</v>
          </cell>
          <cell r="T2357" t="str">
            <v>TAMBACOUNDA</v>
          </cell>
        </row>
        <row r="2358">
          <cell r="A2358" t="str">
            <v>ORG_1856</v>
          </cell>
          <cell r="S2358" t="str">
            <v>MATAM</v>
          </cell>
          <cell r="T2358" t="str">
            <v>SAINT-LOUIS</v>
          </cell>
        </row>
        <row r="2359">
          <cell r="A2359" t="str">
            <v>STL_1857</v>
          </cell>
          <cell r="S2359" t="str">
            <v>SAINT-LOUIS</v>
          </cell>
          <cell r="T2359" t="str">
            <v>SAINT-LOUIS</v>
          </cell>
        </row>
        <row r="2360">
          <cell r="A2360" t="str">
            <v>ORG_2552</v>
          </cell>
          <cell r="S2360" t="str">
            <v>MATAM</v>
          </cell>
          <cell r="T2360" t="str">
            <v>SAINT-LOUIS</v>
          </cell>
        </row>
        <row r="2361">
          <cell r="A2361" t="str">
            <v>DKR_1858</v>
          </cell>
          <cell r="S2361" t="str">
            <v>MEDINA</v>
          </cell>
          <cell r="T2361" t="str">
            <v>DAKAR</v>
          </cell>
        </row>
        <row r="2362">
          <cell r="A2362" t="str">
            <v>DKR_1859</v>
          </cell>
          <cell r="S2362" t="str">
            <v>MEDINA</v>
          </cell>
          <cell r="T2362" t="str">
            <v>DAKAR</v>
          </cell>
        </row>
        <row r="2363">
          <cell r="A2363" t="str">
            <v>DKR_1860</v>
          </cell>
          <cell r="S2363" t="str">
            <v>MEDINA</v>
          </cell>
          <cell r="T2363" t="str">
            <v>DAKAR</v>
          </cell>
        </row>
        <row r="2364">
          <cell r="A2364" t="str">
            <v>DKR_1861</v>
          </cell>
          <cell r="S2364" t="str">
            <v>MEDINA</v>
          </cell>
          <cell r="T2364" t="str">
            <v>DAKAR</v>
          </cell>
        </row>
        <row r="2365">
          <cell r="A2365" t="str">
            <v>DBL_1862</v>
          </cell>
          <cell r="S2365" t="str">
            <v>DIOURBEL</v>
          </cell>
          <cell r="T2365" t="str">
            <v>THIES</v>
          </cell>
        </row>
        <row r="2366">
          <cell r="A2366" t="str">
            <v>DBL_2720</v>
          </cell>
          <cell r="S2366" t="str">
            <v>DIOURBEL</v>
          </cell>
          <cell r="T2366" t="str">
            <v>THIES</v>
          </cell>
        </row>
        <row r="2367">
          <cell r="A2367" t="str">
            <v>DKR_1863</v>
          </cell>
          <cell r="S2367" t="str">
            <v>MEDINA</v>
          </cell>
          <cell r="T2367" t="str">
            <v>DAKAR</v>
          </cell>
        </row>
        <row r="2368">
          <cell r="A2368" t="str">
            <v>DKR_1864</v>
          </cell>
          <cell r="S2368" t="str">
            <v>MEDINA</v>
          </cell>
          <cell r="T2368" t="str">
            <v>DAKAR</v>
          </cell>
        </row>
        <row r="2369">
          <cell r="A2369" t="str">
            <v>DKR_1865</v>
          </cell>
          <cell r="S2369" t="str">
            <v>MEDINA</v>
          </cell>
          <cell r="T2369" t="str">
            <v>DAKAR</v>
          </cell>
        </row>
        <row r="2370">
          <cell r="A2370" t="str">
            <v>DKR_1866</v>
          </cell>
          <cell r="S2370" t="str">
            <v>MEDINA</v>
          </cell>
          <cell r="T2370" t="str">
            <v>DAKAR</v>
          </cell>
        </row>
        <row r="2371">
          <cell r="A2371" t="str">
            <v>DKR_1867</v>
          </cell>
          <cell r="S2371" t="str">
            <v>MEDINA</v>
          </cell>
          <cell r="T2371" t="str">
            <v>DAKAR</v>
          </cell>
        </row>
        <row r="2372">
          <cell r="A2372" t="str">
            <v>KLK_1868</v>
          </cell>
          <cell r="S2372" t="str">
            <v>KOUNGHEUL</v>
          </cell>
          <cell r="T2372" t="str">
            <v>TAMBACOUNDA</v>
          </cell>
        </row>
        <row r="2373">
          <cell r="A2373" t="str">
            <v>STL_1869</v>
          </cell>
          <cell r="S2373" t="str">
            <v>SAINT-LOUIS</v>
          </cell>
          <cell r="T2373" t="str">
            <v>SAINT-LOUIS</v>
          </cell>
        </row>
        <row r="2374">
          <cell r="A2374" t="str">
            <v>STL_1870</v>
          </cell>
          <cell r="S2374" t="str">
            <v>SAINT-LOUIS</v>
          </cell>
          <cell r="T2374" t="str">
            <v>SAINT-LOUIS</v>
          </cell>
        </row>
        <row r="2375">
          <cell r="A2375" t="str">
            <v>STL_1871</v>
          </cell>
          <cell r="S2375" t="str">
            <v>SAINT-LOUIS</v>
          </cell>
          <cell r="T2375" t="str">
            <v>SAINT-LOUIS</v>
          </cell>
        </row>
        <row r="2376">
          <cell r="A2376" t="str">
            <v>STL_1873</v>
          </cell>
          <cell r="S2376" t="str">
            <v>SAINT-LOUIS</v>
          </cell>
          <cell r="T2376" t="str">
            <v>SAINT-LOUIS</v>
          </cell>
        </row>
        <row r="2377">
          <cell r="A2377" t="str">
            <v>STL_1874</v>
          </cell>
          <cell r="S2377" t="str">
            <v>SAINT-LOUIS</v>
          </cell>
          <cell r="T2377" t="str">
            <v>SAINT-LOUIS</v>
          </cell>
        </row>
        <row r="2378">
          <cell r="A2378" t="str">
            <v>STL_1875</v>
          </cell>
          <cell r="S2378" t="str">
            <v>SAINT-LOUIS</v>
          </cell>
          <cell r="T2378" t="str">
            <v>SAINT-LOUIS</v>
          </cell>
        </row>
        <row r="2379">
          <cell r="A2379" t="str">
            <v>STL_2690</v>
          </cell>
          <cell r="S2379" t="str">
            <v>SAINT-LOUIS</v>
          </cell>
          <cell r="T2379" t="str">
            <v>SAINT-LOUIS</v>
          </cell>
        </row>
        <row r="2380">
          <cell r="A2380" t="str">
            <v>THS_1877</v>
          </cell>
          <cell r="S2380" t="str">
            <v>TIVAOUANE</v>
          </cell>
          <cell r="T2380" t="str">
            <v>THIES</v>
          </cell>
        </row>
        <row r="2381">
          <cell r="A2381" t="str">
            <v>THS_1878</v>
          </cell>
          <cell r="S2381" t="str">
            <v>TIVAOUANE</v>
          </cell>
          <cell r="T2381" t="str">
            <v>THIES</v>
          </cell>
        </row>
        <row r="2382">
          <cell r="A2382" t="str">
            <v>MBR_1879</v>
          </cell>
          <cell r="S2382" t="str">
            <v>MBOUR</v>
          </cell>
          <cell r="T2382" t="str">
            <v>THIES</v>
          </cell>
        </row>
        <row r="2383">
          <cell r="A2383" t="str">
            <v>STL_1880</v>
          </cell>
          <cell r="S2383" t="str">
            <v>SAINT-LOUIS</v>
          </cell>
          <cell r="T2383" t="str">
            <v>SAINT-LOUIS</v>
          </cell>
        </row>
        <row r="2384">
          <cell r="A2384" t="str">
            <v>STL_1881</v>
          </cell>
          <cell r="S2384" t="str">
            <v>SAINT-LOUIS</v>
          </cell>
          <cell r="T2384" t="str">
            <v>SAINT-LOUIS</v>
          </cell>
        </row>
        <row r="2385">
          <cell r="A2385" t="str">
            <v>STL_1882</v>
          </cell>
          <cell r="S2385" t="str">
            <v>SAINT-LOUIS</v>
          </cell>
          <cell r="T2385" t="str">
            <v>SAINT-LOUIS</v>
          </cell>
        </row>
        <row r="2386">
          <cell r="A2386" t="str">
            <v>STL_1883</v>
          </cell>
          <cell r="S2386" t="str">
            <v>SAINT-LOUIS</v>
          </cell>
          <cell r="T2386" t="str">
            <v>SAINT-LOUIS</v>
          </cell>
        </row>
        <row r="2387">
          <cell r="A2387" t="str">
            <v>STL_1884</v>
          </cell>
          <cell r="S2387" t="str">
            <v>SAINT-LOUIS</v>
          </cell>
          <cell r="T2387" t="str">
            <v>SAINT-LOUIS</v>
          </cell>
        </row>
        <row r="2388">
          <cell r="A2388" t="str">
            <v>DKR_1885</v>
          </cell>
          <cell r="S2388" t="str">
            <v>GUEDIAWAYE</v>
          </cell>
          <cell r="T2388" t="str">
            <v>DAKAR</v>
          </cell>
        </row>
        <row r="2389">
          <cell r="A2389" t="str">
            <v>DKR_1886</v>
          </cell>
          <cell r="S2389" t="str">
            <v>GUEDIAWAYE</v>
          </cell>
          <cell r="T2389" t="str">
            <v>DAKAR</v>
          </cell>
        </row>
        <row r="2390">
          <cell r="A2390" t="str">
            <v>DKR_1887</v>
          </cell>
          <cell r="S2390" t="str">
            <v>GUEDIAWAYE</v>
          </cell>
          <cell r="T2390" t="str">
            <v>DAKAR</v>
          </cell>
        </row>
        <row r="2391">
          <cell r="A2391" t="str">
            <v>DKR_1888</v>
          </cell>
          <cell r="S2391" t="str">
            <v>GUEDIAWAYE</v>
          </cell>
          <cell r="T2391" t="str">
            <v>DAKAR</v>
          </cell>
        </row>
        <row r="2392">
          <cell r="A2392" t="str">
            <v>DKR_2752</v>
          </cell>
          <cell r="S2392" t="str">
            <v>KEUR_MASSAR</v>
          </cell>
          <cell r="T2392" t="str">
            <v>DAKAR</v>
          </cell>
        </row>
        <row r="2393">
          <cell r="A2393" t="str">
            <v>DKR_2677</v>
          </cell>
          <cell r="S2393" t="str">
            <v>GUEDIAWAYE</v>
          </cell>
          <cell r="T2393" t="str">
            <v>DAKAR</v>
          </cell>
        </row>
        <row r="2394">
          <cell r="A2394" t="str">
            <v>DKR_1889</v>
          </cell>
          <cell r="S2394" t="str">
            <v>GUEDIAWAYE</v>
          </cell>
          <cell r="T2394" t="str">
            <v>DAKAR</v>
          </cell>
        </row>
        <row r="2395">
          <cell r="A2395" t="str">
            <v>DKR_1890</v>
          </cell>
          <cell r="S2395" t="str">
            <v>GUEDIAWAYE</v>
          </cell>
          <cell r="T2395" t="str">
            <v>DAKAR</v>
          </cell>
        </row>
        <row r="2396">
          <cell r="A2396" t="str">
            <v>DKR_2800</v>
          </cell>
          <cell r="S2396" t="str">
            <v>GUEDIAWAYE</v>
          </cell>
          <cell r="T2396" t="str">
            <v>DAKAR</v>
          </cell>
        </row>
        <row r="2397">
          <cell r="A2397" t="str">
            <v>DKR_2762</v>
          </cell>
          <cell r="S2397" t="str">
            <v>GUEDIAWAYE</v>
          </cell>
          <cell r="T2397" t="str">
            <v>DAKAR</v>
          </cell>
        </row>
        <row r="2398">
          <cell r="A2398" t="str">
            <v>DKR_1891</v>
          </cell>
          <cell r="S2398" t="str">
            <v>MEDINA</v>
          </cell>
          <cell r="T2398" t="str">
            <v>DAKAR</v>
          </cell>
        </row>
        <row r="2399">
          <cell r="A2399" t="str">
            <v>DKR_1892</v>
          </cell>
          <cell r="S2399" t="str">
            <v>RUFISQUE</v>
          </cell>
          <cell r="T2399" t="str">
            <v>DAKAR</v>
          </cell>
        </row>
        <row r="2400">
          <cell r="A2400" t="str">
            <v>DKR_2779</v>
          </cell>
          <cell r="S2400" t="str">
            <v>Dakar</v>
          </cell>
          <cell r="T2400" t="str">
            <v>DAKAR</v>
          </cell>
        </row>
        <row r="2401">
          <cell r="A2401" t="str">
            <v>DKR_1893</v>
          </cell>
          <cell r="S2401" t="str">
            <v>RUFISQUE</v>
          </cell>
          <cell r="T2401" t="str">
            <v>DAKAR</v>
          </cell>
        </row>
        <row r="2402">
          <cell r="A2402" t="str">
            <v>DKR_1894</v>
          </cell>
          <cell r="S2402" t="str">
            <v>RUFISQUE</v>
          </cell>
          <cell r="T2402" t="str">
            <v>DAKAR</v>
          </cell>
        </row>
        <row r="2403">
          <cell r="A2403" t="str">
            <v>DKR_1895</v>
          </cell>
          <cell r="S2403" t="str">
            <v>RUFISQUE</v>
          </cell>
          <cell r="T2403" t="str">
            <v>DAKAR</v>
          </cell>
        </row>
        <row r="2404">
          <cell r="A2404" t="str">
            <v>DKR_1896</v>
          </cell>
          <cell r="S2404" t="str">
            <v>RUFISQUE</v>
          </cell>
          <cell r="T2404" t="str">
            <v>DAKAR</v>
          </cell>
        </row>
        <row r="2405">
          <cell r="A2405" t="str">
            <v>DKR_1897</v>
          </cell>
          <cell r="S2405" t="str">
            <v>RUFISQUE</v>
          </cell>
          <cell r="T2405" t="str">
            <v>DAKAR</v>
          </cell>
        </row>
        <row r="2406">
          <cell r="A2406" t="str">
            <v>DKR_1898</v>
          </cell>
          <cell r="S2406" t="str">
            <v>RUFISQUE</v>
          </cell>
          <cell r="T2406" t="str">
            <v>DAKAR</v>
          </cell>
        </row>
        <row r="2407">
          <cell r="A2407" t="str">
            <v>DKR_1899</v>
          </cell>
          <cell r="S2407" t="str">
            <v>RUFISQUE</v>
          </cell>
          <cell r="T2407" t="str">
            <v>DAKAR</v>
          </cell>
        </row>
        <row r="2408">
          <cell r="A2408" t="str">
            <v>DKR_1900</v>
          </cell>
          <cell r="S2408" t="str">
            <v>RUFISQUE</v>
          </cell>
          <cell r="T2408" t="str">
            <v>DAKAR</v>
          </cell>
        </row>
        <row r="2409">
          <cell r="A2409" t="str">
            <v>DKR_1901</v>
          </cell>
          <cell r="S2409" t="str">
            <v>RUFISQUE</v>
          </cell>
          <cell r="T2409" t="str">
            <v>DAKAR</v>
          </cell>
        </row>
        <row r="2410">
          <cell r="A2410" t="str">
            <v>DKR_1902</v>
          </cell>
          <cell r="S2410" t="str">
            <v>RUFISQUE</v>
          </cell>
          <cell r="T2410" t="str">
            <v>DAKAR</v>
          </cell>
        </row>
        <row r="2411">
          <cell r="A2411" t="str">
            <v>DKR_1903</v>
          </cell>
          <cell r="S2411" t="str">
            <v>RUFISQUE</v>
          </cell>
          <cell r="T2411" t="str">
            <v>DAKAR</v>
          </cell>
        </row>
        <row r="2412">
          <cell r="A2412" t="str">
            <v>DKR_1904</v>
          </cell>
          <cell r="S2412" t="str">
            <v>RUFISQUE</v>
          </cell>
          <cell r="T2412" t="str">
            <v>DAKAR</v>
          </cell>
        </row>
        <row r="2413">
          <cell r="A2413" t="str">
            <v>DKR_1905</v>
          </cell>
          <cell r="S2413" t="str">
            <v>RUFISQUE</v>
          </cell>
          <cell r="T2413" t="str">
            <v>DAKAR</v>
          </cell>
        </row>
        <row r="2414">
          <cell r="A2414" t="str">
            <v>DKR_1906</v>
          </cell>
          <cell r="S2414" t="str">
            <v>RUFISQUE</v>
          </cell>
          <cell r="T2414" t="str">
            <v>DAKAR</v>
          </cell>
        </row>
        <row r="2415">
          <cell r="A2415" t="str">
            <v>DKR_1907</v>
          </cell>
          <cell r="S2415" t="str">
            <v>RUFISQUE</v>
          </cell>
          <cell r="T2415" t="str">
            <v>DAKAR</v>
          </cell>
        </row>
        <row r="2416">
          <cell r="A2416" t="str">
            <v>DKR_1908</v>
          </cell>
          <cell r="S2416" t="str">
            <v>RUFISQUE</v>
          </cell>
          <cell r="T2416" t="str">
            <v>DAKAR</v>
          </cell>
        </row>
        <row r="2417">
          <cell r="A2417" t="str">
            <v>DKR_1909</v>
          </cell>
          <cell r="S2417" t="str">
            <v>RUFISQUE</v>
          </cell>
          <cell r="T2417" t="str">
            <v>DAKAR</v>
          </cell>
        </row>
        <row r="2418">
          <cell r="A2418" t="str">
            <v>DKR_1910</v>
          </cell>
          <cell r="S2418" t="str">
            <v>RUFISQUE</v>
          </cell>
          <cell r="T2418" t="str">
            <v>DAKAR</v>
          </cell>
        </row>
        <row r="2419">
          <cell r="A2419" t="str">
            <v>DKR_1911</v>
          </cell>
          <cell r="S2419" t="str">
            <v>RUFISQUE</v>
          </cell>
          <cell r="T2419" t="str">
            <v>DAKAR</v>
          </cell>
        </row>
        <row r="2420">
          <cell r="A2420" t="str">
            <v>DKR_1912</v>
          </cell>
          <cell r="S2420" t="str">
            <v>RUFISQUE</v>
          </cell>
          <cell r="T2420" t="str">
            <v>DAKAR</v>
          </cell>
        </row>
        <row r="2421">
          <cell r="A2421" t="str">
            <v>DKR_1913</v>
          </cell>
          <cell r="S2421" t="str">
            <v>RUFISQUE</v>
          </cell>
          <cell r="T2421" t="str">
            <v>DAKAR</v>
          </cell>
        </row>
        <row r="2422">
          <cell r="A2422" t="str">
            <v>DKR_1914</v>
          </cell>
          <cell r="S2422" t="str">
            <v>RUFISQUE</v>
          </cell>
          <cell r="T2422" t="str">
            <v>DAKAR</v>
          </cell>
        </row>
        <row r="2423">
          <cell r="A2423" t="str">
            <v>DKR_1915</v>
          </cell>
          <cell r="S2423" t="str">
            <v>RUFISQUE</v>
          </cell>
          <cell r="T2423" t="str">
            <v>DAKAR</v>
          </cell>
        </row>
        <row r="2424">
          <cell r="A2424" t="str">
            <v>DKR_1916</v>
          </cell>
          <cell r="S2424" t="str">
            <v>RUFISQUE</v>
          </cell>
          <cell r="T2424" t="str">
            <v>DAKAR</v>
          </cell>
        </row>
        <row r="2425">
          <cell r="A2425" t="str">
            <v>DKR_1917</v>
          </cell>
          <cell r="S2425" t="str">
            <v>RUFISQUE</v>
          </cell>
          <cell r="T2425" t="str">
            <v>DAKAR</v>
          </cell>
        </row>
        <row r="2426">
          <cell r="A2426" t="str">
            <v>DKR_1918</v>
          </cell>
          <cell r="S2426" t="str">
            <v>RUFISQUE</v>
          </cell>
          <cell r="T2426" t="str">
            <v>DAKAR</v>
          </cell>
        </row>
        <row r="2427">
          <cell r="A2427" t="str">
            <v>DKR_1919</v>
          </cell>
          <cell r="S2427" t="str">
            <v>RUFISQUE</v>
          </cell>
          <cell r="T2427" t="str">
            <v>DAKAR</v>
          </cell>
        </row>
        <row r="2428">
          <cell r="A2428" t="str">
            <v>DKR_1920</v>
          </cell>
          <cell r="S2428" t="str">
            <v>RUFISQUE</v>
          </cell>
          <cell r="T2428" t="str">
            <v>DAKAR</v>
          </cell>
        </row>
        <row r="2429">
          <cell r="A2429" t="str">
            <v>DKR_1921</v>
          </cell>
          <cell r="S2429" t="str">
            <v>RUFISQUE</v>
          </cell>
          <cell r="T2429" t="str">
            <v>DAKAR</v>
          </cell>
        </row>
        <row r="2430">
          <cell r="A2430" t="str">
            <v>DKR_1922</v>
          </cell>
          <cell r="S2430" t="str">
            <v>RUFISQUE</v>
          </cell>
          <cell r="T2430" t="str">
            <v>DAKAR</v>
          </cell>
        </row>
        <row r="2431">
          <cell r="A2431" t="str">
            <v>DKR_1923</v>
          </cell>
          <cell r="S2431" t="str">
            <v>RUFISQUE</v>
          </cell>
          <cell r="T2431" t="str">
            <v>DAKAR</v>
          </cell>
        </row>
        <row r="2432">
          <cell r="A2432" t="str">
            <v>DKR_1924</v>
          </cell>
          <cell r="S2432" t="str">
            <v>RUFISQUE</v>
          </cell>
          <cell r="T2432" t="str">
            <v>DAKAR</v>
          </cell>
        </row>
        <row r="2433">
          <cell r="A2433" t="str">
            <v>DKR_2732</v>
          </cell>
          <cell r="S2433" t="str">
            <v>RUFISQUE</v>
          </cell>
          <cell r="T2433" t="str">
            <v>DAKAR</v>
          </cell>
        </row>
        <row r="2434">
          <cell r="A2434" t="str">
            <v>DKR_2720</v>
          </cell>
          <cell r="S2434" t="str">
            <v>RUFISQUE</v>
          </cell>
          <cell r="T2434" t="str">
            <v>DAKAR</v>
          </cell>
        </row>
        <row r="2435">
          <cell r="A2435" t="str">
            <v>DKR_2807</v>
          </cell>
          <cell r="S2435" t="str">
            <v>RUFISQUE</v>
          </cell>
          <cell r="T2435" t="str">
            <v>DAKAR</v>
          </cell>
        </row>
        <row r="2436">
          <cell r="A2436" t="str">
            <v>DKR_2757</v>
          </cell>
          <cell r="S2436" t="str">
            <v>RUFISQUE</v>
          </cell>
          <cell r="T2436" t="str">
            <v>DAKAR</v>
          </cell>
        </row>
        <row r="2437">
          <cell r="A2437" t="str">
            <v>DKR_2753</v>
          </cell>
          <cell r="S2437" t="str">
            <v>RUFISQUE</v>
          </cell>
          <cell r="T2437" t="str">
            <v>DAKAR</v>
          </cell>
        </row>
        <row r="2438">
          <cell r="A2438" t="str">
            <v>DKR_2801</v>
          </cell>
          <cell r="S2438" t="str">
            <v>RUFISQUE</v>
          </cell>
          <cell r="T2438" t="str">
            <v>DAKAR</v>
          </cell>
        </row>
        <row r="2439">
          <cell r="A2439" t="str">
            <v>DKR_2802</v>
          </cell>
          <cell r="S2439" t="str">
            <v>RUFISQUE</v>
          </cell>
          <cell r="T2439" t="str">
            <v>DAKAR</v>
          </cell>
        </row>
        <row r="2440">
          <cell r="A2440" t="str">
            <v>DKR_2834</v>
          </cell>
          <cell r="S2440" t="str">
            <v>Dakar</v>
          </cell>
          <cell r="T2440" t="str">
            <v>DAKAR</v>
          </cell>
        </row>
        <row r="2441">
          <cell r="A2441" t="str">
            <v>DKR_1925</v>
          </cell>
          <cell r="S2441" t="str">
            <v>THIAROYE</v>
          </cell>
          <cell r="T2441" t="str">
            <v>DAKAR</v>
          </cell>
        </row>
        <row r="2442">
          <cell r="A2442" t="str">
            <v>DKR_1926</v>
          </cell>
          <cell r="S2442" t="str">
            <v>THIAROYE</v>
          </cell>
          <cell r="T2442" t="str">
            <v>DAKAR</v>
          </cell>
        </row>
        <row r="2443">
          <cell r="A2443" t="str">
            <v>DKR_1927</v>
          </cell>
          <cell r="S2443" t="str">
            <v>SACRE_COEUR</v>
          </cell>
          <cell r="T2443" t="str">
            <v>DAKAR</v>
          </cell>
        </row>
        <row r="2444">
          <cell r="A2444" t="str">
            <v>KDG_2718</v>
          </cell>
          <cell r="S2444" t="str">
            <v>KEDOUGOU</v>
          </cell>
          <cell r="T2444" t="str">
            <v>TAMBACOUNDA</v>
          </cell>
        </row>
        <row r="2445">
          <cell r="A2445" t="str">
            <v>KDG_2720</v>
          </cell>
          <cell r="S2445" t="str">
            <v>KEDOUGOU</v>
          </cell>
          <cell r="T2445" t="str">
            <v>TAMBACOUNDA</v>
          </cell>
        </row>
        <row r="2446">
          <cell r="A2446" t="str">
            <v>TMB_1928</v>
          </cell>
          <cell r="S2446" t="str">
            <v>KEDOUGOU</v>
          </cell>
          <cell r="T2446" t="str">
            <v>TAMBACOUNDA</v>
          </cell>
        </row>
        <row r="2447">
          <cell r="A2447" t="str">
            <v>KDG_1929</v>
          </cell>
          <cell r="S2447" t="str">
            <v>KEDOUGOU</v>
          </cell>
          <cell r="T2447" t="str">
            <v>TAMBACOUNDA</v>
          </cell>
        </row>
        <row r="2448">
          <cell r="A2448" t="str">
            <v>KDG_1930</v>
          </cell>
          <cell r="S2448" t="str">
            <v>KEDOUGOU</v>
          </cell>
          <cell r="T2448" t="str">
            <v>TAMBACOUNDA</v>
          </cell>
        </row>
        <row r="2449">
          <cell r="A2449" t="str">
            <v>KLK_1931</v>
          </cell>
          <cell r="S2449" t="str">
            <v>SOKONE</v>
          </cell>
          <cell r="T2449" t="str">
            <v>KAOLACK</v>
          </cell>
        </row>
        <row r="2450">
          <cell r="A2450" t="str">
            <v>KLD_1932</v>
          </cell>
          <cell r="S2450" t="str">
            <v>SEDHIOU</v>
          </cell>
          <cell r="T2450" t="str">
            <v>ZIGUINCHOR</v>
          </cell>
        </row>
        <row r="2451">
          <cell r="A2451" t="str">
            <v>KLD_2749</v>
          </cell>
          <cell r="S2451" t="str">
            <v>ZIGUINCHOR</v>
          </cell>
          <cell r="T2451" t="str">
            <v>ZIGUINCHOR</v>
          </cell>
        </row>
        <row r="2452">
          <cell r="A2452" t="str">
            <v>DKR_1933</v>
          </cell>
          <cell r="S2452" t="str">
            <v>SACRE_COEUR</v>
          </cell>
          <cell r="T2452" t="str">
            <v>DAKAR</v>
          </cell>
        </row>
        <row r="2453">
          <cell r="A2453" t="str">
            <v>DKR_1934</v>
          </cell>
          <cell r="S2453" t="str">
            <v>SACRE_COEUR</v>
          </cell>
          <cell r="T2453" t="str">
            <v>DAKAR</v>
          </cell>
        </row>
        <row r="2454">
          <cell r="A2454" t="str">
            <v>DKR_1935</v>
          </cell>
          <cell r="S2454" t="str">
            <v>SACRE_COEUR</v>
          </cell>
          <cell r="T2454" t="str">
            <v>DAKAR</v>
          </cell>
        </row>
        <row r="2455">
          <cell r="A2455" t="str">
            <v>DKR_1936</v>
          </cell>
          <cell r="S2455" t="str">
            <v>SACRE_COEUR</v>
          </cell>
          <cell r="T2455" t="str">
            <v>DAKAR</v>
          </cell>
        </row>
        <row r="2456">
          <cell r="A2456" t="str">
            <v>DKR_1937</v>
          </cell>
          <cell r="S2456" t="str">
            <v>SACRE_COEUR</v>
          </cell>
          <cell r="T2456" t="str">
            <v>DAKAR</v>
          </cell>
        </row>
        <row r="2457">
          <cell r="A2457" t="str">
            <v>KDG_1938</v>
          </cell>
          <cell r="S2457" t="str">
            <v>GOUDIRY</v>
          </cell>
          <cell r="T2457" t="str">
            <v>TAMBACOUNDA</v>
          </cell>
        </row>
        <row r="2458">
          <cell r="A2458" t="str">
            <v>STL_2688</v>
          </cell>
          <cell r="S2458" t="str">
            <v>MATAM</v>
          </cell>
          <cell r="T2458" t="str">
            <v>SAINT-LOUIS</v>
          </cell>
        </row>
        <row r="2459">
          <cell r="A2459" t="str">
            <v>DBL_1939</v>
          </cell>
          <cell r="S2459" t="str">
            <v>TOUBA02</v>
          </cell>
          <cell r="T2459" t="str">
            <v>THIES</v>
          </cell>
        </row>
        <row r="2460">
          <cell r="A2460" t="str">
            <v>STL_1940</v>
          </cell>
          <cell r="S2460" t="str">
            <v>SAINT-LOUIS</v>
          </cell>
          <cell r="T2460" t="str">
            <v>SAINT-LOUIS</v>
          </cell>
        </row>
        <row r="2461">
          <cell r="A2461" t="str">
            <v>STL_1941</v>
          </cell>
          <cell r="S2461" t="str">
            <v>LOUGA</v>
          </cell>
          <cell r="T2461" t="str">
            <v>SAINT-LOUIS</v>
          </cell>
        </row>
        <row r="2462">
          <cell r="A2462" t="str">
            <v>STL_2670</v>
          </cell>
          <cell r="S2462" t="str">
            <v>LOUGA</v>
          </cell>
          <cell r="T2462" t="str">
            <v>SAINT-LOUIS</v>
          </cell>
        </row>
        <row r="2463">
          <cell r="A2463" t="str">
            <v>KLK_2792</v>
          </cell>
          <cell r="S2463" t="str">
            <v>KAFFRINE</v>
          </cell>
          <cell r="T2463" t="str">
            <v>KAOLACK</v>
          </cell>
        </row>
        <row r="2464">
          <cell r="A2464" t="str">
            <v>MBR_1942</v>
          </cell>
          <cell r="S2464" t="str">
            <v>MBOUR</v>
          </cell>
          <cell r="T2464" t="str">
            <v>KAOLACK</v>
          </cell>
        </row>
        <row r="2465">
          <cell r="A2465" t="str">
            <v>DKR_1943</v>
          </cell>
          <cell r="S2465" t="str">
            <v>MEDINA</v>
          </cell>
          <cell r="T2465" t="str">
            <v>DAKAR</v>
          </cell>
        </row>
        <row r="2466">
          <cell r="A2466" t="str">
            <v>DKR_1944</v>
          </cell>
          <cell r="S2466" t="str">
            <v>MEDINA</v>
          </cell>
          <cell r="T2466" t="str">
            <v>DAKAR</v>
          </cell>
        </row>
        <row r="2467">
          <cell r="A2467" t="str">
            <v>KDG_1945</v>
          </cell>
          <cell r="S2467" t="str">
            <v>KEDOUGOU</v>
          </cell>
          <cell r="T2467" t="str">
            <v>TAMBACOUNDA</v>
          </cell>
        </row>
        <row r="2468">
          <cell r="A2468" t="str">
            <v>STL_1946</v>
          </cell>
          <cell r="S2468" t="str">
            <v>LOUGA</v>
          </cell>
          <cell r="T2468" t="str">
            <v>SAINT-LOUIS</v>
          </cell>
        </row>
        <row r="2469">
          <cell r="A2469" t="str">
            <v>KLD_1947</v>
          </cell>
          <cell r="S2469" t="str">
            <v>SEDHIOU</v>
          </cell>
          <cell r="T2469" t="str">
            <v>ZIGUINCHOR</v>
          </cell>
        </row>
        <row r="2470">
          <cell r="A2470" t="str">
            <v>MBR_1948</v>
          </cell>
          <cell r="S2470" t="str">
            <v>FATICK</v>
          </cell>
          <cell r="T2470" t="str">
            <v>KAOLACK</v>
          </cell>
        </row>
        <row r="2471">
          <cell r="A2471" t="str">
            <v>KLD_1949</v>
          </cell>
          <cell r="S2471" t="str">
            <v>KOLDA</v>
          </cell>
          <cell r="T2471" t="str">
            <v>ZIGUINCHOR</v>
          </cell>
        </row>
        <row r="2472">
          <cell r="A2472" t="str">
            <v>NDM_1950</v>
          </cell>
          <cell r="S2472" t="str">
            <v>NDIOUM</v>
          </cell>
          <cell r="T2472" t="str">
            <v>SAINT-LOUIS</v>
          </cell>
        </row>
        <row r="2473">
          <cell r="A2473" t="str">
            <v>KDG_1951</v>
          </cell>
          <cell r="S2473" t="str">
            <v>KEDOUGOU</v>
          </cell>
          <cell r="T2473" t="str">
            <v>TAMBACOUNDA</v>
          </cell>
        </row>
        <row r="2474">
          <cell r="A2474" t="str">
            <v>KLD_1952</v>
          </cell>
          <cell r="S2474" t="str">
            <v>VELINGARA</v>
          </cell>
          <cell r="T2474" t="str">
            <v>ZIGUINCHOR</v>
          </cell>
        </row>
        <row r="2475">
          <cell r="A2475" t="str">
            <v>MBR_1953</v>
          </cell>
          <cell r="S2475" t="str">
            <v>MBOUR</v>
          </cell>
          <cell r="T2475" t="str">
            <v>THIES</v>
          </cell>
        </row>
        <row r="2476">
          <cell r="A2476" t="str">
            <v>MBR_1954</v>
          </cell>
          <cell r="S2476" t="str">
            <v>MBOUR</v>
          </cell>
          <cell r="T2476" t="str">
            <v>THIES</v>
          </cell>
        </row>
        <row r="2477">
          <cell r="A2477" t="str">
            <v>MBR_1955</v>
          </cell>
          <cell r="S2477" t="str">
            <v>MBOUR</v>
          </cell>
          <cell r="T2477" t="str">
            <v>THIES</v>
          </cell>
        </row>
        <row r="2478">
          <cell r="A2478" t="str">
            <v>MBR_1956</v>
          </cell>
          <cell r="S2478" t="str">
            <v>MBOUR</v>
          </cell>
          <cell r="T2478" t="str">
            <v>THIES</v>
          </cell>
        </row>
        <row r="2479">
          <cell r="A2479" t="str">
            <v>MBR_1957</v>
          </cell>
          <cell r="S2479" t="str">
            <v>MBOUR</v>
          </cell>
          <cell r="T2479" t="str">
            <v>THIES</v>
          </cell>
        </row>
        <row r="2480">
          <cell r="A2480" t="str">
            <v>MBR_1958</v>
          </cell>
          <cell r="S2480" t="str">
            <v>MBOUR</v>
          </cell>
          <cell r="T2480" t="str">
            <v>THIES</v>
          </cell>
        </row>
        <row r="2481">
          <cell r="A2481" t="str">
            <v>MBR_1959</v>
          </cell>
          <cell r="S2481" t="str">
            <v>MBOUR</v>
          </cell>
          <cell r="T2481" t="str">
            <v>THIES</v>
          </cell>
        </row>
        <row r="2482">
          <cell r="A2482" t="str">
            <v>MBR_1960</v>
          </cell>
          <cell r="S2482" t="str">
            <v>MBOUR</v>
          </cell>
          <cell r="T2482" t="str">
            <v>THIES</v>
          </cell>
        </row>
        <row r="2483">
          <cell r="A2483" t="str">
            <v>MBR_1961</v>
          </cell>
          <cell r="S2483" t="str">
            <v>MBOUR</v>
          </cell>
          <cell r="T2483" t="str">
            <v>THIES</v>
          </cell>
        </row>
        <row r="2484">
          <cell r="A2484" t="str">
            <v>MBR_1962</v>
          </cell>
          <cell r="S2484" t="str">
            <v>MBOUR</v>
          </cell>
          <cell r="T2484" t="str">
            <v>THIES</v>
          </cell>
        </row>
        <row r="2485">
          <cell r="A2485" t="str">
            <v>THS_1963</v>
          </cell>
          <cell r="S2485" t="str">
            <v>MBOUR</v>
          </cell>
          <cell r="T2485" t="str">
            <v>THIES</v>
          </cell>
        </row>
        <row r="2486">
          <cell r="A2486" t="str">
            <v>KLD_1964</v>
          </cell>
          <cell r="S2486" t="str">
            <v>SEDHIOU</v>
          </cell>
          <cell r="T2486" t="str">
            <v>ZIGUINCHOR</v>
          </cell>
        </row>
        <row r="2487">
          <cell r="A2487" t="str">
            <v>DKR_1965</v>
          </cell>
          <cell r="S2487" t="str">
            <v>THIAROYE</v>
          </cell>
          <cell r="T2487" t="str">
            <v>DAKAR</v>
          </cell>
        </row>
        <row r="2488">
          <cell r="A2488" t="str">
            <v>DKR_1966</v>
          </cell>
          <cell r="S2488" t="str">
            <v>THIAROYE</v>
          </cell>
          <cell r="T2488" t="str">
            <v>DAKAR</v>
          </cell>
        </row>
        <row r="2489">
          <cell r="A2489" t="str">
            <v>DKR_1967</v>
          </cell>
          <cell r="S2489" t="str">
            <v>THIAROYE</v>
          </cell>
          <cell r="T2489" t="str">
            <v>DAKAR</v>
          </cell>
        </row>
        <row r="2490">
          <cell r="A2490" t="str">
            <v>DKR_1968</v>
          </cell>
          <cell r="S2490" t="str">
            <v>THIAROYE</v>
          </cell>
          <cell r="T2490" t="str">
            <v>DAKAR</v>
          </cell>
        </row>
        <row r="2491">
          <cell r="A2491" t="str">
            <v>DKR_2754</v>
          </cell>
          <cell r="S2491" t="str">
            <v>THIAROYE</v>
          </cell>
          <cell r="T2491" t="str">
            <v>DAKAR</v>
          </cell>
        </row>
        <row r="2492">
          <cell r="A2492" t="str">
            <v>DKR_2768</v>
          </cell>
          <cell r="S2492" t="str">
            <v>GUEDIAWAYE</v>
          </cell>
          <cell r="T2492" t="str">
            <v>DAKAR</v>
          </cell>
        </row>
        <row r="2493">
          <cell r="A2493" t="str">
            <v>DKR_2769</v>
          </cell>
          <cell r="S2493" t="str">
            <v>GUEDIAWAYE</v>
          </cell>
          <cell r="T2493" t="str">
            <v>DAKAR</v>
          </cell>
        </row>
        <row r="2494">
          <cell r="A2494" t="str">
            <v>STL_1969</v>
          </cell>
          <cell r="S2494" t="str">
            <v>LOUGA</v>
          </cell>
          <cell r="T2494" t="str">
            <v>SAINT-LOUIS</v>
          </cell>
        </row>
        <row r="2495">
          <cell r="A2495" t="str">
            <v>MBR_1970</v>
          </cell>
          <cell r="S2495" t="str">
            <v>FATICK</v>
          </cell>
          <cell r="T2495" t="str">
            <v>KAOLACK</v>
          </cell>
        </row>
        <row r="2496">
          <cell r="A2496" t="str">
            <v>ORG_1971</v>
          </cell>
          <cell r="S2496" t="str">
            <v>MATAM</v>
          </cell>
          <cell r="T2496" t="str">
            <v>SAINT-LOUIS</v>
          </cell>
        </row>
        <row r="2497">
          <cell r="A2497" t="str">
            <v>STL_2764</v>
          </cell>
          <cell r="S2497" t="str">
            <v>LOUGA</v>
          </cell>
          <cell r="T2497" t="str">
            <v>SAINT-LOUIS</v>
          </cell>
        </row>
        <row r="2498">
          <cell r="A2498" t="str">
            <v>KLD_1972</v>
          </cell>
          <cell r="S2498" t="str">
            <v>VELINGARA</v>
          </cell>
          <cell r="T2498" t="str">
            <v>ZIGUINCHOR</v>
          </cell>
        </row>
        <row r="2499">
          <cell r="A2499" t="str">
            <v>TMB_1973</v>
          </cell>
          <cell r="S2499" t="str">
            <v>GOUDIRY</v>
          </cell>
          <cell r="T2499" t="str">
            <v>TAMBACOUNDA</v>
          </cell>
        </row>
        <row r="2500">
          <cell r="A2500" t="str">
            <v>TMB_2743</v>
          </cell>
          <cell r="S2500" t="str">
            <v>GOUDIRY</v>
          </cell>
          <cell r="T2500" t="str">
            <v>TAMBACOUNDA</v>
          </cell>
        </row>
        <row r="2501">
          <cell r="A2501" t="str">
            <v>KLD_1974</v>
          </cell>
          <cell r="S2501" t="str">
            <v>VELINGARA</v>
          </cell>
          <cell r="T2501" t="str">
            <v>ZIGUINCHOR</v>
          </cell>
        </row>
        <row r="2502">
          <cell r="A2502" t="str">
            <v>DBL_1975</v>
          </cell>
          <cell r="S2502" t="str">
            <v>DIOURBEL</v>
          </cell>
          <cell r="T2502" t="str">
            <v>THIES</v>
          </cell>
        </row>
        <row r="2503">
          <cell r="A2503" t="str">
            <v>DBL_2734</v>
          </cell>
          <cell r="S2503" t="str">
            <v>DIOURBEL</v>
          </cell>
          <cell r="T2503" t="str">
            <v>THIES</v>
          </cell>
        </row>
        <row r="2504">
          <cell r="A2504" t="str">
            <v>KDG_1976</v>
          </cell>
          <cell r="S2504" t="str">
            <v>KEDOUGOU</v>
          </cell>
          <cell r="T2504" t="str">
            <v>TAMBACOUNDA</v>
          </cell>
        </row>
        <row r="2505">
          <cell r="A2505" t="str">
            <v>KDG_1977</v>
          </cell>
          <cell r="S2505" t="str">
            <v>KEDOUGOU</v>
          </cell>
          <cell r="T2505" t="str">
            <v>TAMBACOUNDA</v>
          </cell>
        </row>
        <row r="2506">
          <cell r="A2506" t="str">
            <v>KDG_2733</v>
          </cell>
          <cell r="S2506" t="str">
            <v>KEDOUGOU</v>
          </cell>
          <cell r="T2506" t="str">
            <v>TAMBACOUNDA</v>
          </cell>
        </row>
        <row r="2507">
          <cell r="A2507" t="str">
            <v>ZIG_1979</v>
          </cell>
          <cell r="S2507" t="str">
            <v>KOLDA</v>
          </cell>
          <cell r="T2507" t="str">
            <v>ZIGUINCHOR</v>
          </cell>
        </row>
        <row r="2508">
          <cell r="A2508" t="str">
            <v>DKR_1980</v>
          </cell>
          <cell r="S2508" t="str">
            <v>MEDINA</v>
          </cell>
          <cell r="T2508" t="str">
            <v>DAKAR</v>
          </cell>
        </row>
        <row r="2509">
          <cell r="A2509" t="str">
            <v>DKR_1981</v>
          </cell>
          <cell r="S2509" t="str">
            <v>MEDINA</v>
          </cell>
          <cell r="T2509" t="str">
            <v>DAKAR</v>
          </cell>
        </row>
        <row r="2510">
          <cell r="A2510" t="str">
            <v>MBR_1982</v>
          </cell>
          <cell r="S2510" t="str">
            <v>MBOUR</v>
          </cell>
          <cell r="T2510" t="str">
            <v>THIES</v>
          </cell>
        </row>
        <row r="2511">
          <cell r="A2511" t="str">
            <v>MBR_1983</v>
          </cell>
          <cell r="S2511" t="str">
            <v>MBOUR</v>
          </cell>
          <cell r="T2511" t="str">
            <v>THIES</v>
          </cell>
        </row>
        <row r="2512">
          <cell r="A2512" t="str">
            <v>KLD_2760</v>
          </cell>
          <cell r="S2512" t="str">
            <v>SEDHIOU</v>
          </cell>
          <cell r="T2512" t="str">
            <v>ZIGUINCHOR</v>
          </cell>
        </row>
        <row r="2513">
          <cell r="A2513" t="str">
            <v>DKR_1984</v>
          </cell>
          <cell r="S2513" t="str">
            <v>RUFISQUE</v>
          </cell>
          <cell r="T2513" t="str">
            <v>DAKAR</v>
          </cell>
        </row>
        <row r="2514">
          <cell r="A2514" t="str">
            <v>DKR_1985</v>
          </cell>
          <cell r="S2514" t="str">
            <v>MBOUR</v>
          </cell>
          <cell r="T2514" t="str">
            <v>DAKAR</v>
          </cell>
        </row>
        <row r="2515">
          <cell r="A2515" t="str">
            <v>KLK_1987</v>
          </cell>
          <cell r="S2515" t="str">
            <v>SOKONE</v>
          </cell>
          <cell r="T2515" t="str">
            <v>KAOLACK</v>
          </cell>
        </row>
        <row r="2516">
          <cell r="A2516" t="str">
            <v>MBR_1988</v>
          </cell>
          <cell r="S2516" t="str">
            <v>MBOUR</v>
          </cell>
          <cell r="T2516" t="str">
            <v>THIES</v>
          </cell>
        </row>
        <row r="2517">
          <cell r="A2517" t="str">
            <v>KLK_1989</v>
          </cell>
          <cell r="S2517" t="str">
            <v>KAOLACK</v>
          </cell>
          <cell r="T2517" t="str">
            <v>KAOLACK</v>
          </cell>
        </row>
        <row r="2518">
          <cell r="A2518" t="str">
            <v>KLD_1990</v>
          </cell>
          <cell r="S2518" t="str">
            <v>KOLDA</v>
          </cell>
          <cell r="T2518" t="str">
            <v>ZIGUINCHOR</v>
          </cell>
        </row>
        <row r="2519">
          <cell r="A2519" t="str">
            <v>TMB_1991</v>
          </cell>
          <cell r="S2519" t="str">
            <v>TAMBA</v>
          </cell>
          <cell r="T2519" t="str">
            <v>TAMBACOUNDA</v>
          </cell>
        </row>
        <row r="2520">
          <cell r="A2520" t="str">
            <v>ZIG_1992</v>
          </cell>
          <cell r="S2520" t="str">
            <v>SEDHIOU</v>
          </cell>
          <cell r="T2520" t="str">
            <v>ZIGUINCHOR</v>
          </cell>
        </row>
        <row r="2521">
          <cell r="A2521" t="str">
            <v>BKL_1993</v>
          </cell>
          <cell r="S2521" t="str">
            <v>GOUDIRY</v>
          </cell>
          <cell r="T2521" t="str">
            <v>TAMBACOUNDA</v>
          </cell>
        </row>
        <row r="2522">
          <cell r="A2522" t="str">
            <v>TMB_2744</v>
          </cell>
          <cell r="S2522" t="str">
            <v>GOUDIRY</v>
          </cell>
          <cell r="T2522" t="str">
            <v>TAMBACOUNDA</v>
          </cell>
        </row>
        <row r="2523">
          <cell r="A2523" t="str">
            <v>KDG_1994</v>
          </cell>
          <cell r="S2523" t="str">
            <v>KEDOUGOU</v>
          </cell>
          <cell r="T2523" t="str">
            <v>TAMBACOUNDA</v>
          </cell>
        </row>
        <row r="2524">
          <cell r="A2524" t="str">
            <v>KLK_1995</v>
          </cell>
          <cell r="S2524" t="str">
            <v>KAFFRINE</v>
          </cell>
          <cell r="T2524" t="str">
            <v>KAOLACK</v>
          </cell>
        </row>
        <row r="2525">
          <cell r="A2525" t="str">
            <v>KLK_2841</v>
          </cell>
          <cell r="S2525" t="str">
            <v>KAOLACK</v>
          </cell>
          <cell r="T2525" t="str">
            <v>KAOLACK</v>
          </cell>
        </row>
        <row r="2526">
          <cell r="A2526" t="str">
            <v>THS_2768</v>
          </cell>
          <cell r="S2526" t="str">
            <v>THIES</v>
          </cell>
          <cell r="T2526" t="str">
            <v>THIES</v>
          </cell>
        </row>
        <row r="2527">
          <cell r="A2527" t="str">
            <v>KLK_2790</v>
          </cell>
          <cell r="S2527" t="str">
            <v>SOKONE</v>
          </cell>
          <cell r="T2527" t="str">
            <v>KAOLACK</v>
          </cell>
        </row>
        <row r="2528">
          <cell r="A2528" t="str">
            <v>KLK_1996</v>
          </cell>
          <cell r="S2528" t="str">
            <v>SOKONE</v>
          </cell>
          <cell r="T2528" t="str">
            <v>KAOLACK</v>
          </cell>
        </row>
        <row r="2529">
          <cell r="A2529" t="str">
            <v>THS_1997</v>
          </cell>
          <cell r="S2529" t="str">
            <v>TIVAOUANE</v>
          </cell>
          <cell r="T2529" t="str">
            <v>THIES</v>
          </cell>
        </row>
        <row r="2530">
          <cell r="A2530" t="str">
            <v>MBR_1998</v>
          </cell>
          <cell r="S2530" t="str">
            <v>MBOUR</v>
          </cell>
          <cell r="T2530" t="str">
            <v>THIES</v>
          </cell>
        </row>
        <row r="2531">
          <cell r="A2531" t="str">
            <v>TMB_1999</v>
          </cell>
          <cell r="S2531" t="str">
            <v>KOUNGHEUL</v>
          </cell>
          <cell r="T2531" t="str">
            <v>TAMBACOUNDA</v>
          </cell>
        </row>
        <row r="2532">
          <cell r="A2532" t="str">
            <v>DKR_2000</v>
          </cell>
          <cell r="S2532" t="str">
            <v>MEDINA</v>
          </cell>
          <cell r="T2532" t="str">
            <v>DAKAR</v>
          </cell>
        </row>
        <row r="2533">
          <cell r="A2533" t="str">
            <v>DKR_2001</v>
          </cell>
          <cell r="S2533" t="str">
            <v>MEDINA</v>
          </cell>
          <cell r="T2533" t="str">
            <v>DAKAR</v>
          </cell>
        </row>
        <row r="2534">
          <cell r="A2534" t="str">
            <v>KDG_2002</v>
          </cell>
          <cell r="S2534" t="str">
            <v>KEDOUGOU</v>
          </cell>
          <cell r="T2534" t="str">
            <v>TAMBACOUNDA</v>
          </cell>
        </row>
        <row r="2535">
          <cell r="A2535" t="str">
            <v>TMB_2003</v>
          </cell>
          <cell r="S2535" t="str">
            <v>TAMBA</v>
          </cell>
          <cell r="T2535" t="str">
            <v>TAMBACOUNDA</v>
          </cell>
        </row>
        <row r="2536">
          <cell r="A2536" t="str">
            <v>KLD_2004</v>
          </cell>
          <cell r="S2536" t="str">
            <v>SEDHIOU</v>
          </cell>
          <cell r="T2536" t="str">
            <v>ZIGUINCHOR</v>
          </cell>
        </row>
        <row r="2537">
          <cell r="A2537" t="str">
            <v>KLD_2005</v>
          </cell>
          <cell r="S2537" t="str">
            <v>SEDHIOU</v>
          </cell>
          <cell r="T2537" t="str">
            <v>ZIGUINCHOR</v>
          </cell>
        </row>
        <row r="2538">
          <cell r="A2538" t="str">
            <v>TMB_2006</v>
          </cell>
          <cell r="S2538" t="str">
            <v>VELINGARA</v>
          </cell>
          <cell r="T2538" t="str">
            <v>ZIGUINCHOR</v>
          </cell>
        </row>
        <row r="2539">
          <cell r="A2539" t="str">
            <v>KLD_2007</v>
          </cell>
          <cell r="S2539" t="str">
            <v>KOLDA</v>
          </cell>
          <cell r="T2539" t="str">
            <v>ZIGUINCHOR</v>
          </cell>
        </row>
        <row r="2540">
          <cell r="A2540" t="str">
            <v>KLD_2008</v>
          </cell>
          <cell r="S2540" t="str">
            <v>VELINGARA</v>
          </cell>
          <cell r="T2540" t="str">
            <v>ZIGUINCHOR</v>
          </cell>
        </row>
        <row r="2541">
          <cell r="A2541" t="str">
            <v>KLD_2009</v>
          </cell>
          <cell r="S2541" t="str">
            <v>KOLDA</v>
          </cell>
          <cell r="T2541" t="str">
            <v>ZIGUINCHOR</v>
          </cell>
        </row>
        <row r="2542">
          <cell r="A2542" t="str">
            <v>KLD_2010</v>
          </cell>
          <cell r="S2542" t="str">
            <v>VELINGARA</v>
          </cell>
          <cell r="T2542" t="str">
            <v>ZIGUINCHOR</v>
          </cell>
        </row>
        <row r="2543">
          <cell r="A2543" t="str">
            <v>KLD_2011</v>
          </cell>
          <cell r="S2543" t="str">
            <v>VELINGARA</v>
          </cell>
          <cell r="T2543" t="str">
            <v>ZIGUINCHOR</v>
          </cell>
        </row>
        <row r="2544">
          <cell r="A2544" t="str">
            <v>TMB_2012</v>
          </cell>
          <cell r="S2544" t="str">
            <v>TAMBA</v>
          </cell>
          <cell r="T2544" t="str">
            <v>TAMBACOUNDA</v>
          </cell>
        </row>
        <row r="2545">
          <cell r="A2545" t="str">
            <v>KLD_2013</v>
          </cell>
          <cell r="S2545" t="str">
            <v>KOLDA</v>
          </cell>
          <cell r="T2545" t="str">
            <v>ZIGUINCHOR</v>
          </cell>
        </row>
        <row r="2546">
          <cell r="A2546" t="str">
            <v>KLD_2014</v>
          </cell>
          <cell r="S2546" t="str">
            <v>SEDHIOU</v>
          </cell>
          <cell r="T2546" t="str">
            <v>ZIGUINCHOR</v>
          </cell>
        </row>
        <row r="2547">
          <cell r="A2547" t="str">
            <v>TMB_2015</v>
          </cell>
          <cell r="S2547" t="str">
            <v>TAMBA</v>
          </cell>
          <cell r="T2547" t="str">
            <v>TAMBACOUNDA</v>
          </cell>
        </row>
        <row r="2548">
          <cell r="A2548" t="str">
            <v>TMB_2016</v>
          </cell>
          <cell r="S2548" t="str">
            <v>TAMBA</v>
          </cell>
          <cell r="T2548" t="str">
            <v>TAMBACOUNDA</v>
          </cell>
        </row>
        <row r="2549">
          <cell r="A2549" t="str">
            <v>KLK_2017</v>
          </cell>
          <cell r="S2549" t="str">
            <v>KAOLACK</v>
          </cell>
          <cell r="T2549" t="str">
            <v>KAOLACK</v>
          </cell>
        </row>
        <row r="2550">
          <cell r="A2550" t="str">
            <v>KLD_2018</v>
          </cell>
          <cell r="S2550" t="str">
            <v>SEDHIOU</v>
          </cell>
          <cell r="T2550" t="str">
            <v>ZIGUINCHOR</v>
          </cell>
        </row>
        <row r="2551">
          <cell r="A2551" t="str">
            <v>KLD_2019</v>
          </cell>
          <cell r="S2551" t="str">
            <v>KOLDA</v>
          </cell>
          <cell r="T2551" t="str">
            <v>ZIGUINCHOR</v>
          </cell>
        </row>
        <row r="2552">
          <cell r="A2552" t="str">
            <v>ORG_2020</v>
          </cell>
          <cell r="S2552" t="str">
            <v>MATAM</v>
          </cell>
          <cell r="T2552" t="str">
            <v>SAINT-LOUIS</v>
          </cell>
        </row>
        <row r="2553">
          <cell r="A2553" t="str">
            <v>TMB_2021</v>
          </cell>
          <cell r="S2553" t="str">
            <v>TAMBA</v>
          </cell>
          <cell r="T2553" t="str">
            <v>TAMBACOUNDA</v>
          </cell>
        </row>
        <row r="2554">
          <cell r="A2554" t="str">
            <v>KLD_2022</v>
          </cell>
          <cell r="S2554" t="str">
            <v>VELINGARA</v>
          </cell>
          <cell r="T2554" t="str">
            <v>ZIGUINCHOR</v>
          </cell>
        </row>
        <row r="2555">
          <cell r="A2555" t="str">
            <v>KLK_2834</v>
          </cell>
          <cell r="S2555" t="str">
            <v>KAFFRINE</v>
          </cell>
          <cell r="T2555" t="str">
            <v>KAOLACK</v>
          </cell>
        </row>
        <row r="2556">
          <cell r="A2556" t="str">
            <v>KLD_2023</v>
          </cell>
          <cell r="S2556" t="str">
            <v>VELINGARA</v>
          </cell>
          <cell r="T2556" t="str">
            <v>ZIGUINCHOR</v>
          </cell>
        </row>
        <row r="2557">
          <cell r="A2557" t="str">
            <v>TMB_2024</v>
          </cell>
          <cell r="S2557" t="str">
            <v>TAMBA</v>
          </cell>
          <cell r="T2557" t="str">
            <v>TAMBACOUNDA</v>
          </cell>
        </row>
        <row r="2558">
          <cell r="A2558" t="str">
            <v>TMB_2025</v>
          </cell>
          <cell r="S2558" t="str">
            <v>TAMBA</v>
          </cell>
          <cell r="T2558" t="str">
            <v>TAMBACOUNDA</v>
          </cell>
        </row>
        <row r="2559">
          <cell r="A2559" t="str">
            <v>KLD_2026</v>
          </cell>
          <cell r="S2559" t="str">
            <v>KOLDA</v>
          </cell>
          <cell r="T2559" t="str">
            <v>ZIGUINCHOR</v>
          </cell>
        </row>
        <row r="2560">
          <cell r="A2560" t="str">
            <v>DBL_2027</v>
          </cell>
          <cell r="S2560" t="str">
            <v>TOUBA02</v>
          </cell>
          <cell r="T2560" t="str">
            <v>THIES</v>
          </cell>
        </row>
        <row r="2561">
          <cell r="A2561" t="str">
            <v>KLD_2028</v>
          </cell>
          <cell r="S2561" t="str">
            <v>KOLDA</v>
          </cell>
          <cell r="T2561" t="str">
            <v>ZIGUINCHOR</v>
          </cell>
        </row>
        <row r="2562">
          <cell r="A2562" t="str">
            <v>TMB_2029</v>
          </cell>
          <cell r="S2562" t="str">
            <v>TAMBA</v>
          </cell>
          <cell r="T2562" t="str">
            <v>TAMBACOUNDA</v>
          </cell>
        </row>
        <row r="2563">
          <cell r="A2563" t="str">
            <v>TMB_2745</v>
          </cell>
          <cell r="S2563" t="str">
            <v>TAMBACOUNDA</v>
          </cell>
          <cell r="T2563" t="str">
            <v>TAMBACOUNDA</v>
          </cell>
        </row>
        <row r="2564">
          <cell r="A2564" t="str">
            <v>KLD_2030</v>
          </cell>
          <cell r="S2564" t="str">
            <v>KOLDA</v>
          </cell>
          <cell r="T2564" t="str">
            <v>ZIGUINCHOR</v>
          </cell>
        </row>
        <row r="2565">
          <cell r="A2565" t="str">
            <v>TMB_2031</v>
          </cell>
          <cell r="S2565" t="str">
            <v>TAMBA</v>
          </cell>
          <cell r="T2565" t="str">
            <v>TAMBACOUNDA</v>
          </cell>
        </row>
        <row r="2566">
          <cell r="A2566" t="str">
            <v>TMB_2746</v>
          </cell>
          <cell r="S2566" t="str">
            <v>TAMBACOUNDA</v>
          </cell>
          <cell r="T2566" t="str">
            <v>TAMBACOUNDA</v>
          </cell>
        </row>
        <row r="2567">
          <cell r="A2567" t="str">
            <v>KLD_2032</v>
          </cell>
          <cell r="S2567" t="str">
            <v>KOLDA</v>
          </cell>
          <cell r="T2567" t="str">
            <v>ZIGUINCHOR</v>
          </cell>
        </row>
        <row r="2568">
          <cell r="A2568" t="str">
            <v>TMB_2033</v>
          </cell>
          <cell r="S2568" t="str">
            <v>TAMBA</v>
          </cell>
          <cell r="T2568" t="str">
            <v>TAMBACOUNDA</v>
          </cell>
        </row>
        <row r="2569">
          <cell r="A2569" t="str">
            <v>DBL_2034</v>
          </cell>
          <cell r="S2569" t="str">
            <v>KOUNGHEUL</v>
          </cell>
          <cell r="T2569" t="str">
            <v>TAMBACOUNDA</v>
          </cell>
        </row>
        <row r="2570">
          <cell r="A2570" t="str">
            <v>KLD_2035</v>
          </cell>
          <cell r="S2570" t="str">
            <v>KOLDA</v>
          </cell>
          <cell r="T2570" t="str">
            <v>ZIGUINCHOR</v>
          </cell>
        </row>
        <row r="2571">
          <cell r="A2571" t="str">
            <v>KLD_2036</v>
          </cell>
          <cell r="S2571" t="str">
            <v>KOLDA</v>
          </cell>
          <cell r="T2571" t="str">
            <v>ZIGUINCHOR</v>
          </cell>
        </row>
        <row r="2572">
          <cell r="A2572" t="str">
            <v>KLD_2037</v>
          </cell>
          <cell r="S2572" t="str">
            <v>KOLDA</v>
          </cell>
          <cell r="T2572" t="str">
            <v>ZIGUINCHOR</v>
          </cell>
        </row>
        <row r="2573">
          <cell r="A2573" t="str">
            <v>DBL_2745</v>
          </cell>
          <cell r="S2573" t="str">
            <v>DIOURBEL</v>
          </cell>
          <cell r="T2573" t="str">
            <v>THIES</v>
          </cell>
        </row>
        <row r="2574">
          <cell r="A2574" t="str">
            <v>DBL_2696</v>
          </cell>
          <cell r="S2574" t="str">
            <v>TOUBA01</v>
          </cell>
          <cell r="T2574" t="str">
            <v>THIES</v>
          </cell>
        </row>
        <row r="2575">
          <cell r="A2575" t="str">
            <v>KDG_2038</v>
          </cell>
          <cell r="S2575" t="str">
            <v>KEDOUGOU</v>
          </cell>
          <cell r="T2575" t="str">
            <v>TAMBACOUNDA</v>
          </cell>
        </row>
        <row r="2576">
          <cell r="A2576" t="str">
            <v>STL_2039</v>
          </cell>
          <cell r="S2576" t="str">
            <v>SAINT-LOUIS</v>
          </cell>
          <cell r="T2576" t="str">
            <v>SAINT-LOUIS</v>
          </cell>
        </row>
        <row r="2577">
          <cell r="A2577" t="str">
            <v>DKR_2040</v>
          </cell>
          <cell r="S2577" t="str">
            <v>SACRE_COEUR</v>
          </cell>
          <cell r="T2577" t="str">
            <v>DAKAR</v>
          </cell>
        </row>
        <row r="2578">
          <cell r="A2578" t="str">
            <v>DKR_2041</v>
          </cell>
          <cell r="S2578" t="str">
            <v>SACRE_COEUR</v>
          </cell>
          <cell r="T2578" t="str">
            <v>DAKAR</v>
          </cell>
        </row>
        <row r="2579">
          <cell r="A2579" t="str">
            <v>DKR_2042</v>
          </cell>
          <cell r="S2579" t="str">
            <v>MBOUR</v>
          </cell>
          <cell r="T2579" t="str">
            <v>DAKAR</v>
          </cell>
        </row>
        <row r="2580">
          <cell r="A2580" t="str">
            <v>DKR_2724</v>
          </cell>
          <cell r="S2580" t="str">
            <v>RUFISQUE</v>
          </cell>
          <cell r="T2580" t="str">
            <v>DAKAR</v>
          </cell>
        </row>
        <row r="2581">
          <cell r="A2581" t="str">
            <v>DKR_2044</v>
          </cell>
          <cell r="S2581" t="str">
            <v>RUFISQUE</v>
          </cell>
          <cell r="T2581" t="str">
            <v>DAKAR</v>
          </cell>
        </row>
        <row r="2582">
          <cell r="A2582" t="str">
            <v>DKR_2045</v>
          </cell>
          <cell r="S2582" t="str">
            <v>RUFISQUE</v>
          </cell>
          <cell r="T2582" t="str">
            <v>DAKAR</v>
          </cell>
        </row>
        <row r="2583">
          <cell r="A2583" t="str">
            <v>DKR_2046</v>
          </cell>
          <cell r="S2583" t="str">
            <v>RUFISQUE</v>
          </cell>
          <cell r="T2583" t="str">
            <v>DAKAR</v>
          </cell>
        </row>
        <row r="2584">
          <cell r="A2584" t="str">
            <v>DKR_2047</v>
          </cell>
          <cell r="S2584" t="str">
            <v>RUFISQUE</v>
          </cell>
          <cell r="T2584" t="str">
            <v>DAKAR</v>
          </cell>
        </row>
        <row r="2585">
          <cell r="A2585" t="str">
            <v>BKL_2048</v>
          </cell>
          <cell r="S2585" t="str">
            <v>BAKEL</v>
          </cell>
          <cell r="T2585" t="str">
            <v>SAINT-LOUIS</v>
          </cell>
        </row>
        <row r="2586">
          <cell r="A2586" t="str">
            <v>KLD_2049</v>
          </cell>
          <cell r="S2586" t="str">
            <v>SEDHIOU</v>
          </cell>
          <cell r="T2586" t="str">
            <v>ZIGUINCHOR</v>
          </cell>
        </row>
        <row r="2587">
          <cell r="A2587" t="str">
            <v>KLD_2050</v>
          </cell>
          <cell r="S2587" t="str">
            <v>SEDHIOU</v>
          </cell>
          <cell r="T2587" t="str">
            <v>ZIGUINCHOR</v>
          </cell>
        </row>
        <row r="2588">
          <cell r="A2588" t="str">
            <v>KLD_2051</v>
          </cell>
          <cell r="S2588" t="str">
            <v>SEDHIOU</v>
          </cell>
          <cell r="T2588" t="str">
            <v>ZIGUINCHOR</v>
          </cell>
        </row>
        <row r="2589">
          <cell r="A2589" t="str">
            <v>KLD_2052</v>
          </cell>
          <cell r="S2589" t="str">
            <v>SEDHIOU</v>
          </cell>
          <cell r="T2589" t="str">
            <v>ZIGUINCHOR</v>
          </cell>
        </row>
        <row r="2590">
          <cell r="A2590" t="str">
            <v>KLD_2053</v>
          </cell>
          <cell r="S2590" t="str">
            <v>SEDHIOU</v>
          </cell>
          <cell r="T2590" t="str">
            <v>ZIGUINCHOR</v>
          </cell>
        </row>
        <row r="2591">
          <cell r="A2591" t="str">
            <v>KLD_2754</v>
          </cell>
          <cell r="S2591" t="str">
            <v>SEDHIOU</v>
          </cell>
          <cell r="T2591" t="str">
            <v>ZIGUINCHOR</v>
          </cell>
        </row>
        <row r="2592">
          <cell r="A2592" t="str">
            <v>DKR_2054</v>
          </cell>
          <cell r="S2592" t="str">
            <v>RUFISQUE</v>
          </cell>
          <cell r="T2592" t="str">
            <v>DAKAR</v>
          </cell>
        </row>
        <row r="2593">
          <cell r="A2593" t="str">
            <v>DKR_2733</v>
          </cell>
          <cell r="S2593" t="str">
            <v>THIAROYE</v>
          </cell>
          <cell r="T2593" t="str">
            <v>DAKAR</v>
          </cell>
        </row>
        <row r="2594">
          <cell r="A2594" t="str">
            <v>ORG_2055</v>
          </cell>
          <cell r="S2594" t="str">
            <v>MATAM</v>
          </cell>
          <cell r="T2594" t="str">
            <v>SAINT-LOUIS</v>
          </cell>
        </row>
        <row r="2595">
          <cell r="A2595" t="str">
            <v>TMB_2056</v>
          </cell>
          <cell r="S2595" t="str">
            <v>TAMBA</v>
          </cell>
          <cell r="T2595" t="str">
            <v>TAMBACOUNDA</v>
          </cell>
        </row>
        <row r="2596">
          <cell r="A2596" t="str">
            <v>KLK_2739</v>
          </cell>
          <cell r="S2596" t="str">
            <v>KAFFRINE</v>
          </cell>
          <cell r="T2596" t="str">
            <v>KAOLACK</v>
          </cell>
        </row>
        <row r="2597">
          <cell r="A2597" t="str">
            <v>KDG_2057</v>
          </cell>
          <cell r="S2597" t="str">
            <v>KEDOUGOU</v>
          </cell>
          <cell r="T2597" t="str">
            <v>TAMBACOUNDA</v>
          </cell>
        </row>
        <row r="2598">
          <cell r="A2598" t="str">
            <v>ZIG_2058</v>
          </cell>
          <cell r="S2598" t="str">
            <v>ZIGUINCHOR</v>
          </cell>
          <cell r="T2598" t="str">
            <v>ZIGUINCHOR</v>
          </cell>
        </row>
        <row r="2599">
          <cell r="A2599" t="str">
            <v>ORG_2059</v>
          </cell>
          <cell r="S2599" t="str">
            <v>MATAM</v>
          </cell>
          <cell r="T2599" t="str">
            <v>SAINT-LOUIS</v>
          </cell>
        </row>
        <row r="2600">
          <cell r="A2600" t="str">
            <v>ORG_2060</v>
          </cell>
          <cell r="S2600" t="str">
            <v>MATAM</v>
          </cell>
          <cell r="T2600" t="str">
            <v>SAINT-LOUIS</v>
          </cell>
        </row>
        <row r="2601">
          <cell r="A2601" t="str">
            <v>ORG_2061</v>
          </cell>
          <cell r="S2601" t="str">
            <v>MATAM</v>
          </cell>
          <cell r="T2601" t="str">
            <v>SAINT-LOUIS</v>
          </cell>
        </row>
        <row r="2602">
          <cell r="A2602" t="str">
            <v>KLK_2835</v>
          </cell>
          <cell r="S2602" t="str">
            <v>KAOLACK</v>
          </cell>
          <cell r="T2602" t="str">
            <v>KAOLACK</v>
          </cell>
        </row>
        <row r="2603">
          <cell r="A2603" t="str">
            <v>DKR_2062</v>
          </cell>
          <cell r="S2603" t="str">
            <v>RUFISQUE</v>
          </cell>
          <cell r="T2603" t="str">
            <v>DAKAR</v>
          </cell>
        </row>
        <row r="2604">
          <cell r="A2604" t="str">
            <v>BKL_2063</v>
          </cell>
          <cell r="S2604" t="str">
            <v>BAKEL</v>
          </cell>
          <cell r="T2604" t="str">
            <v>SAINT-LOUIS</v>
          </cell>
        </row>
        <row r="2605">
          <cell r="A2605" t="str">
            <v>DKR_2064</v>
          </cell>
          <cell r="S2605" t="str">
            <v>SACRE_COEUR</v>
          </cell>
          <cell r="T2605" t="str">
            <v>DAKAR</v>
          </cell>
        </row>
        <row r="2606">
          <cell r="A2606" t="str">
            <v>DKR_2065</v>
          </cell>
          <cell r="S2606" t="str">
            <v>THIAROYE</v>
          </cell>
          <cell r="T2606" t="str">
            <v>DAKAR</v>
          </cell>
        </row>
        <row r="2607">
          <cell r="A2607" t="str">
            <v>STL_2066</v>
          </cell>
          <cell r="S2607" t="str">
            <v>SAINT-LOUIS</v>
          </cell>
          <cell r="T2607" t="str">
            <v>SAINT-LOUIS</v>
          </cell>
        </row>
        <row r="2608">
          <cell r="A2608" t="str">
            <v>TMB_2718</v>
          </cell>
          <cell r="S2608" t="str">
            <v>TAMBA</v>
          </cell>
          <cell r="T2608" t="str">
            <v>TAMBACOUNDA</v>
          </cell>
        </row>
        <row r="2609">
          <cell r="A2609" t="str">
            <v>KLD_2067</v>
          </cell>
          <cell r="S2609" t="str">
            <v>SEDHIOU</v>
          </cell>
          <cell r="T2609" t="str">
            <v>ZIGUINCHOR</v>
          </cell>
        </row>
        <row r="2610">
          <cell r="A2610" t="str">
            <v>TMB_2068</v>
          </cell>
          <cell r="S2610" t="str">
            <v>GOUDIRY</v>
          </cell>
          <cell r="T2610" t="str">
            <v>TAMBACOUNDA</v>
          </cell>
        </row>
        <row r="2611">
          <cell r="A2611" t="str">
            <v>KLK_2069</v>
          </cell>
          <cell r="S2611" t="str">
            <v>FATICK</v>
          </cell>
          <cell r="T2611" t="str">
            <v>KAOLACK</v>
          </cell>
        </row>
        <row r="2612">
          <cell r="A2612" t="str">
            <v>DKR_2070</v>
          </cell>
          <cell r="S2612" t="str">
            <v>SACRE_COEUR</v>
          </cell>
          <cell r="T2612" t="str">
            <v>DAKAR</v>
          </cell>
        </row>
        <row r="2613">
          <cell r="A2613" t="str">
            <v>DKR_2071</v>
          </cell>
          <cell r="S2613" t="str">
            <v>OUAKAM</v>
          </cell>
          <cell r="T2613" t="str">
            <v>DAKAR</v>
          </cell>
        </row>
        <row r="2614">
          <cell r="A2614" t="str">
            <v>DKR_2072</v>
          </cell>
          <cell r="S2614" t="str">
            <v>OUAKAM</v>
          </cell>
          <cell r="T2614" t="str">
            <v>DAKAR</v>
          </cell>
        </row>
        <row r="2615">
          <cell r="A2615" t="str">
            <v>DKR_2073</v>
          </cell>
          <cell r="S2615" t="str">
            <v>THIAROYE</v>
          </cell>
          <cell r="T2615" t="str">
            <v>DAKAR</v>
          </cell>
        </row>
        <row r="2616">
          <cell r="A2616" t="str">
            <v>DKR_2074</v>
          </cell>
          <cell r="S2616" t="str">
            <v>THIAROYE</v>
          </cell>
          <cell r="T2616" t="str">
            <v>DAKAR</v>
          </cell>
        </row>
        <row r="2617">
          <cell r="A2617" t="str">
            <v>DKR_2075</v>
          </cell>
          <cell r="S2617" t="str">
            <v>SACRE_COEUR</v>
          </cell>
          <cell r="T2617" t="str">
            <v>DAKAR</v>
          </cell>
        </row>
        <row r="2618">
          <cell r="A2618" t="str">
            <v>DKR_2076</v>
          </cell>
          <cell r="S2618" t="str">
            <v>SACRE_COEUR</v>
          </cell>
          <cell r="T2618" t="str">
            <v>DAKAR</v>
          </cell>
        </row>
        <row r="2619">
          <cell r="A2619" t="str">
            <v>DKR_2077</v>
          </cell>
          <cell r="S2619" t="str">
            <v>SACRE_COEUR</v>
          </cell>
          <cell r="T2619" t="str">
            <v>DAKAR</v>
          </cell>
        </row>
        <row r="2620">
          <cell r="A2620" t="str">
            <v>KLK_2861</v>
          </cell>
          <cell r="S2620" t="str">
            <v>ZIGUINCHOR</v>
          </cell>
          <cell r="T2620" t="str">
            <v>ZIGUINCHOR</v>
          </cell>
        </row>
        <row r="2621">
          <cell r="A2621" t="str">
            <v>STL_2819</v>
          </cell>
          <cell r="S2621" t="str">
            <v>LOUGA</v>
          </cell>
          <cell r="T2621" t="str">
            <v>SAINT-LOUIS</v>
          </cell>
        </row>
        <row r="2622">
          <cell r="A2622" t="str">
            <v>KLK_2840</v>
          </cell>
          <cell r="S2622" t="str">
            <v>FATICK</v>
          </cell>
          <cell r="T2622" t="str">
            <v>KAOLACK</v>
          </cell>
        </row>
        <row r="2623">
          <cell r="A2623" t="str">
            <v>KLD_2078</v>
          </cell>
          <cell r="S2623" t="str">
            <v>ZIGUINCHOR</v>
          </cell>
          <cell r="T2623" t="str">
            <v>ZIGUINCHOR</v>
          </cell>
        </row>
        <row r="2624">
          <cell r="A2624" t="str">
            <v>KLD_2660</v>
          </cell>
          <cell r="S2624" t="str">
            <v>KOLDA</v>
          </cell>
          <cell r="T2624" t="str">
            <v>ZIGUINCHOR</v>
          </cell>
        </row>
        <row r="2625">
          <cell r="A2625" t="str">
            <v>TMB_2079</v>
          </cell>
          <cell r="S2625" t="str">
            <v>GOUDIRY</v>
          </cell>
          <cell r="T2625" t="str">
            <v>TAMBACOUNDA</v>
          </cell>
        </row>
        <row r="2626">
          <cell r="A2626" t="str">
            <v>THS_2080</v>
          </cell>
          <cell r="S2626" t="str">
            <v>MBOUR</v>
          </cell>
          <cell r="T2626" t="str">
            <v>THIES</v>
          </cell>
        </row>
        <row r="2627">
          <cell r="A2627" t="str">
            <v>THS_2081</v>
          </cell>
          <cell r="S2627" t="str">
            <v>MBOUR</v>
          </cell>
          <cell r="T2627" t="str">
            <v>THIES</v>
          </cell>
        </row>
        <row r="2628">
          <cell r="A2628" t="str">
            <v>ZIG_2082</v>
          </cell>
          <cell r="S2628" t="str">
            <v>ZIGUINCHOR</v>
          </cell>
          <cell r="T2628" t="str">
            <v>ZIGUINCHOR</v>
          </cell>
        </row>
        <row r="2629">
          <cell r="A2629" t="str">
            <v>KLD_2746</v>
          </cell>
          <cell r="S2629" t="str">
            <v>SEDHIOU</v>
          </cell>
          <cell r="T2629" t="str">
            <v>ZIGUINCHOR</v>
          </cell>
        </row>
        <row r="2630">
          <cell r="A2630" t="str">
            <v>STL_2793</v>
          </cell>
          <cell r="S2630" t="str">
            <v>LINGUERE</v>
          </cell>
          <cell r="T2630" t="str">
            <v>SAINT-LOUIS</v>
          </cell>
        </row>
        <row r="2631">
          <cell r="A2631" t="str">
            <v>ZIG_2083</v>
          </cell>
          <cell r="S2631" t="str">
            <v>ZIGUINCHOR</v>
          </cell>
          <cell r="T2631" t="str">
            <v>ZIGUINCHOR</v>
          </cell>
        </row>
        <row r="2632">
          <cell r="A2632" t="str">
            <v>ZIG_2084</v>
          </cell>
          <cell r="S2632" t="str">
            <v>SEDHIOU</v>
          </cell>
          <cell r="T2632" t="str">
            <v>ZIGUINCHOR</v>
          </cell>
        </row>
        <row r="2633">
          <cell r="A2633" t="str">
            <v>ORG_2085</v>
          </cell>
          <cell r="S2633" t="str">
            <v>MATAM</v>
          </cell>
          <cell r="T2633" t="str">
            <v>SAINT-LOUIS</v>
          </cell>
        </row>
        <row r="2634">
          <cell r="A2634" t="str">
            <v>NDM_2086</v>
          </cell>
          <cell r="S2634" t="str">
            <v>NDIOUM</v>
          </cell>
          <cell r="T2634" t="str">
            <v>SAINT-LOUIS</v>
          </cell>
        </row>
        <row r="2635">
          <cell r="A2635" t="str">
            <v>KLD_2087</v>
          </cell>
          <cell r="S2635" t="str">
            <v>KOLDA</v>
          </cell>
          <cell r="T2635" t="str">
            <v>ZIGUINCHOR</v>
          </cell>
        </row>
        <row r="2636">
          <cell r="A2636" t="str">
            <v>KLD_2088</v>
          </cell>
          <cell r="S2636" t="str">
            <v>VELINGARA</v>
          </cell>
          <cell r="T2636" t="str">
            <v>ZIGUINCHOR</v>
          </cell>
        </row>
        <row r="2637">
          <cell r="A2637" t="str">
            <v>TMB_2089</v>
          </cell>
          <cell r="S2637" t="str">
            <v>VELINGARA</v>
          </cell>
          <cell r="T2637" t="str">
            <v>ZIGUINCHOR</v>
          </cell>
        </row>
        <row r="2638">
          <cell r="A2638" t="str">
            <v>KLD_2090</v>
          </cell>
          <cell r="S2638" t="str">
            <v>KOLDA</v>
          </cell>
          <cell r="T2638" t="str">
            <v>ZIGUINCHOR</v>
          </cell>
        </row>
        <row r="2639">
          <cell r="A2639" t="str">
            <v>KLD_2091</v>
          </cell>
          <cell r="S2639" t="str">
            <v>VELINGARA</v>
          </cell>
          <cell r="T2639" t="str">
            <v>ZIGUINCHOR</v>
          </cell>
        </row>
        <row r="2640">
          <cell r="A2640" t="str">
            <v>TMB_2092</v>
          </cell>
          <cell r="S2640" t="str">
            <v>GOUDIRY</v>
          </cell>
          <cell r="T2640" t="str">
            <v>TAMBACOUNDA</v>
          </cell>
        </row>
        <row r="2641">
          <cell r="A2641" t="str">
            <v>TMB_2747</v>
          </cell>
          <cell r="S2641" t="str">
            <v>GOUDIRY</v>
          </cell>
          <cell r="T2641" t="str">
            <v>TAMBACOUNDA</v>
          </cell>
        </row>
        <row r="2642">
          <cell r="A2642" t="str">
            <v>TMB_2093</v>
          </cell>
          <cell r="S2642" t="str">
            <v>TAMBA</v>
          </cell>
          <cell r="T2642" t="str">
            <v>TAMBACOUNDA</v>
          </cell>
        </row>
        <row r="2643">
          <cell r="A2643" t="str">
            <v>TMB_2754</v>
          </cell>
          <cell r="S2643" t="str">
            <v>TAMBACOUNDA</v>
          </cell>
          <cell r="T2643" t="str">
            <v>TAMBACOUNDA</v>
          </cell>
        </row>
        <row r="2644">
          <cell r="A2644" t="str">
            <v>ORG_2094</v>
          </cell>
          <cell r="S2644" t="str">
            <v>MATAM</v>
          </cell>
          <cell r="T2644" t="str">
            <v>SAINT-LOUIS</v>
          </cell>
        </row>
        <row r="2645">
          <cell r="A2645" t="str">
            <v>TMB_2095</v>
          </cell>
          <cell r="S2645" t="str">
            <v>TAMBA</v>
          </cell>
          <cell r="T2645" t="str">
            <v>TAMBACOUNDA</v>
          </cell>
        </row>
        <row r="2646">
          <cell r="A2646" t="str">
            <v>TMB_2096</v>
          </cell>
          <cell r="S2646" t="str">
            <v>GOUDIRY</v>
          </cell>
          <cell r="T2646" t="str">
            <v>TAMBACOUNDA</v>
          </cell>
        </row>
        <row r="2647">
          <cell r="A2647" t="str">
            <v>TMB_2097</v>
          </cell>
          <cell r="S2647" t="str">
            <v>GOUDIRY</v>
          </cell>
          <cell r="T2647" t="str">
            <v>TAMBACOUNDA</v>
          </cell>
        </row>
        <row r="2648">
          <cell r="A2648" t="str">
            <v>NDM_2098</v>
          </cell>
          <cell r="S2648" t="str">
            <v>NDIOUM</v>
          </cell>
          <cell r="T2648" t="str">
            <v>SAINT-LOUIS</v>
          </cell>
        </row>
        <row r="2649">
          <cell r="A2649" t="str">
            <v>TMB_2099</v>
          </cell>
          <cell r="S2649" t="str">
            <v>GOUDIRY</v>
          </cell>
          <cell r="T2649" t="str">
            <v>TAMBACOUNDA</v>
          </cell>
        </row>
        <row r="2650">
          <cell r="A2650" t="str">
            <v>BKL_2100</v>
          </cell>
          <cell r="S2650" t="str">
            <v>GOUDIRY</v>
          </cell>
          <cell r="T2650" t="str">
            <v>TAMBACOUNDA</v>
          </cell>
        </row>
        <row r="2651">
          <cell r="A2651" t="str">
            <v>TMB_2101</v>
          </cell>
          <cell r="S2651" t="str">
            <v>KOUNGHEUL</v>
          </cell>
          <cell r="T2651" t="str">
            <v>TAMBACOUNDA</v>
          </cell>
        </row>
        <row r="2652">
          <cell r="A2652" t="str">
            <v>ORG_2102</v>
          </cell>
          <cell r="S2652" t="str">
            <v>MATAM</v>
          </cell>
          <cell r="T2652" t="str">
            <v>SAINT-LOUIS</v>
          </cell>
        </row>
        <row r="2653">
          <cell r="A2653" t="str">
            <v>TMB_2103</v>
          </cell>
          <cell r="S2653" t="str">
            <v>KOUNGHEUL</v>
          </cell>
          <cell r="T2653" t="str">
            <v>TAMBACOUNDA</v>
          </cell>
        </row>
        <row r="2654">
          <cell r="A2654" t="str">
            <v>BKL_2756</v>
          </cell>
          <cell r="S2654" t="str">
            <v>OUROSSOGUI</v>
          </cell>
          <cell r="T2654" t="str">
            <v>SAINT-LOUIS</v>
          </cell>
        </row>
        <row r="2655">
          <cell r="A2655" t="str">
            <v>TMB_2104</v>
          </cell>
          <cell r="S2655" t="str">
            <v>TAMBA</v>
          </cell>
          <cell r="T2655" t="str">
            <v>TAMBACOUNDA</v>
          </cell>
        </row>
        <row r="2656">
          <cell r="A2656" t="str">
            <v>TMB_2105</v>
          </cell>
          <cell r="S2656" t="str">
            <v>GOUDIRY</v>
          </cell>
          <cell r="T2656" t="str">
            <v>TAMBACOUNDA</v>
          </cell>
        </row>
        <row r="2657">
          <cell r="A2657" t="str">
            <v>KLK_2106</v>
          </cell>
          <cell r="S2657" t="str">
            <v>KAFFRINE</v>
          </cell>
          <cell r="T2657" t="str">
            <v>KAOLACK</v>
          </cell>
        </row>
        <row r="2658">
          <cell r="A2658" t="str">
            <v>KLK_2740</v>
          </cell>
          <cell r="S2658" t="str">
            <v>KAFFRINE</v>
          </cell>
          <cell r="T2658" t="str">
            <v>KAOLACK</v>
          </cell>
        </row>
        <row r="2659">
          <cell r="A2659" t="str">
            <v>TMB_2757</v>
          </cell>
          <cell r="S2659" t="str">
            <v>TAMBACOUNDA</v>
          </cell>
          <cell r="T2659" t="str">
            <v>TAMBACOUNDA</v>
          </cell>
        </row>
        <row r="2660">
          <cell r="A2660" t="str">
            <v>TMB_2107</v>
          </cell>
          <cell r="S2660" t="str">
            <v>KOUNGHEUL</v>
          </cell>
          <cell r="T2660" t="str">
            <v>TAMBACOUNDA</v>
          </cell>
        </row>
        <row r="2661">
          <cell r="A2661" t="str">
            <v>TMB_2108</v>
          </cell>
          <cell r="S2661" t="str">
            <v>KOUNGHEUL</v>
          </cell>
          <cell r="T2661" t="str">
            <v>TAMBACOUNDA</v>
          </cell>
        </row>
        <row r="2662">
          <cell r="A2662" t="str">
            <v>TMB_2109</v>
          </cell>
          <cell r="S2662" t="str">
            <v>GOUDIRY</v>
          </cell>
          <cell r="T2662" t="str">
            <v>TAMBACOUNDA</v>
          </cell>
        </row>
        <row r="2663">
          <cell r="A2663" t="str">
            <v>NDM_2110</v>
          </cell>
          <cell r="S2663" t="str">
            <v>NDIOUM</v>
          </cell>
          <cell r="T2663" t="str">
            <v>SAINT-LOUIS</v>
          </cell>
        </row>
        <row r="2664">
          <cell r="A2664" t="str">
            <v>THS_2111</v>
          </cell>
          <cell r="S2664" t="str">
            <v>THIES</v>
          </cell>
          <cell r="T2664" t="str">
            <v>THIES</v>
          </cell>
        </row>
        <row r="2665">
          <cell r="A2665" t="str">
            <v>DKR_2112</v>
          </cell>
          <cell r="S2665" t="str">
            <v>SACRE_COEUR</v>
          </cell>
          <cell r="T2665" t="str">
            <v>DAKAR</v>
          </cell>
        </row>
        <row r="2666">
          <cell r="A2666" t="str">
            <v>BKL_2113</v>
          </cell>
          <cell r="S2666" t="str">
            <v>BAKEL</v>
          </cell>
          <cell r="T2666" t="str">
            <v>SAINT-LOUIS</v>
          </cell>
        </row>
        <row r="2667">
          <cell r="A2667" t="str">
            <v>DKR_2114</v>
          </cell>
          <cell r="S2667" t="str">
            <v>MEDINA</v>
          </cell>
          <cell r="T2667" t="str">
            <v>DAKAR</v>
          </cell>
        </row>
        <row r="2668">
          <cell r="A2668" t="str">
            <v>TMB_2703</v>
          </cell>
          <cell r="S2668" t="str">
            <v>TAMBA</v>
          </cell>
          <cell r="T2668" t="str">
            <v>TAMBACOUNDA</v>
          </cell>
        </row>
        <row r="2669">
          <cell r="A2669" t="str">
            <v>TMB_2702</v>
          </cell>
          <cell r="S2669" t="str">
            <v>TAMBA</v>
          </cell>
          <cell r="T2669" t="str">
            <v>TAMBACOUNDA</v>
          </cell>
        </row>
        <row r="2670">
          <cell r="A2670" t="str">
            <v>KDG_2115</v>
          </cell>
          <cell r="S2670" t="str">
            <v>KEDOUGOU</v>
          </cell>
          <cell r="T2670" t="str">
            <v>TAMBACOUNDA</v>
          </cell>
        </row>
        <row r="2671">
          <cell r="A2671" t="str">
            <v>KLK_2116</v>
          </cell>
          <cell r="S2671" t="str">
            <v>MBOUR</v>
          </cell>
          <cell r="T2671" t="str">
            <v>KAOLACK</v>
          </cell>
        </row>
        <row r="2672">
          <cell r="A2672" t="str">
            <v>STL_2117</v>
          </cell>
          <cell r="S2672" t="str">
            <v>SAINT-LOUIS</v>
          </cell>
          <cell r="T2672" t="str">
            <v>SAINT-LOUIS</v>
          </cell>
        </row>
        <row r="2673">
          <cell r="A2673" t="str">
            <v>KLK_2118</v>
          </cell>
          <cell r="S2673" t="str">
            <v>KOUNGHEUL</v>
          </cell>
          <cell r="T2673" t="str">
            <v>TAMBACOUNDA</v>
          </cell>
        </row>
        <row r="2674">
          <cell r="A2674" t="str">
            <v>DKR_2119</v>
          </cell>
          <cell r="S2674" t="str">
            <v>MEDINA</v>
          </cell>
          <cell r="T2674" t="str">
            <v>DAKAR</v>
          </cell>
        </row>
        <row r="2675">
          <cell r="A2675" t="str">
            <v>DKR_2120</v>
          </cell>
          <cell r="S2675" t="str">
            <v>RUFISQUE</v>
          </cell>
          <cell r="T2675" t="str">
            <v>DAKAR</v>
          </cell>
        </row>
        <row r="2676">
          <cell r="A2676" t="str">
            <v>DKR_2121</v>
          </cell>
          <cell r="S2676" t="str">
            <v>SACRE_COEUR</v>
          </cell>
          <cell r="T2676" t="str">
            <v>DAKAR</v>
          </cell>
        </row>
        <row r="2677">
          <cell r="A2677" t="str">
            <v>DBL_2123</v>
          </cell>
          <cell r="S2677" t="str">
            <v>DIOURBEL</v>
          </cell>
          <cell r="T2677" t="str">
            <v>THIES</v>
          </cell>
        </row>
        <row r="2678">
          <cell r="A2678" t="str">
            <v>KLK_2124</v>
          </cell>
          <cell r="S2678" t="str">
            <v>SOKONE</v>
          </cell>
          <cell r="T2678" t="str">
            <v>KAOLACK</v>
          </cell>
        </row>
        <row r="2679">
          <cell r="A2679" t="str">
            <v>KLK_2125</v>
          </cell>
          <cell r="S2679" t="str">
            <v>SOKONE</v>
          </cell>
          <cell r="T2679" t="str">
            <v>KAOLACK</v>
          </cell>
        </row>
        <row r="2680">
          <cell r="A2680" t="str">
            <v>KLK_2662</v>
          </cell>
          <cell r="S2680" t="str">
            <v>SOKONE</v>
          </cell>
          <cell r="T2680" t="str">
            <v>KAOLACK</v>
          </cell>
        </row>
        <row r="2681">
          <cell r="A2681" t="str">
            <v>DBL_2126</v>
          </cell>
          <cell r="S2681" t="str">
            <v>LINGUERE</v>
          </cell>
          <cell r="T2681" t="str">
            <v>SAINT-LOUIS</v>
          </cell>
        </row>
        <row r="2682">
          <cell r="A2682" t="str">
            <v>MBR_2127</v>
          </cell>
          <cell r="S2682" t="str">
            <v>MBOUR</v>
          </cell>
          <cell r="T2682" t="str">
            <v>THIES</v>
          </cell>
        </row>
        <row r="2683">
          <cell r="A2683" t="str">
            <v>MBR_2128</v>
          </cell>
          <cell r="S2683" t="str">
            <v>MBOUR</v>
          </cell>
          <cell r="T2683" t="str">
            <v>THIES</v>
          </cell>
        </row>
        <row r="2684">
          <cell r="A2684" t="str">
            <v>MBR_2129</v>
          </cell>
          <cell r="S2684" t="str">
            <v>MBOUR</v>
          </cell>
          <cell r="T2684" t="str">
            <v>THIES</v>
          </cell>
        </row>
        <row r="2685">
          <cell r="A2685" t="str">
            <v>THS_2760</v>
          </cell>
          <cell r="S2685" t="str">
            <v>MBOUR</v>
          </cell>
          <cell r="T2685" t="str">
            <v>THIES</v>
          </cell>
        </row>
        <row r="2686">
          <cell r="A2686" t="str">
            <v>THS_2781</v>
          </cell>
          <cell r="S2686" t="str">
            <v>MBOUR</v>
          </cell>
          <cell r="T2686" t="str">
            <v>THIES</v>
          </cell>
        </row>
        <row r="2687">
          <cell r="A2687" t="str">
            <v>DKR_2130</v>
          </cell>
          <cell r="S2687" t="str">
            <v>MEDINA</v>
          </cell>
          <cell r="T2687" t="str">
            <v>DAKAR</v>
          </cell>
        </row>
        <row r="2688">
          <cell r="A2688" t="str">
            <v>DKR_2132</v>
          </cell>
          <cell r="S2688" t="str">
            <v>DAKAR</v>
          </cell>
          <cell r="T2688" t="str">
            <v>DAKAR</v>
          </cell>
        </row>
        <row r="2689">
          <cell r="A2689" t="str">
            <v>DKR_2133</v>
          </cell>
          <cell r="S2689" t="str">
            <v>SACRE_COEUR</v>
          </cell>
          <cell r="T2689" t="str">
            <v>DAKAR</v>
          </cell>
        </row>
        <row r="2690">
          <cell r="A2690" t="str">
            <v>DKR_2134</v>
          </cell>
          <cell r="S2690" t="str">
            <v>SACRE_COEUR</v>
          </cell>
          <cell r="T2690" t="str">
            <v>DAKAR</v>
          </cell>
        </row>
        <row r="2691">
          <cell r="A2691" t="str">
            <v>DKR_2135</v>
          </cell>
          <cell r="S2691" t="str">
            <v>SACRE_COEUR</v>
          </cell>
          <cell r="T2691" t="str">
            <v>DAKAR</v>
          </cell>
        </row>
        <row r="2692">
          <cell r="A2692" t="str">
            <v>DBL_2136</v>
          </cell>
          <cell r="S2692" t="str">
            <v>LINGUERE</v>
          </cell>
          <cell r="T2692" t="str">
            <v>SAINT-LOUIS</v>
          </cell>
        </row>
        <row r="2693">
          <cell r="A2693" t="str">
            <v>ORG_2137</v>
          </cell>
          <cell r="S2693" t="str">
            <v>MATAM</v>
          </cell>
          <cell r="T2693" t="str">
            <v>SAINT-LOUIS</v>
          </cell>
        </row>
        <row r="2694">
          <cell r="A2694" t="str">
            <v>KLK_2752</v>
          </cell>
          <cell r="S2694" t="str">
            <v>FATICK</v>
          </cell>
          <cell r="T2694" t="str">
            <v>KAOLACK</v>
          </cell>
        </row>
        <row r="2695">
          <cell r="A2695" t="str">
            <v>KLD_2138</v>
          </cell>
          <cell r="S2695" t="str">
            <v>KOLDA</v>
          </cell>
          <cell r="T2695" t="str">
            <v>ZIGUINCHOR</v>
          </cell>
        </row>
        <row r="2696">
          <cell r="A2696" t="str">
            <v>ZIG_2139</v>
          </cell>
          <cell r="S2696" t="str">
            <v>ZIGUINCHOR</v>
          </cell>
          <cell r="T2696" t="str">
            <v>ZIGUINCHOR</v>
          </cell>
        </row>
        <row r="2697">
          <cell r="A2697" t="str">
            <v>MBR_2140</v>
          </cell>
          <cell r="S2697" t="str">
            <v>SOKONE</v>
          </cell>
          <cell r="T2697" t="str">
            <v>KAOLACK</v>
          </cell>
        </row>
        <row r="2698">
          <cell r="A2698" t="str">
            <v>DKR_2141</v>
          </cell>
          <cell r="S2698" t="str">
            <v>MEDINA</v>
          </cell>
          <cell r="T2698" t="str">
            <v>DAKAR</v>
          </cell>
        </row>
        <row r="2699">
          <cell r="A2699" t="str">
            <v>DKR_2142</v>
          </cell>
          <cell r="S2699" t="str">
            <v>MEDINA</v>
          </cell>
          <cell r="T2699" t="str">
            <v>DAKAR</v>
          </cell>
        </row>
        <row r="2700">
          <cell r="A2700" t="str">
            <v>KLD_2143</v>
          </cell>
          <cell r="S2700" t="str">
            <v>SEDHIOU</v>
          </cell>
          <cell r="T2700" t="str">
            <v>ZIGUINCHOR</v>
          </cell>
        </row>
        <row r="2701">
          <cell r="A2701" t="str">
            <v>KLD_2738</v>
          </cell>
          <cell r="S2701" t="str">
            <v>TAMBACOUNDA</v>
          </cell>
          <cell r="T2701" t="str">
            <v>TAMBACOUNDA</v>
          </cell>
        </row>
        <row r="2702">
          <cell r="A2702" t="str">
            <v>KDG_2144</v>
          </cell>
          <cell r="S2702" t="str">
            <v>KEDOUGOU</v>
          </cell>
          <cell r="T2702" t="str">
            <v>TAMBACOUNDA</v>
          </cell>
        </row>
        <row r="2703">
          <cell r="A2703" t="str">
            <v>TMB_2145</v>
          </cell>
          <cell r="S2703" t="str">
            <v>GOUDIRY</v>
          </cell>
          <cell r="T2703" t="str">
            <v>TAMBACOUNDA</v>
          </cell>
        </row>
        <row r="2704">
          <cell r="A2704" t="str">
            <v>KLD_2146</v>
          </cell>
          <cell r="S2704" t="str">
            <v>VELINGARA</v>
          </cell>
          <cell r="T2704" t="str">
            <v>ZIGUINCHOR</v>
          </cell>
        </row>
        <row r="2705">
          <cell r="A2705" t="str">
            <v>TMB_2804</v>
          </cell>
          <cell r="S2705" t="str">
            <v>TAMBACOUNDA</v>
          </cell>
          <cell r="T2705" t="str">
            <v>TAMBACOUNDA</v>
          </cell>
        </row>
        <row r="2706">
          <cell r="A2706" t="str">
            <v>NDM_2147</v>
          </cell>
          <cell r="S2706" t="str">
            <v>NDIOUM</v>
          </cell>
          <cell r="T2706" t="str">
            <v>SAINT-LOUIS</v>
          </cell>
        </row>
        <row r="2707">
          <cell r="A2707" t="str">
            <v>MBR_2148</v>
          </cell>
          <cell r="S2707" t="str">
            <v>MBOUR</v>
          </cell>
          <cell r="T2707" t="str">
            <v>THIES</v>
          </cell>
        </row>
        <row r="2708">
          <cell r="A2708" t="str">
            <v>TMB_2149</v>
          </cell>
          <cell r="S2708" t="str">
            <v>TAMBA</v>
          </cell>
          <cell r="T2708" t="str">
            <v>TAMBACOUNDA</v>
          </cell>
        </row>
        <row r="2709">
          <cell r="A2709" t="str">
            <v>TMB_2150</v>
          </cell>
          <cell r="S2709" t="str">
            <v>GOUDIRY</v>
          </cell>
          <cell r="T2709" t="str">
            <v>TAMBACOUNDA</v>
          </cell>
        </row>
        <row r="2710">
          <cell r="A2710" t="str">
            <v>NDM_2151</v>
          </cell>
          <cell r="S2710" t="str">
            <v>NDIOUM</v>
          </cell>
          <cell r="T2710" t="str">
            <v>SAINT-LOUIS</v>
          </cell>
        </row>
        <row r="2711">
          <cell r="A2711" t="str">
            <v>DKR_2152</v>
          </cell>
          <cell r="S2711" t="str">
            <v>SACRE_COEUR</v>
          </cell>
          <cell r="T2711" t="str">
            <v>DAKAR</v>
          </cell>
        </row>
        <row r="2712">
          <cell r="A2712" t="str">
            <v>DKR_2740</v>
          </cell>
          <cell r="S2712" t="str">
            <v>DAKAR</v>
          </cell>
          <cell r="T2712" t="str">
            <v>DAKAR</v>
          </cell>
        </row>
        <row r="2713">
          <cell r="A2713" t="str">
            <v>THS_2276</v>
          </cell>
          <cell r="S2713" t="str">
            <v>MBOUR</v>
          </cell>
          <cell r="T2713" t="str">
            <v>THIES</v>
          </cell>
        </row>
        <row r="2714">
          <cell r="A2714" t="str">
            <v>DKR_2153</v>
          </cell>
          <cell r="S2714" t="str">
            <v>RUFISQUE</v>
          </cell>
          <cell r="T2714" t="str">
            <v>DAKAR</v>
          </cell>
        </row>
        <row r="2715">
          <cell r="A2715" t="str">
            <v>DKR_2154</v>
          </cell>
          <cell r="S2715" t="str">
            <v>THIAROYE</v>
          </cell>
          <cell r="T2715" t="str">
            <v>DAKAR</v>
          </cell>
        </row>
        <row r="2716">
          <cell r="A2716" t="str">
            <v>DBL_2155</v>
          </cell>
          <cell r="S2716" t="str">
            <v>TOUBA02</v>
          </cell>
          <cell r="T2716" t="str">
            <v>THIES</v>
          </cell>
        </row>
        <row r="2717">
          <cell r="A2717" t="str">
            <v>DBL_2156</v>
          </cell>
          <cell r="S2717" t="str">
            <v>TOUBA02</v>
          </cell>
          <cell r="T2717" t="str">
            <v>THIES</v>
          </cell>
        </row>
        <row r="2718">
          <cell r="A2718" t="str">
            <v>DBL_2656</v>
          </cell>
          <cell r="S2718" t="str">
            <v>TOUBA02</v>
          </cell>
          <cell r="T2718" t="str">
            <v>THIES</v>
          </cell>
        </row>
        <row r="2719">
          <cell r="A2719" t="str">
            <v>STL_2157</v>
          </cell>
          <cell r="S2719" t="str">
            <v>SAINT-LOUIS</v>
          </cell>
          <cell r="T2719" t="str">
            <v>SAINT-LOUIS</v>
          </cell>
        </row>
        <row r="2720">
          <cell r="A2720" t="str">
            <v>STL_2158</v>
          </cell>
          <cell r="S2720" t="str">
            <v>SAINT-LOUIS</v>
          </cell>
          <cell r="T2720" t="str">
            <v>SAINT-LOUIS</v>
          </cell>
        </row>
        <row r="2721">
          <cell r="A2721" t="str">
            <v>STL_2159</v>
          </cell>
          <cell r="S2721" t="str">
            <v>SAINT-LOUIS</v>
          </cell>
          <cell r="T2721" t="str">
            <v>SAINT-LOUIS</v>
          </cell>
        </row>
        <row r="2722">
          <cell r="A2722" t="str">
            <v>STL_2160</v>
          </cell>
          <cell r="S2722" t="str">
            <v>SAINT-LOUIS</v>
          </cell>
          <cell r="T2722" t="str">
            <v>SAINT-LOUIS</v>
          </cell>
        </row>
        <row r="2723">
          <cell r="A2723" t="str">
            <v>STL_2161</v>
          </cell>
          <cell r="S2723" t="str">
            <v>SAINT-LOUIS</v>
          </cell>
          <cell r="T2723" t="str">
            <v>SAINT-LOUIS</v>
          </cell>
        </row>
        <row r="2724">
          <cell r="A2724" t="str">
            <v>STL_2162</v>
          </cell>
          <cell r="S2724" t="str">
            <v>SAINT-LOUIS</v>
          </cell>
          <cell r="T2724" t="str">
            <v>SAINT-LOUIS</v>
          </cell>
        </row>
        <row r="2725">
          <cell r="A2725" t="str">
            <v>STL_2163</v>
          </cell>
          <cell r="S2725" t="str">
            <v>SAINT-LOUIS</v>
          </cell>
          <cell r="T2725" t="str">
            <v>SAINT-LOUIS</v>
          </cell>
        </row>
        <row r="2726">
          <cell r="A2726" t="str">
            <v>STL_2164</v>
          </cell>
          <cell r="S2726" t="str">
            <v>SAINT-LOUIS</v>
          </cell>
          <cell r="T2726" t="str">
            <v>SAINT-LOUIS</v>
          </cell>
        </row>
        <row r="2727">
          <cell r="A2727" t="str">
            <v>STL_2165</v>
          </cell>
          <cell r="S2727" t="str">
            <v>SAINT-LOUIS</v>
          </cell>
          <cell r="T2727" t="str">
            <v>SAINT-LOUIS</v>
          </cell>
        </row>
        <row r="2728">
          <cell r="A2728" t="str">
            <v>STL_2166</v>
          </cell>
          <cell r="S2728" t="str">
            <v>SAINT-LOUIS</v>
          </cell>
          <cell r="T2728" t="str">
            <v>SAINT-LOUIS</v>
          </cell>
        </row>
        <row r="2729">
          <cell r="A2729" t="str">
            <v>STL_2167</v>
          </cell>
          <cell r="S2729" t="str">
            <v>SAINT-LOUIS</v>
          </cell>
          <cell r="T2729" t="str">
            <v>SAINT-LOUIS</v>
          </cell>
        </row>
        <row r="2730">
          <cell r="A2730" t="str">
            <v>STL_2168</v>
          </cell>
          <cell r="S2730" t="str">
            <v>SAINT-LOUIS</v>
          </cell>
          <cell r="T2730" t="str">
            <v>SAINT-LOUIS</v>
          </cell>
        </row>
        <row r="2731">
          <cell r="A2731" t="str">
            <v>STL_2169</v>
          </cell>
          <cell r="S2731" t="str">
            <v>SAINT-LOUIS</v>
          </cell>
          <cell r="T2731" t="str">
            <v>SAINT-LOUIS</v>
          </cell>
        </row>
        <row r="2732">
          <cell r="A2732" t="str">
            <v>STL_2170</v>
          </cell>
          <cell r="S2732" t="str">
            <v>SAINT-LOUIS</v>
          </cell>
          <cell r="T2732" t="str">
            <v>SAINT-LOUIS</v>
          </cell>
        </row>
        <row r="2733">
          <cell r="A2733" t="str">
            <v>STL_2171</v>
          </cell>
          <cell r="S2733" t="str">
            <v>SAINT-LOUIS</v>
          </cell>
          <cell r="T2733" t="str">
            <v>SAINT-LOUIS</v>
          </cell>
        </row>
        <row r="2734">
          <cell r="A2734" t="str">
            <v>STL_2172</v>
          </cell>
          <cell r="S2734" t="str">
            <v>SAINT-LOUIS</v>
          </cell>
          <cell r="T2734" t="str">
            <v>SAINT-LOUIS</v>
          </cell>
        </row>
        <row r="2735">
          <cell r="A2735" t="str">
            <v>STL_2173</v>
          </cell>
          <cell r="S2735" t="str">
            <v>SAINT-LOUIS</v>
          </cell>
          <cell r="T2735" t="str">
            <v>SAINT-LOUIS</v>
          </cell>
        </row>
        <row r="2736">
          <cell r="A2736" t="str">
            <v>STL_2174</v>
          </cell>
          <cell r="S2736" t="str">
            <v>SAINT-LOUIS</v>
          </cell>
          <cell r="T2736" t="str">
            <v>SAINT-LOUIS</v>
          </cell>
        </row>
        <row r="2737">
          <cell r="A2737" t="str">
            <v>STL_2175</v>
          </cell>
          <cell r="S2737" t="str">
            <v>SAINT-LOUIS</v>
          </cell>
          <cell r="T2737" t="str">
            <v>SAINT-LOUIS</v>
          </cell>
        </row>
        <row r="2738">
          <cell r="A2738" t="str">
            <v>STL_2176</v>
          </cell>
          <cell r="S2738" t="str">
            <v>SAINT-LOUIS</v>
          </cell>
          <cell r="T2738" t="str">
            <v>SAINT-LOUIS</v>
          </cell>
        </row>
        <row r="2739">
          <cell r="A2739" t="str">
            <v>STL_2177</v>
          </cell>
          <cell r="S2739" t="str">
            <v>SAINT-LOUIS</v>
          </cell>
          <cell r="T2739" t="str">
            <v>SAINT-LOUIS</v>
          </cell>
        </row>
        <row r="2740">
          <cell r="A2740" t="str">
            <v>STL_2178</v>
          </cell>
          <cell r="S2740" t="str">
            <v>SAINT-LOUIS</v>
          </cell>
          <cell r="T2740" t="str">
            <v>SAINT-LOUIS</v>
          </cell>
        </row>
        <row r="2741">
          <cell r="A2741" t="str">
            <v>STL_2179</v>
          </cell>
          <cell r="S2741" t="str">
            <v>SAINT-LOUIS</v>
          </cell>
          <cell r="T2741" t="str">
            <v>SAINT-LOUIS</v>
          </cell>
        </row>
        <row r="2742">
          <cell r="A2742" t="str">
            <v>STL_2180</v>
          </cell>
          <cell r="S2742" t="str">
            <v>SAINT-LOUIS</v>
          </cell>
          <cell r="T2742" t="str">
            <v>SAINT-LOUIS</v>
          </cell>
        </row>
        <row r="2743">
          <cell r="A2743" t="str">
            <v>STL_2181</v>
          </cell>
          <cell r="S2743" t="str">
            <v>SAINT-LOUIS</v>
          </cell>
          <cell r="T2743" t="str">
            <v>SAINT-LOUIS</v>
          </cell>
        </row>
        <row r="2744">
          <cell r="A2744" t="str">
            <v>STL_2182</v>
          </cell>
          <cell r="S2744" t="str">
            <v>SAINT-LOUIS</v>
          </cell>
          <cell r="T2744" t="str">
            <v>SAINT-LOUIS</v>
          </cell>
        </row>
        <row r="2745">
          <cell r="A2745" t="str">
            <v>STL_2183</v>
          </cell>
          <cell r="S2745" t="str">
            <v>SAINT-LOUIS</v>
          </cell>
          <cell r="T2745" t="str">
            <v>SAINT-LOUIS</v>
          </cell>
        </row>
        <row r="2746">
          <cell r="A2746" t="str">
            <v>STL_2781</v>
          </cell>
          <cell r="S2746" t="str">
            <v>SAINT-LOUIS</v>
          </cell>
          <cell r="T2746" t="str">
            <v>SAINT-LOUIS</v>
          </cell>
        </row>
        <row r="2747">
          <cell r="A2747" t="str">
            <v>STL_2800</v>
          </cell>
          <cell r="S2747" t="str">
            <v>SAINT-LOUIS</v>
          </cell>
          <cell r="T2747" t="str">
            <v>SAINT-LOUIS</v>
          </cell>
        </row>
        <row r="2748">
          <cell r="A2748" t="str">
            <v>STL_2801</v>
          </cell>
          <cell r="S2748" t="str">
            <v>SAINT-LOUIS</v>
          </cell>
          <cell r="T2748" t="str">
            <v>SAINT-LOUIS</v>
          </cell>
        </row>
        <row r="2749">
          <cell r="A2749" t="str">
            <v>STL_2818</v>
          </cell>
          <cell r="S2749" t="str">
            <v>SAINT-LOUIS</v>
          </cell>
          <cell r="T2749" t="str">
            <v>SAINT-LOUIS</v>
          </cell>
        </row>
        <row r="2750">
          <cell r="A2750" t="str">
            <v>STL_2802</v>
          </cell>
          <cell r="S2750" t="str">
            <v>SAINT-LOUIS</v>
          </cell>
          <cell r="T2750" t="str">
            <v>SAINT-LOUIS</v>
          </cell>
        </row>
        <row r="2751">
          <cell r="A2751" t="str">
            <v>STL_2841</v>
          </cell>
          <cell r="S2751" t="str">
            <v>SAINT-LOUIS</v>
          </cell>
          <cell r="T2751" t="str">
            <v>SAINT-LOUIS</v>
          </cell>
        </row>
        <row r="2752">
          <cell r="A2752" t="str">
            <v>DKR_2184</v>
          </cell>
          <cell r="S2752" t="str">
            <v>OUAKAM</v>
          </cell>
          <cell r="T2752" t="str">
            <v>DAKAR</v>
          </cell>
        </row>
        <row r="2753">
          <cell r="A2753" t="str">
            <v>DKR_2185</v>
          </cell>
          <cell r="S2753" t="str">
            <v>OUAKAM</v>
          </cell>
          <cell r="T2753" t="str">
            <v>DAKAR</v>
          </cell>
        </row>
        <row r="2754">
          <cell r="A2754" t="str">
            <v>DKR_2186</v>
          </cell>
          <cell r="S2754" t="str">
            <v>OUAKAM</v>
          </cell>
          <cell r="T2754" t="str">
            <v>DAKAR</v>
          </cell>
        </row>
        <row r="2755">
          <cell r="A2755" t="str">
            <v>DKR_2187</v>
          </cell>
          <cell r="S2755" t="str">
            <v>OUAKAM</v>
          </cell>
          <cell r="T2755" t="str">
            <v>DAKAR</v>
          </cell>
        </row>
        <row r="2756">
          <cell r="A2756" t="str">
            <v>DKR_2188</v>
          </cell>
          <cell r="S2756" t="str">
            <v>OUAKAM</v>
          </cell>
          <cell r="T2756" t="str">
            <v>DAKAR</v>
          </cell>
        </row>
        <row r="2757">
          <cell r="A2757" t="str">
            <v>DKR_2189</v>
          </cell>
          <cell r="S2757" t="str">
            <v>OUAKAM</v>
          </cell>
          <cell r="T2757" t="str">
            <v>DAKAR</v>
          </cell>
        </row>
        <row r="2758">
          <cell r="A2758" t="str">
            <v>ZIG_2190</v>
          </cell>
          <cell r="S2758" t="str">
            <v>ZIGUINCHOR</v>
          </cell>
          <cell r="T2758" t="str">
            <v>ZIGUINCHOR</v>
          </cell>
        </row>
        <row r="2759">
          <cell r="A2759" t="str">
            <v>STL_2191</v>
          </cell>
          <cell r="S2759" t="str">
            <v>LOUGA</v>
          </cell>
          <cell r="T2759" t="str">
            <v>SAINT-LOUIS</v>
          </cell>
        </row>
        <row r="2760">
          <cell r="A2760" t="str">
            <v>DBL_2192</v>
          </cell>
          <cell r="S2760" t="str">
            <v>KOUNGHEUL</v>
          </cell>
          <cell r="T2760" t="str">
            <v>TAMBACOUNDA</v>
          </cell>
        </row>
        <row r="2761">
          <cell r="A2761" t="str">
            <v>STL_2795</v>
          </cell>
          <cell r="S2761" t="str">
            <v>SAINT-LOUIS</v>
          </cell>
          <cell r="T2761" t="str">
            <v>SAINT-LOUIS</v>
          </cell>
        </row>
        <row r="2762">
          <cell r="A2762" t="str">
            <v>TMB_2193</v>
          </cell>
          <cell r="S2762" t="str">
            <v>GOUDIRY</v>
          </cell>
          <cell r="T2762" t="str">
            <v>TAMBACOUNDA</v>
          </cell>
        </row>
        <row r="2763">
          <cell r="A2763" t="str">
            <v>TMB_2748</v>
          </cell>
          <cell r="S2763" t="str">
            <v>TAMBACOUNDA</v>
          </cell>
          <cell r="T2763" t="str">
            <v>TAMBACOUNDA</v>
          </cell>
        </row>
        <row r="2764">
          <cell r="A2764" t="str">
            <v>TMB_2194</v>
          </cell>
          <cell r="S2764" t="str">
            <v>KOUNGHEUL</v>
          </cell>
          <cell r="T2764" t="str">
            <v>TAMBACOUNDA</v>
          </cell>
        </row>
        <row r="2765">
          <cell r="A2765" t="str">
            <v>KLD_2195</v>
          </cell>
          <cell r="S2765" t="str">
            <v>VELINGARA</v>
          </cell>
          <cell r="T2765" t="str">
            <v>ZIGUINCHOR</v>
          </cell>
        </row>
        <row r="2766">
          <cell r="A2766" t="str">
            <v>STL_2765</v>
          </cell>
          <cell r="S2766" t="str">
            <v>LOUGA</v>
          </cell>
          <cell r="T2766" t="str">
            <v>SAINT-LOUIS</v>
          </cell>
        </row>
        <row r="2767">
          <cell r="A2767" t="str">
            <v>THS_2196</v>
          </cell>
          <cell r="S2767" t="str">
            <v>TIVAOUANE</v>
          </cell>
          <cell r="T2767" t="str">
            <v>THIES</v>
          </cell>
        </row>
        <row r="2768">
          <cell r="A2768" t="str">
            <v>KLK_2817</v>
          </cell>
          <cell r="S2768" t="str">
            <v>KAFFRINE</v>
          </cell>
          <cell r="T2768" t="str">
            <v>KAOLACK</v>
          </cell>
        </row>
        <row r="2769">
          <cell r="A2769" t="str">
            <v>DBL_2197</v>
          </cell>
          <cell r="S2769" t="str">
            <v>DIOURBEL</v>
          </cell>
          <cell r="T2769" t="str">
            <v>THIES</v>
          </cell>
        </row>
        <row r="2770">
          <cell r="A2770" t="str">
            <v>DBL_2198</v>
          </cell>
          <cell r="S2770" t="str">
            <v>DIOURBEL</v>
          </cell>
          <cell r="T2770" t="str">
            <v>THIES</v>
          </cell>
        </row>
        <row r="2771">
          <cell r="A2771" t="str">
            <v>THS_2199</v>
          </cell>
          <cell r="S2771" t="str">
            <v>TIVAOUANE</v>
          </cell>
          <cell r="T2771" t="str">
            <v>THIES</v>
          </cell>
        </row>
        <row r="2772">
          <cell r="A2772" t="str">
            <v>KLK_2200</v>
          </cell>
          <cell r="S2772" t="str">
            <v>KAOLACK</v>
          </cell>
          <cell r="T2772" t="str">
            <v>KAOLACK</v>
          </cell>
        </row>
        <row r="2773">
          <cell r="A2773" t="str">
            <v>ORG_2201</v>
          </cell>
          <cell r="S2773" t="str">
            <v>MATAM</v>
          </cell>
          <cell r="T2773" t="str">
            <v>SAINT-LOUIS</v>
          </cell>
        </row>
        <row r="2774">
          <cell r="A2774" t="str">
            <v>KLK_2202</v>
          </cell>
          <cell r="S2774" t="str">
            <v>SOKONE</v>
          </cell>
          <cell r="T2774" t="str">
            <v>KAOLACK</v>
          </cell>
        </row>
        <row r="2775">
          <cell r="A2775" t="str">
            <v>KLK_2203</v>
          </cell>
          <cell r="S2775" t="str">
            <v>SOKONE</v>
          </cell>
          <cell r="T2775" t="str">
            <v>KAOLACK</v>
          </cell>
        </row>
        <row r="2776">
          <cell r="A2776" t="str">
            <v>KLK_2204</v>
          </cell>
          <cell r="S2776" t="str">
            <v>SOKONE</v>
          </cell>
          <cell r="T2776" t="str">
            <v>KAOLACK</v>
          </cell>
        </row>
        <row r="2777">
          <cell r="A2777" t="str">
            <v>KLK_2205</v>
          </cell>
          <cell r="S2777" t="str">
            <v>SOKONE</v>
          </cell>
          <cell r="T2777" t="str">
            <v>KAOLACK</v>
          </cell>
        </row>
        <row r="2778">
          <cell r="A2778" t="str">
            <v>DBL_2206</v>
          </cell>
          <cell r="S2778" t="str">
            <v>TOUBA02</v>
          </cell>
          <cell r="T2778" t="str">
            <v>THIES</v>
          </cell>
        </row>
        <row r="2779">
          <cell r="A2779" t="str">
            <v>DBL_2207</v>
          </cell>
          <cell r="S2779" t="str">
            <v>KOUNGHEUL</v>
          </cell>
          <cell r="T2779" t="str">
            <v>TAMBACOUNDA</v>
          </cell>
        </row>
        <row r="2780">
          <cell r="A2780" t="str">
            <v>STL_2208</v>
          </cell>
          <cell r="S2780" t="str">
            <v>SAINT-LOUIS</v>
          </cell>
          <cell r="T2780" t="str">
            <v>SAINT-LOUIS</v>
          </cell>
        </row>
        <row r="2781">
          <cell r="A2781" t="str">
            <v>THS_2746</v>
          </cell>
          <cell r="S2781" t="str">
            <v>MBOUR</v>
          </cell>
          <cell r="T2781" t="str">
            <v>THIES</v>
          </cell>
        </row>
        <row r="2782">
          <cell r="A2782" t="str">
            <v>BKL_2209</v>
          </cell>
          <cell r="S2782" t="str">
            <v>GOUDIRY</v>
          </cell>
          <cell r="T2782" t="str">
            <v>TAMBACOUNDA</v>
          </cell>
        </row>
        <row r="2783">
          <cell r="A2783" t="str">
            <v>TMB_2210</v>
          </cell>
          <cell r="S2783" t="str">
            <v>GOUDIRY</v>
          </cell>
          <cell r="T2783" t="str">
            <v>TAMBACOUNDA</v>
          </cell>
        </row>
        <row r="2784">
          <cell r="A2784" t="str">
            <v>STL_2766</v>
          </cell>
          <cell r="S2784" t="str">
            <v>LOUGA</v>
          </cell>
          <cell r="T2784" t="str">
            <v>SAINT-LOUIS</v>
          </cell>
        </row>
        <row r="2785">
          <cell r="A2785" t="str">
            <v>DKR_2211</v>
          </cell>
          <cell r="S2785" t="str">
            <v>GUEDIAWAYE</v>
          </cell>
          <cell r="T2785" t="str">
            <v>DAKAR</v>
          </cell>
        </row>
        <row r="2786">
          <cell r="A2786" t="str">
            <v>DKR_2212</v>
          </cell>
          <cell r="S2786" t="str">
            <v>GUEDIAWAYE</v>
          </cell>
          <cell r="T2786" t="str">
            <v>DAKAR</v>
          </cell>
        </row>
        <row r="2787">
          <cell r="A2787" t="str">
            <v>DKR_2213</v>
          </cell>
          <cell r="S2787" t="str">
            <v>GUEDIAWAYE</v>
          </cell>
          <cell r="T2787" t="str">
            <v>DAKAR</v>
          </cell>
        </row>
        <row r="2788">
          <cell r="A2788" t="str">
            <v>DKR_2214</v>
          </cell>
          <cell r="S2788" t="str">
            <v>GUEDIAWAYE</v>
          </cell>
          <cell r="T2788" t="str">
            <v>DAKAR</v>
          </cell>
        </row>
        <row r="2789">
          <cell r="A2789" t="str">
            <v>DKR_2633</v>
          </cell>
          <cell r="S2789" t="str">
            <v>GUEDIAWAYE</v>
          </cell>
          <cell r="T2789" t="str">
            <v>DAKAR</v>
          </cell>
        </row>
        <row r="2790">
          <cell r="A2790" t="str">
            <v>DKR_2634</v>
          </cell>
          <cell r="S2790" t="str">
            <v>GUEDIAWAYE</v>
          </cell>
          <cell r="T2790" t="str">
            <v>DAKAR</v>
          </cell>
        </row>
        <row r="2791">
          <cell r="A2791" t="str">
            <v>DKR_2215</v>
          </cell>
          <cell r="S2791" t="str">
            <v>GUEDIAWAYE</v>
          </cell>
          <cell r="T2791" t="str">
            <v>DAKAR</v>
          </cell>
        </row>
        <row r="2792">
          <cell r="A2792" t="str">
            <v>DKR_2755</v>
          </cell>
          <cell r="S2792" t="str">
            <v>GUEDIAWAYE</v>
          </cell>
          <cell r="T2792" t="str">
            <v>DAKAR</v>
          </cell>
        </row>
        <row r="2793">
          <cell r="A2793" t="str">
            <v>DKR_2741</v>
          </cell>
          <cell r="S2793" t="str">
            <v>GUEDIAWAYE</v>
          </cell>
          <cell r="T2793" t="str">
            <v>DAKAR</v>
          </cell>
        </row>
        <row r="2794">
          <cell r="A2794" t="str">
            <v>TMB_2216</v>
          </cell>
          <cell r="S2794" t="str">
            <v>TAMBA</v>
          </cell>
          <cell r="T2794" t="str">
            <v>TAMBACOUNDA</v>
          </cell>
        </row>
        <row r="2795">
          <cell r="A2795" t="str">
            <v>TMB_2217</v>
          </cell>
          <cell r="S2795" t="str">
            <v>TAMBA</v>
          </cell>
          <cell r="T2795" t="str">
            <v>TAMBACOUNDA</v>
          </cell>
        </row>
        <row r="2796">
          <cell r="A2796" t="str">
            <v>TMB_2218</v>
          </cell>
          <cell r="S2796" t="str">
            <v>TAMBA</v>
          </cell>
          <cell r="T2796" t="str">
            <v>TAMBACOUNDA</v>
          </cell>
        </row>
        <row r="2797">
          <cell r="A2797" t="str">
            <v>TMB_2219</v>
          </cell>
          <cell r="S2797" t="str">
            <v>TAMBA</v>
          </cell>
          <cell r="T2797" t="str">
            <v>TAMBACOUNDA</v>
          </cell>
        </row>
        <row r="2798">
          <cell r="A2798" t="str">
            <v>TMB_2220</v>
          </cell>
          <cell r="S2798" t="str">
            <v>TAMBA</v>
          </cell>
          <cell r="T2798" t="str">
            <v>TAMBACOUNDA</v>
          </cell>
        </row>
        <row r="2799">
          <cell r="A2799" t="str">
            <v>TMB_2221</v>
          </cell>
          <cell r="S2799" t="str">
            <v>TAMBA</v>
          </cell>
          <cell r="T2799" t="str">
            <v>TAMBACOUNDA</v>
          </cell>
        </row>
        <row r="2800">
          <cell r="A2800" t="str">
            <v>TMB_2222</v>
          </cell>
          <cell r="S2800" t="str">
            <v>TAMBA</v>
          </cell>
          <cell r="T2800" t="str">
            <v>TAMBACOUNDA</v>
          </cell>
        </row>
        <row r="2801">
          <cell r="A2801" t="str">
            <v>TMB_2223</v>
          </cell>
          <cell r="S2801" t="str">
            <v>TAMBA</v>
          </cell>
          <cell r="T2801" t="str">
            <v>TAMBACOUNDA</v>
          </cell>
        </row>
        <row r="2802">
          <cell r="A2802" t="str">
            <v>TMB_2224</v>
          </cell>
          <cell r="S2802" t="str">
            <v>TAMBA</v>
          </cell>
          <cell r="T2802" t="str">
            <v>TAMBACOUNDA</v>
          </cell>
        </row>
        <row r="2803">
          <cell r="A2803" t="str">
            <v>TMB_2225</v>
          </cell>
          <cell r="S2803" t="str">
            <v>TAMBA</v>
          </cell>
          <cell r="T2803" t="str">
            <v>TAMBACOUNDA</v>
          </cell>
        </row>
        <row r="2804">
          <cell r="A2804" t="str">
            <v>TMB_2226</v>
          </cell>
          <cell r="S2804" t="str">
            <v>TAMBA</v>
          </cell>
          <cell r="T2804" t="str">
            <v>TAMBACOUNDA</v>
          </cell>
        </row>
        <row r="2805">
          <cell r="A2805" t="str">
            <v>TMB_2227</v>
          </cell>
          <cell r="S2805" t="str">
            <v>TAMBA</v>
          </cell>
          <cell r="T2805" t="str">
            <v>TAMBACOUNDA</v>
          </cell>
        </row>
        <row r="2806">
          <cell r="A2806" t="str">
            <v>TMB_2228</v>
          </cell>
          <cell r="S2806" t="str">
            <v>TAMBA</v>
          </cell>
          <cell r="T2806" t="str">
            <v>TAMBACOUNDA</v>
          </cell>
        </row>
        <row r="2807">
          <cell r="A2807" t="str">
            <v>TMB_2229</v>
          </cell>
          <cell r="S2807" t="str">
            <v>TAMBA</v>
          </cell>
          <cell r="T2807" t="str">
            <v>TAMBACOUNDA</v>
          </cell>
        </row>
        <row r="2808">
          <cell r="A2808" t="str">
            <v>TMB_2230</v>
          </cell>
          <cell r="S2808" t="str">
            <v>TAMBA</v>
          </cell>
          <cell r="T2808" t="str">
            <v>TAMBACOUNDA</v>
          </cell>
        </row>
        <row r="2809">
          <cell r="A2809" t="str">
            <v>TMB_2231</v>
          </cell>
          <cell r="S2809" t="str">
            <v>TAMBA</v>
          </cell>
          <cell r="T2809" t="str">
            <v>TAMBACOUNDA</v>
          </cell>
        </row>
        <row r="2810">
          <cell r="A2810" t="str">
            <v>TMB_2726</v>
          </cell>
          <cell r="S2810" t="str">
            <v>TAMBACOUNDA</v>
          </cell>
          <cell r="T2810" t="str">
            <v>TAMBACOUNDA</v>
          </cell>
        </row>
        <row r="2811">
          <cell r="A2811" t="str">
            <v>TMB_2232</v>
          </cell>
          <cell r="S2811" t="str">
            <v>TAMBA</v>
          </cell>
          <cell r="T2811" t="str">
            <v>TAMBACOUNDA</v>
          </cell>
        </row>
        <row r="2812">
          <cell r="A2812" t="str">
            <v>TMB_2233</v>
          </cell>
          <cell r="S2812" t="str">
            <v>TAMBA</v>
          </cell>
          <cell r="T2812" t="str">
            <v>TAMBACOUNDA</v>
          </cell>
        </row>
        <row r="2813">
          <cell r="A2813" t="str">
            <v>TMB_2234</v>
          </cell>
          <cell r="S2813" t="str">
            <v>TAMBA</v>
          </cell>
          <cell r="T2813" t="str">
            <v>TAMBACOUNDA</v>
          </cell>
        </row>
        <row r="2814">
          <cell r="A2814" t="str">
            <v>TMB_2723</v>
          </cell>
          <cell r="S2814" t="str">
            <v>TAMBA</v>
          </cell>
          <cell r="T2814" t="str">
            <v>TAMBACOUNDA</v>
          </cell>
        </row>
        <row r="2815">
          <cell r="A2815" t="str">
            <v>TMB_2761</v>
          </cell>
          <cell r="S2815" t="str">
            <v>TAMBACOUNDA</v>
          </cell>
          <cell r="T2815" t="str">
            <v>TAMBACOUNDA</v>
          </cell>
        </row>
        <row r="2816">
          <cell r="A2816" t="str">
            <v>ZIG_2235</v>
          </cell>
          <cell r="S2816" t="str">
            <v>ZIGUINCHOR</v>
          </cell>
          <cell r="T2816" t="str">
            <v>ZIGUINCHOR</v>
          </cell>
        </row>
        <row r="2817">
          <cell r="A2817" t="str">
            <v>KLD_2236</v>
          </cell>
          <cell r="S2817" t="str">
            <v>KOLDA</v>
          </cell>
          <cell r="T2817" t="str">
            <v>ZIGUINCHOR</v>
          </cell>
        </row>
        <row r="2818">
          <cell r="A2818" t="str">
            <v>KLD_2237</v>
          </cell>
          <cell r="S2818" t="str">
            <v>KOLDA</v>
          </cell>
          <cell r="T2818" t="str">
            <v>ZIGUINCHOR</v>
          </cell>
        </row>
        <row r="2819">
          <cell r="A2819" t="str">
            <v>KLD_2739</v>
          </cell>
          <cell r="S2819" t="str">
            <v>KOLDA</v>
          </cell>
          <cell r="T2819" t="str">
            <v>ZIGUINCHOR</v>
          </cell>
        </row>
        <row r="2820">
          <cell r="A2820" t="str">
            <v>NDM_2238</v>
          </cell>
          <cell r="S2820" t="str">
            <v>NDIOUM</v>
          </cell>
          <cell r="T2820" t="str">
            <v>SAINT-LOUIS</v>
          </cell>
        </row>
        <row r="2821">
          <cell r="A2821" t="str">
            <v>THS_2239</v>
          </cell>
          <cell r="S2821" t="str">
            <v>THIES</v>
          </cell>
          <cell r="T2821" t="str">
            <v>THIES</v>
          </cell>
        </row>
        <row r="2822">
          <cell r="A2822" t="str">
            <v>MBR_2240</v>
          </cell>
          <cell r="S2822" t="str">
            <v>FATICK</v>
          </cell>
          <cell r="T2822" t="str">
            <v>KAOLACK</v>
          </cell>
        </row>
        <row r="2823">
          <cell r="A2823" t="str">
            <v>MBR_2241</v>
          </cell>
          <cell r="S2823" t="str">
            <v>MBOUR</v>
          </cell>
          <cell r="T2823" t="str">
            <v>KAOLACK</v>
          </cell>
        </row>
        <row r="2824">
          <cell r="A2824" t="str">
            <v>NDM_2242</v>
          </cell>
          <cell r="S2824" t="str">
            <v>NDIOUM</v>
          </cell>
          <cell r="T2824" t="str">
            <v>SAINT-LOUIS</v>
          </cell>
        </row>
        <row r="2825">
          <cell r="A2825" t="str">
            <v>DBL_2730</v>
          </cell>
          <cell r="S2825" t="str">
            <v>DIOURBEL</v>
          </cell>
          <cell r="T2825" t="str">
            <v>THIES</v>
          </cell>
        </row>
        <row r="2826">
          <cell r="A2826" t="str">
            <v>DBL_2243</v>
          </cell>
          <cell r="S2826" t="str">
            <v>DIOURBEL</v>
          </cell>
          <cell r="T2826" t="str">
            <v>THIES</v>
          </cell>
        </row>
        <row r="2827">
          <cell r="A2827" t="str">
            <v>KLK_2806</v>
          </cell>
          <cell r="S2827" t="str">
            <v>KAFFRINE</v>
          </cell>
          <cell r="T2827" t="str">
            <v>KAOLACK</v>
          </cell>
        </row>
        <row r="2828">
          <cell r="A2828" t="str">
            <v>STL_2767</v>
          </cell>
          <cell r="S2828" t="str">
            <v>LOUGA</v>
          </cell>
          <cell r="T2828" t="str">
            <v>SAINT-LOUIS</v>
          </cell>
        </row>
        <row r="2829">
          <cell r="A2829" t="str">
            <v>STL_2768</v>
          </cell>
          <cell r="S2829" t="str">
            <v>LOUGA</v>
          </cell>
          <cell r="T2829" t="str">
            <v>SAINT-LOUIS</v>
          </cell>
        </row>
        <row r="2830">
          <cell r="A2830" t="str">
            <v>ORG_2561</v>
          </cell>
          <cell r="S2830" t="str">
            <v>MATAM</v>
          </cell>
          <cell r="T2830" t="str">
            <v>SAINT-LOUIS</v>
          </cell>
        </row>
        <row r="2831">
          <cell r="A2831" t="str">
            <v>DBL_2244</v>
          </cell>
          <cell r="S2831" t="str">
            <v>FATICK</v>
          </cell>
          <cell r="T2831" t="str">
            <v>KAOLACK</v>
          </cell>
        </row>
        <row r="2832">
          <cell r="A2832" t="str">
            <v>THS_2245</v>
          </cell>
          <cell r="S2832" t="str">
            <v>TIVAOUANE</v>
          </cell>
          <cell r="T2832" t="str">
            <v>THIES</v>
          </cell>
        </row>
        <row r="2833">
          <cell r="A2833" t="str">
            <v>KLD_2753</v>
          </cell>
          <cell r="S2833" t="str">
            <v>KOLDA</v>
          </cell>
          <cell r="T2833" t="str">
            <v>ZIGUINCHOR</v>
          </cell>
        </row>
        <row r="2834">
          <cell r="A2834" t="str">
            <v>ZIG_2246</v>
          </cell>
          <cell r="S2834" t="str">
            <v>ZIGUINCHOR</v>
          </cell>
          <cell r="T2834" t="str">
            <v>ZIGUINCHOR</v>
          </cell>
        </row>
        <row r="2835">
          <cell r="A2835" t="str">
            <v>ZIG_2247</v>
          </cell>
          <cell r="S2835" t="str">
            <v>ZIGUINCHOR</v>
          </cell>
          <cell r="T2835" t="str">
            <v>ZIGUINCHOR</v>
          </cell>
        </row>
        <row r="2836">
          <cell r="A2836" t="str">
            <v>ZIG_2248</v>
          </cell>
          <cell r="S2836" t="str">
            <v>ZIGUINCHOR</v>
          </cell>
          <cell r="T2836" t="str">
            <v>ZIGUINCHOR</v>
          </cell>
        </row>
        <row r="2837">
          <cell r="A2837" t="str">
            <v>MBR_2249</v>
          </cell>
          <cell r="S2837" t="str">
            <v>MBOUR</v>
          </cell>
          <cell r="T2837" t="str">
            <v>THIES</v>
          </cell>
        </row>
        <row r="2838">
          <cell r="A2838" t="str">
            <v>KDG_2705</v>
          </cell>
          <cell r="S2838" t="str">
            <v>KEDOUGOU</v>
          </cell>
          <cell r="T2838" t="str">
            <v>TAMBACOUNDA</v>
          </cell>
        </row>
        <row r="2839">
          <cell r="A2839" t="str">
            <v>KDG_2699</v>
          </cell>
          <cell r="S2839" t="str">
            <v>KEDOUGOU</v>
          </cell>
          <cell r="T2839" t="str">
            <v>TAMBACOUNDA</v>
          </cell>
        </row>
        <row r="2840">
          <cell r="A2840" t="str">
            <v>THS_2250</v>
          </cell>
          <cell r="S2840" t="str">
            <v>THIES</v>
          </cell>
          <cell r="T2840" t="str">
            <v>THIES</v>
          </cell>
        </row>
        <row r="2841">
          <cell r="A2841" t="str">
            <v>DKR_2251</v>
          </cell>
          <cell r="S2841" t="str">
            <v>THIAROYE</v>
          </cell>
          <cell r="T2841" t="str">
            <v>DAKAR</v>
          </cell>
        </row>
        <row r="2842">
          <cell r="A2842" t="str">
            <v>DKR_2252</v>
          </cell>
          <cell r="S2842" t="str">
            <v>GUEDIAWAYE</v>
          </cell>
          <cell r="T2842" t="str">
            <v>DAKAR</v>
          </cell>
        </row>
        <row r="2843">
          <cell r="A2843" t="str">
            <v>DKR_2804</v>
          </cell>
          <cell r="S2843" t="str">
            <v>GUEDIAWAYE</v>
          </cell>
          <cell r="T2843" t="str">
            <v>DAKAR</v>
          </cell>
        </row>
        <row r="2844">
          <cell r="A2844" t="str">
            <v>THS_2253</v>
          </cell>
          <cell r="S2844" t="str">
            <v>TIVAOUANE</v>
          </cell>
          <cell r="T2844" t="str">
            <v>THIES</v>
          </cell>
        </row>
        <row r="2845">
          <cell r="A2845" t="str">
            <v>DKR_2254</v>
          </cell>
          <cell r="S2845" t="str">
            <v>MEDINA</v>
          </cell>
          <cell r="T2845" t="str">
            <v>DAKAR</v>
          </cell>
        </row>
        <row r="2846">
          <cell r="A2846" t="str">
            <v>DBL_2256</v>
          </cell>
          <cell r="S2846" t="str">
            <v>LINGUERE</v>
          </cell>
          <cell r="T2846" t="str">
            <v>THIES</v>
          </cell>
        </row>
        <row r="2847">
          <cell r="A2847" t="str">
            <v>ZIG_2257</v>
          </cell>
          <cell r="S2847" t="str">
            <v>ZIGUINCHOR</v>
          </cell>
          <cell r="T2847" t="str">
            <v>ZIGUINCHOR</v>
          </cell>
        </row>
        <row r="2848">
          <cell r="A2848" t="str">
            <v>KLK_2836</v>
          </cell>
          <cell r="S2848" t="str">
            <v>FATICK</v>
          </cell>
          <cell r="T2848" t="str">
            <v>KAOLACK</v>
          </cell>
        </row>
        <row r="2849">
          <cell r="A2849" t="str">
            <v>KDG_2258</v>
          </cell>
          <cell r="S2849" t="str">
            <v>KEDOUGOU</v>
          </cell>
          <cell r="T2849" t="str">
            <v>TAMBACOUNDA</v>
          </cell>
        </row>
        <row r="2850">
          <cell r="A2850" t="str">
            <v>MBR_2259</v>
          </cell>
          <cell r="S2850" t="str">
            <v>MBOUR</v>
          </cell>
          <cell r="T2850" t="str">
            <v>THIES</v>
          </cell>
        </row>
        <row r="2851">
          <cell r="A2851" t="str">
            <v>BKL_2261</v>
          </cell>
          <cell r="S2851" t="str">
            <v>BAKEL</v>
          </cell>
          <cell r="T2851" t="str">
            <v>SAINT-LOUIS</v>
          </cell>
        </row>
        <row r="2852">
          <cell r="A2852" t="str">
            <v>STL_2262</v>
          </cell>
          <cell r="S2852" t="str">
            <v>SAINT-LOUIS</v>
          </cell>
          <cell r="T2852" t="str">
            <v>SAINT-LOUIS</v>
          </cell>
        </row>
        <row r="2853">
          <cell r="A2853" t="str">
            <v>KLK_2263</v>
          </cell>
          <cell r="S2853" t="str">
            <v>KAOLACK</v>
          </cell>
          <cell r="T2853" t="str">
            <v>KAOLACK</v>
          </cell>
        </row>
        <row r="2854">
          <cell r="A2854" t="str">
            <v>DBL_2802</v>
          </cell>
          <cell r="S2854" t="str">
            <v>DIOURBEL</v>
          </cell>
          <cell r="T2854" t="str">
            <v>THIES</v>
          </cell>
        </row>
        <row r="2855">
          <cell r="A2855" t="str">
            <v>ORG_2264</v>
          </cell>
          <cell r="S2855" t="str">
            <v>MATAM</v>
          </cell>
          <cell r="T2855" t="str">
            <v>SAINT-LOUIS</v>
          </cell>
        </row>
        <row r="2856">
          <cell r="A2856" t="str">
            <v>KLK_2265</v>
          </cell>
          <cell r="S2856" t="str">
            <v>KAFFRINE</v>
          </cell>
          <cell r="T2856" t="str">
            <v>KAOLACK</v>
          </cell>
        </row>
        <row r="2857">
          <cell r="A2857" t="str">
            <v>STL_2266</v>
          </cell>
          <cell r="S2857" t="str">
            <v>LOUGA</v>
          </cell>
          <cell r="T2857" t="str">
            <v>SAINT-LOUIS</v>
          </cell>
        </row>
        <row r="2858">
          <cell r="A2858" t="str">
            <v>STL_2790</v>
          </cell>
          <cell r="S2858" t="str">
            <v>MATAM</v>
          </cell>
          <cell r="T2858" t="str">
            <v>SAINT-LOUIS</v>
          </cell>
        </row>
        <row r="2859">
          <cell r="A2859" t="str">
            <v>STL_2791</v>
          </cell>
          <cell r="S2859" t="str">
            <v>MATAM</v>
          </cell>
          <cell r="T2859" t="str">
            <v>SAINT-LOUIS</v>
          </cell>
        </row>
        <row r="2860">
          <cell r="A2860" t="str">
            <v>KDG_2267</v>
          </cell>
          <cell r="S2860" t="str">
            <v>KEDOUGOU</v>
          </cell>
          <cell r="T2860" t="str">
            <v>TAMBACOUNDA</v>
          </cell>
        </row>
        <row r="2861">
          <cell r="A2861" t="str">
            <v>KLD_2268</v>
          </cell>
          <cell r="S2861" t="str">
            <v>VELINGARA</v>
          </cell>
          <cell r="T2861" t="str">
            <v>ZIGUINCHOR</v>
          </cell>
        </row>
        <row r="2862">
          <cell r="A2862" t="str">
            <v>KLK_2269</v>
          </cell>
          <cell r="S2862" t="str">
            <v>KAOLACK</v>
          </cell>
          <cell r="T2862" t="str">
            <v>KAOLACK</v>
          </cell>
        </row>
        <row r="2863">
          <cell r="A2863" t="str">
            <v>DBL_2270</v>
          </cell>
          <cell r="S2863" t="str">
            <v>DIOURBEL</v>
          </cell>
          <cell r="T2863" t="str">
            <v>THIES</v>
          </cell>
        </row>
        <row r="2864">
          <cell r="A2864" t="str">
            <v>KLK_2839</v>
          </cell>
          <cell r="S2864" t="str">
            <v>KAOLACK</v>
          </cell>
          <cell r="T2864" t="str">
            <v>KAOLACK</v>
          </cell>
        </row>
        <row r="2865">
          <cell r="A2865" t="str">
            <v>KLK_2793</v>
          </cell>
          <cell r="S2865" t="str">
            <v>SOKONE</v>
          </cell>
          <cell r="T2865" t="str">
            <v>KAOLACK</v>
          </cell>
        </row>
        <row r="2866">
          <cell r="A2866" t="str">
            <v>DBL_2271</v>
          </cell>
          <cell r="S2866" t="str">
            <v>LINGUERE</v>
          </cell>
          <cell r="T2866" t="str">
            <v>THIES</v>
          </cell>
        </row>
        <row r="2867">
          <cell r="A2867" t="str">
            <v>DKR_2272</v>
          </cell>
          <cell r="S2867" t="str">
            <v>SACRE_COEUR</v>
          </cell>
          <cell r="T2867" t="str">
            <v>DAKAR</v>
          </cell>
        </row>
        <row r="2868">
          <cell r="A2868" t="str">
            <v>DKR_2273</v>
          </cell>
          <cell r="S2868" t="str">
            <v>THIAROYE</v>
          </cell>
          <cell r="T2868" t="str">
            <v>DAKAR</v>
          </cell>
        </row>
        <row r="2869">
          <cell r="A2869" t="str">
            <v>DKR_2274</v>
          </cell>
          <cell r="S2869" t="str">
            <v>MBOUR</v>
          </cell>
          <cell r="T2869" t="str">
            <v>DAKAR</v>
          </cell>
        </row>
        <row r="2870">
          <cell r="A2870" t="str">
            <v>DKR_2275</v>
          </cell>
          <cell r="S2870" t="str">
            <v>THIAROYE</v>
          </cell>
          <cell r="T2870" t="str">
            <v>DAKAR</v>
          </cell>
        </row>
        <row r="2871">
          <cell r="A2871" t="str">
            <v>DKR_2276</v>
          </cell>
          <cell r="S2871" t="str">
            <v>THIAROYE</v>
          </cell>
          <cell r="T2871" t="str">
            <v>DAKAR</v>
          </cell>
        </row>
        <row r="2872">
          <cell r="A2872" t="str">
            <v>DKR_2277</v>
          </cell>
          <cell r="S2872" t="str">
            <v>THIAROYE</v>
          </cell>
          <cell r="T2872" t="str">
            <v>DAKAR</v>
          </cell>
        </row>
        <row r="2873">
          <cell r="A2873" t="str">
            <v>DKR_2278</v>
          </cell>
          <cell r="S2873" t="str">
            <v>THIAROYE</v>
          </cell>
          <cell r="T2873" t="str">
            <v>DAKAR</v>
          </cell>
        </row>
        <row r="2874">
          <cell r="A2874" t="str">
            <v>DKR_2279</v>
          </cell>
          <cell r="S2874" t="str">
            <v>THIAROYE</v>
          </cell>
          <cell r="T2874" t="str">
            <v>DAKAR</v>
          </cell>
        </row>
        <row r="2875">
          <cell r="A2875" t="str">
            <v>DKR_2280</v>
          </cell>
          <cell r="S2875" t="str">
            <v>THIAROYE</v>
          </cell>
          <cell r="T2875" t="str">
            <v>DAKAR</v>
          </cell>
        </row>
        <row r="2876">
          <cell r="A2876" t="str">
            <v>DKR_2281</v>
          </cell>
          <cell r="S2876" t="str">
            <v>THIAROYE</v>
          </cell>
          <cell r="T2876" t="str">
            <v>DAKAR</v>
          </cell>
        </row>
        <row r="2877">
          <cell r="A2877" t="str">
            <v>DKR_2282</v>
          </cell>
          <cell r="S2877" t="str">
            <v>THIAROYE</v>
          </cell>
          <cell r="T2877" t="str">
            <v>DAKAR</v>
          </cell>
        </row>
        <row r="2878">
          <cell r="A2878" t="str">
            <v>DKR_2283</v>
          </cell>
          <cell r="S2878" t="str">
            <v>THIAROYE</v>
          </cell>
          <cell r="T2878" t="str">
            <v>DAKAR</v>
          </cell>
        </row>
        <row r="2879">
          <cell r="A2879" t="str">
            <v>DKR_2284</v>
          </cell>
          <cell r="S2879" t="str">
            <v>THIAROYE</v>
          </cell>
          <cell r="T2879" t="str">
            <v>DAKAR</v>
          </cell>
        </row>
        <row r="2880">
          <cell r="A2880" t="str">
            <v>DKR_2285</v>
          </cell>
          <cell r="S2880" t="str">
            <v>THIAROYE</v>
          </cell>
          <cell r="T2880" t="str">
            <v>DAKAR</v>
          </cell>
        </row>
        <row r="2881">
          <cell r="A2881" t="str">
            <v>DKR_2286</v>
          </cell>
          <cell r="S2881" t="str">
            <v>THIAROYE</v>
          </cell>
          <cell r="T2881" t="str">
            <v>DAKAR</v>
          </cell>
        </row>
        <row r="2882">
          <cell r="A2882" t="str">
            <v>DKR_2287</v>
          </cell>
          <cell r="S2882" t="str">
            <v>THIAROYE</v>
          </cell>
          <cell r="T2882" t="str">
            <v>DAKAR</v>
          </cell>
        </row>
        <row r="2883">
          <cell r="A2883" t="str">
            <v>DKR_2288</v>
          </cell>
          <cell r="S2883" t="str">
            <v>THIAROYE</v>
          </cell>
          <cell r="T2883" t="str">
            <v>DAKAR</v>
          </cell>
        </row>
        <row r="2884">
          <cell r="A2884" t="str">
            <v>DKR_2289</v>
          </cell>
          <cell r="S2884" t="str">
            <v>THIAROYE</v>
          </cell>
          <cell r="T2884" t="str">
            <v>DAKAR</v>
          </cell>
        </row>
        <row r="2885">
          <cell r="A2885" t="str">
            <v>DKR_2290</v>
          </cell>
          <cell r="S2885" t="str">
            <v>THIAROYE</v>
          </cell>
          <cell r="T2885" t="str">
            <v>DAKAR</v>
          </cell>
        </row>
        <row r="2886">
          <cell r="A2886" t="str">
            <v>KLK_2757</v>
          </cell>
          <cell r="S2886" t="str">
            <v>KAOLACK</v>
          </cell>
          <cell r="T2886" t="str">
            <v>KAOLACK</v>
          </cell>
        </row>
        <row r="2887">
          <cell r="A2887" t="str">
            <v>DBL_2291</v>
          </cell>
          <cell r="S2887" t="str">
            <v>DIOURBEL</v>
          </cell>
          <cell r="T2887" t="str">
            <v>THIES</v>
          </cell>
        </row>
        <row r="2888">
          <cell r="A2888" t="str">
            <v>KLK_2292</v>
          </cell>
          <cell r="S2888" t="str">
            <v>KAOLACK</v>
          </cell>
          <cell r="T2888" t="str">
            <v>KAOLACK</v>
          </cell>
        </row>
        <row r="2889">
          <cell r="A2889" t="str">
            <v>THS_2293</v>
          </cell>
          <cell r="S2889" t="str">
            <v>MBOUR</v>
          </cell>
          <cell r="T2889" t="str">
            <v>THIES</v>
          </cell>
        </row>
        <row r="2890">
          <cell r="A2890" t="str">
            <v>NDM_2294</v>
          </cell>
          <cell r="S2890" t="str">
            <v>NDIOUM</v>
          </cell>
          <cell r="T2890" t="str">
            <v>SAINT-LOUIS</v>
          </cell>
        </row>
        <row r="2891">
          <cell r="A2891" t="str">
            <v>DBL_2295</v>
          </cell>
          <cell r="S2891" t="str">
            <v>TOUBA02</v>
          </cell>
          <cell r="T2891" t="str">
            <v>THIES</v>
          </cell>
        </row>
        <row r="2892">
          <cell r="A2892" t="str">
            <v>ORG_2296</v>
          </cell>
          <cell r="S2892" t="str">
            <v>MATAM</v>
          </cell>
          <cell r="T2892" t="str">
            <v>SAINT-LOUIS</v>
          </cell>
        </row>
        <row r="2893">
          <cell r="A2893" t="str">
            <v>THS_2297</v>
          </cell>
          <cell r="S2893" t="str">
            <v>THIES</v>
          </cell>
          <cell r="T2893" t="str">
            <v>THIES</v>
          </cell>
        </row>
        <row r="2894">
          <cell r="A2894" t="str">
            <v>DBL_2298</v>
          </cell>
          <cell r="S2894" t="str">
            <v>KAOLACK</v>
          </cell>
          <cell r="T2894" t="str">
            <v>KAOLACK</v>
          </cell>
        </row>
        <row r="2895">
          <cell r="A2895" t="str">
            <v>MBR_2299</v>
          </cell>
          <cell r="S2895" t="str">
            <v>THIES</v>
          </cell>
          <cell r="T2895" t="str">
            <v>THIES</v>
          </cell>
        </row>
        <row r="2896">
          <cell r="A2896" t="str">
            <v>STL_2816</v>
          </cell>
          <cell r="S2896" t="str">
            <v>LOUGA</v>
          </cell>
          <cell r="T2896" t="str">
            <v>SAINT-LOUIS</v>
          </cell>
        </row>
        <row r="2897">
          <cell r="A2897" t="str">
            <v>THS_2735</v>
          </cell>
          <cell r="S2897" t="str">
            <v>THIES</v>
          </cell>
          <cell r="T2897" t="str">
            <v>THIES</v>
          </cell>
        </row>
        <row r="2898">
          <cell r="A2898" t="str">
            <v>DBL_2300</v>
          </cell>
          <cell r="S2898" t="str">
            <v>DIOURBEL</v>
          </cell>
          <cell r="T2898" t="str">
            <v>THIES</v>
          </cell>
        </row>
        <row r="2899">
          <cell r="A2899" t="str">
            <v>DBL_2301</v>
          </cell>
          <cell r="S2899" t="str">
            <v>DIOURBEL</v>
          </cell>
          <cell r="T2899" t="str">
            <v>THIES</v>
          </cell>
        </row>
        <row r="2900">
          <cell r="A2900" t="str">
            <v>THS_2302</v>
          </cell>
          <cell r="S2900" t="str">
            <v>THIES</v>
          </cell>
          <cell r="T2900" t="str">
            <v>THIES</v>
          </cell>
        </row>
        <row r="2901">
          <cell r="A2901" t="str">
            <v>STL_2303</v>
          </cell>
          <cell r="S2901" t="str">
            <v>LOUGA</v>
          </cell>
          <cell r="T2901" t="str">
            <v>SAINT-LOUIS</v>
          </cell>
        </row>
        <row r="2902">
          <cell r="A2902" t="str">
            <v>DBL_2304</v>
          </cell>
          <cell r="S2902" t="str">
            <v>DIOURBEL</v>
          </cell>
          <cell r="T2902" t="str">
            <v>THIES</v>
          </cell>
        </row>
        <row r="2903">
          <cell r="A2903" t="str">
            <v>KLD_2305</v>
          </cell>
          <cell r="S2903" t="str">
            <v>KOLDA</v>
          </cell>
          <cell r="T2903" t="str">
            <v>ZIGUINCHOR</v>
          </cell>
        </row>
        <row r="2904">
          <cell r="A2904" t="str">
            <v>THS_2820</v>
          </cell>
          <cell r="S2904" t="str">
            <v>THIES</v>
          </cell>
          <cell r="T2904" t="str">
            <v>THIES</v>
          </cell>
        </row>
        <row r="2905">
          <cell r="A2905" t="str">
            <v>NDM_2306</v>
          </cell>
          <cell r="S2905" t="str">
            <v>NDIOUM</v>
          </cell>
          <cell r="T2905" t="str">
            <v>SAINT-LOUIS</v>
          </cell>
        </row>
        <row r="2906">
          <cell r="A2906" t="str">
            <v>STL_2773</v>
          </cell>
          <cell r="S2906" t="str">
            <v>LOUGA</v>
          </cell>
          <cell r="T2906" t="str">
            <v>SAINT-LOUIS</v>
          </cell>
        </row>
        <row r="2907">
          <cell r="A2907" t="str">
            <v>NDM_2307</v>
          </cell>
          <cell r="S2907" t="str">
            <v>NDIOUM</v>
          </cell>
          <cell r="T2907" t="str">
            <v>SAINT-LOUIS</v>
          </cell>
        </row>
        <row r="2908">
          <cell r="A2908" t="str">
            <v>NDM_2308</v>
          </cell>
          <cell r="S2908" t="str">
            <v>NDIOUM</v>
          </cell>
          <cell r="T2908" t="str">
            <v>SAINT-LOUIS</v>
          </cell>
        </row>
        <row r="2909">
          <cell r="A2909" t="str">
            <v>STL_2309</v>
          </cell>
          <cell r="S2909" t="str">
            <v>SAINT-LOUIS</v>
          </cell>
          <cell r="T2909" t="str">
            <v>SAINT-LOUIS</v>
          </cell>
        </row>
        <row r="2910">
          <cell r="A2910" t="str">
            <v>KLK_2310</v>
          </cell>
          <cell r="S2910" t="str">
            <v>SOKONE</v>
          </cell>
          <cell r="T2910" t="str">
            <v>KAOLACK</v>
          </cell>
        </row>
        <row r="2911">
          <cell r="A2911" t="str">
            <v>THS_2311</v>
          </cell>
          <cell r="S2911" t="str">
            <v>TIVAOUANE</v>
          </cell>
          <cell r="T2911" t="str">
            <v>THIES</v>
          </cell>
        </row>
        <row r="2912">
          <cell r="A2912" t="str">
            <v>ORG_2312</v>
          </cell>
          <cell r="S2912" t="str">
            <v>MATAM</v>
          </cell>
          <cell r="T2912" t="str">
            <v>SAINT-LOUIS</v>
          </cell>
        </row>
        <row r="2913">
          <cell r="A2913" t="str">
            <v>ORG_2313</v>
          </cell>
          <cell r="S2913" t="str">
            <v>MATAM</v>
          </cell>
          <cell r="T2913" t="str">
            <v>SAINT-LOUIS</v>
          </cell>
        </row>
        <row r="2914">
          <cell r="A2914" t="str">
            <v>STL_2769</v>
          </cell>
          <cell r="S2914" t="str">
            <v>MATAM</v>
          </cell>
          <cell r="T2914" t="str">
            <v>SAINT-LOUIS</v>
          </cell>
        </row>
        <row r="2915">
          <cell r="A2915" t="str">
            <v>KLD_2314</v>
          </cell>
          <cell r="S2915" t="str">
            <v>KOLDA</v>
          </cell>
          <cell r="T2915" t="str">
            <v>ZIGUINCHOR</v>
          </cell>
        </row>
        <row r="2916">
          <cell r="A2916" t="str">
            <v>ZIG_2315</v>
          </cell>
          <cell r="S2916" t="str">
            <v>ZIGUINCHOR</v>
          </cell>
          <cell r="T2916" t="str">
            <v>ZIGUINCHOR</v>
          </cell>
        </row>
        <row r="2917">
          <cell r="A2917" t="str">
            <v>KLK_2819</v>
          </cell>
          <cell r="S2917" t="str">
            <v>KAOLACK</v>
          </cell>
          <cell r="T2917" t="str">
            <v>KAOLACK</v>
          </cell>
        </row>
        <row r="2918">
          <cell r="A2918" t="str">
            <v>DBL_2316</v>
          </cell>
          <cell r="S2918" t="str">
            <v>DIOURBEL</v>
          </cell>
          <cell r="T2918" t="str">
            <v>THIES</v>
          </cell>
        </row>
        <row r="2919">
          <cell r="A2919" t="str">
            <v>STL_2317</v>
          </cell>
          <cell r="S2919" t="str">
            <v>LOUGA</v>
          </cell>
          <cell r="T2919" t="str">
            <v>SAINT-LOUIS</v>
          </cell>
        </row>
        <row r="2920">
          <cell r="A2920" t="str">
            <v>DBL_2318</v>
          </cell>
          <cell r="S2920" t="str">
            <v>DIOURBEL</v>
          </cell>
          <cell r="T2920" t="str">
            <v>THIES</v>
          </cell>
        </row>
        <row r="2921">
          <cell r="A2921" t="str">
            <v>KLK_2319</v>
          </cell>
          <cell r="S2921" t="str">
            <v>FATICK</v>
          </cell>
          <cell r="T2921" t="str">
            <v>KAOLACK</v>
          </cell>
        </row>
        <row r="2922">
          <cell r="A2922" t="str">
            <v>KLD_2320</v>
          </cell>
          <cell r="S2922" t="str">
            <v>VELINGARA</v>
          </cell>
          <cell r="T2922" t="str">
            <v>ZIGUINCHOR</v>
          </cell>
        </row>
        <row r="2923">
          <cell r="A2923" t="str">
            <v>KLK_2753</v>
          </cell>
          <cell r="S2923" t="str">
            <v>KAFFRINE</v>
          </cell>
          <cell r="T2923" t="str">
            <v>KAOLACK</v>
          </cell>
        </row>
        <row r="2924">
          <cell r="A2924" t="str">
            <v>ZIG_2321</v>
          </cell>
          <cell r="S2924" t="str">
            <v>ZIGUINCHOR</v>
          </cell>
          <cell r="T2924" t="str">
            <v>ZIGUINCHOR</v>
          </cell>
        </row>
        <row r="2925">
          <cell r="A2925" t="str">
            <v>STL_2322</v>
          </cell>
          <cell r="S2925" t="str">
            <v>LOUGA</v>
          </cell>
          <cell r="T2925" t="str">
            <v>SAINT-LOUIS</v>
          </cell>
        </row>
        <row r="2926">
          <cell r="A2926" t="str">
            <v>DBL_2323</v>
          </cell>
          <cell r="S2926" t="str">
            <v>KOUNGHEUL</v>
          </cell>
          <cell r="T2926" t="str">
            <v>TAMBACOUNDA</v>
          </cell>
        </row>
        <row r="2927">
          <cell r="A2927" t="str">
            <v>DKR_2325</v>
          </cell>
          <cell r="S2927" t="str">
            <v>SACRE_COEUR</v>
          </cell>
          <cell r="T2927" t="str">
            <v>DAKAR</v>
          </cell>
        </row>
        <row r="2928">
          <cell r="A2928" t="str">
            <v>DKR_2326</v>
          </cell>
          <cell r="S2928" t="str">
            <v>SACRE_COEUR</v>
          </cell>
          <cell r="T2928" t="str">
            <v>DAKAR</v>
          </cell>
        </row>
        <row r="2929">
          <cell r="A2929" t="str">
            <v>DKR_2327</v>
          </cell>
          <cell r="S2929" t="str">
            <v>SACRE_COEUR</v>
          </cell>
          <cell r="T2929" t="str">
            <v>DAKAR</v>
          </cell>
        </row>
        <row r="2930">
          <cell r="A2930" t="str">
            <v>NDM_2328</v>
          </cell>
          <cell r="S2930" t="str">
            <v>NDIOUM</v>
          </cell>
          <cell r="T2930" t="str">
            <v>SAINT-LOUIS</v>
          </cell>
        </row>
        <row r="2931">
          <cell r="A2931" t="str">
            <v>KLD_2329</v>
          </cell>
          <cell r="S2931" t="str">
            <v>VELINGARA</v>
          </cell>
          <cell r="T2931" t="str">
            <v>ZIGUINCHOR</v>
          </cell>
        </row>
        <row r="2932">
          <cell r="A2932" t="str">
            <v>MBR_2330</v>
          </cell>
          <cell r="S2932" t="str">
            <v>FATICK</v>
          </cell>
          <cell r="T2932" t="str">
            <v>KAOLACK</v>
          </cell>
        </row>
        <row r="2933">
          <cell r="A2933" t="str">
            <v>KLD_2761</v>
          </cell>
          <cell r="S2933" t="str">
            <v>SEDHIOU</v>
          </cell>
          <cell r="T2933" t="str">
            <v>ZIGUINCHOR</v>
          </cell>
        </row>
        <row r="2934">
          <cell r="A2934" t="str">
            <v>THS_2331</v>
          </cell>
          <cell r="S2934" t="str">
            <v>THIES</v>
          </cell>
          <cell r="T2934" t="str">
            <v>THIES</v>
          </cell>
        </row>
        <row r="2935">
          <cell r="A2935" t="str">
            <v>THS_2332</v>
          </cell>
          <cell r="S2935" t="str">
            <v>THIES</v>
          </cell>
          <cell r="T2935" t="str">
            <v>THIES</v>
          </cell>
        </row>
        <row r="2936">
          <cell r="A2936" t="str">
            <v>THS_2333</v>
          </cell>
          <cell r="S2936" t="str">
            <v>THIES</v>
          </cell>
          <cell r="T2936" t="str">
            <v>THIES</v>
          </cell>
        </row>
        <row r="2937">
          <cell r="A2937" t="str">
            <v>THS_2334</v>
          </cell>
          <cell r="S2937" t="str">
            <v>THIES</v>
          </cell>
          <cell r="T2937" t="str">
            <v>THIES</v>
          </cell>
        </row>
        <row r="2938">
          <cell r="A2938" t="str">
            <v>THS_2335</v>
          </cell>
          <cell r="S2938" t="str">
            <v>THIES</v>
          </cell>
          <cell r="T2938" t="str">
            <v>THIES</v>
          </cell>
        </row>
        <row r="2939">
          <cell r="A2939" t="str">
            <v>THS_2336</v>
          </cell>
          <cell r="S2939" t="str">
            <v>THIES</v>
          </cell>
          <cell r="T2939" t="str">
            <v>THIES</v>
          </cell>
        </row>
        <row r="2940">
          <cell r="A2940" t="str">
            <v>THS_2337</v>
          </cell>
          <cell r="S2940" t="str">
            <v>THIES</v>
          </cell>
          <cell r="T2940" t="str">
            <v>THIES</v>
          </cell>
        </row>
        <row r="2941">
          <cell r="A2941" t="str">
            <v>THS_2338</v>
          </cell>
          <cell r="S2941" t="str">
            <v>THIES</v>
          </cell>
          <cell r="T2941" t="str">
            <v>THIES</v>
          </cell>
        </row>
        <row r="2942">
          <cell r="A2942" t="str">
            <v>THS_2339</v>
          </cell>
          <cell r="S2942" t="str">
            <v>THIES</v>
          </cell>
          <cell r="T2942" t="str">
            <v>THIES</v>
          </cell>
        </row>
        <row r="2943">
          <cell r="A2943" t="str">
            <v>THS_2340</v>
          </cell>
          <cell r="S2943" t="str">
            <v>THIES</v>
          </cell>
          <cell r="T2943" t="str">
            <v>THIES</v>
          </cell>
        </row>
        <row r="2944">
          <cell r="A2944" t="str">
            <v>THS_2341</v>
          </cell>
          <cell r="S2944" t="str">
            <v>THIES</v>
          </cell>
          <cell r="T2944" t="str">
            <v>THIES</v>
          </cell>
        </row>
        <row r="2945">
          <cell r="A2945" t="str">
            <v>THS_2342</v>
          </cell>
          <cell r="S2945" t="str">
            <v>THIES</v>
          </cell>
          <cell r="T2945" t="str">
            <v>THIES</v>
          </cell>
        </row>
        <row r="2946">
          <cell r="A2946" t="str">
            <v>THS_2343</v>
          </cell>
          <cell r="S2946" t="str">
            <v>THIES</v>
          </cell>
          <cell r="T2946" t="str">
            <v>THIES</v>
          </cell>
        </row>
        <row r="2947">
          <cell r="A2947" t="str">
            <v>THS_2344</v>
          </cell>
          <cell r="S2947" t="str">
            <v>THIES</v>
          </cell>
          <cell r="T2947" t="str">
            <v>THIES</v>
          </cell>
        </row>
        <row r="2948">
          <cell r="A2948" t="str">
            <v>THS_2345</v>
          </cell>
          <cell r="S2948" t="str">
            <v>THIES</v>
          </cell>
          <cell r="T2948" t="str">
            <v>THIES</v>
          </cell>
        </row>
        <row r="2949">
          <cell r="A2949" t="str">
            <v>THS_2346</v>
          </cell>
          <cell r="S2949" t="str">
            <v>THIES</v>
          </cell>
          <cell r="T2949" t="str">
            <v>THIES</v>
          </cell>
        </row>
        <row r="2950">
          <cell r="A2950" t="str">
            <v>THS_2347</v>
          </cell>
          <cell r="S2950" t="str">
            <v>THIES</v>
          </cell>
          <cell r="T2950" t="str">
            <v>THIES</v>
          </cell>
        </row>
        <row r="2951">
          <cell r="A2951" t="str">
            <v>THS_2348</v>
          </cell>
          <cell r="S2951" t="str">
            <v>THIES</v>
          </cell>
          <cell r="T2951" t="str">
            <v>THIES</v>
          </cell>
        </row>
        <row r="2952">
          <cell r="A2952" t="str">
            <v>THS_2349</v>
          </cell>
          <cell r="S2952" t="str">
            <v>THIES</v>
          </cell>
          <cell r="T2952" t="str">
            <v>THIES</v>
          </cell>
        </row>
        <row r="2953">
          <cell r="A2953" t="str">
            <v>THS_2350</v>
          </cell>
          <cell r="S2953" t="str">
            <v>THIES</v>
          </cell>
          <cell r="T2953" t="str">
            <v>THIES</v>
          </cell>
        </row>
        <row r="2954">
          <cell r="A2954" t="str">
            <v>THS_2351</v>
          </cell>
          <cell r="S2954" t="str">
            <v>THIES</v>
          </cell>
          <cell r="T2954" t="str">
            <v>THIES</v>
          </cell>
        </row>
        <row r="2955">
          <cell r="A2955" t="str">
            <v>THS_2352</v>
          </cell>
          <cell r="S2955" t="str">
            <v>THIES</v>
          </cell>
          <cell r="T2955" t="str">
            <v>THIES</v>
          </cell>
        </row>
        <row r="2956">
          <cell r="A2956" t="str">
            <v>THS_2353</v>
          </cell>
          <cell r="S2956" t="str">
            <v>THIES</v>
          </cell>
          <cell r="T2956" t="str">
            <v>THIES</v>
          </cell>
        </row>
        <row r="2957">
          <cell r="A2957" t="str">
            <v>THS_2354</v>
          </cell>
          <cell r="S2957" t="str">
            <v>THIES</v>
          </cell>
          <cell r="T2957" t="str">
            <v>THIES</v>
          </cell>
        </row>
        <row r="2958">
          <cell r="A2958" t="str">
            <v>THS_2355</v>
          </cell>
          <cell r="S2958" t="str">
            <v>THIES</v>
          </cell>
          <cell r="T2958" t="str">
            <v>THIES</v>
          </cell>
        </row>
        <row r="2959">
          <cell r="A2959" t="str">
            <v>THS_2356</v>
          </cell>
          <cell r="S2959" t="str">
            <v>THIES</v>
          </cell>
          <cell r="T2959" t="str">
            <v>THIES</v>
          </cell>
        </row>
        <row r="2960">
          <cell r="A2960" t="str">
            <v>THS_2357</v>
          </cell>
          <cell r="S2960" t="str">
            <v>THIES</v>
          </cell>
          <cell r="T2960" t="str">
            <v>THIES</v>
          </cell>
        </row>
        <row r="2961">
          <cell r="A2961" t="str">
            <v>THS_2358</v>
          </cell>
          <cell r="S2961" t="str">
            <v>THIES</v>
          </cell>
          <cell r="T2961" t="str">
            <v>THIES</v>
          </cell>
        </row>
        <row r="2962">
          <cell r="A2962" t="str">
            <v>THS_2359</v>
          </cell>
          <cell r="S2962" t="str">
            <v>THIES</v>
          </cell>
          <cell r="T2962" t="str">
            <v>THIES</v>
          </cell>
        </row>
        <row r="2963">
          <cell r="A2963" t="str">
            <v>THS_2360</v>
          </cell>
          <cell r="S2963" t="str">
            <v>THIES</v>
          </cell>
          <cell r="T2963" t="str">
            <v>THIES</v>
          </cell>
        </row>
        <row r="2964">
          <cell r="A2964" t="str">
            <v>THS_2361</v>
          </cell>
          <cell r="S2964" t="str">
            <v>THIES</v>
          </cell>
          <cell r="T2964" t="str">
            <v>THIES</v>
          </cell>
        </row>
        <row r="2965">
          <cell r="A2965" t="str">
            <v>THS_2362</v>
          </cell>
          <cell r="S2965" t="str">
            <v>THIES</v>
          </cell>
          <cell r="T2965" t="str">
            <v>THIES</v>
          </cell>
        </row>
        <row r="2966">
          <cell r="A2966" t="str">
            <v>THS_2363</v>
          </cell>
          <cell r="S2966" t="str">
            <v>THIES</v>
          </cell>
          <cell r="T2966" t="str">
            <v>THIES</v>
          </cell>
        </row>
        <row r="2967">
          <cell r="A2967" t="str">
            <v>THS_2749</v>
          </cell>
          <cell r="S2967" t="str">
            <v>THIES</v>
          </cell>
          <cell r="T2967" t="str">
            <v>THIES</v>
          </cell>
        </row>
        <row r="2968">
          <cell r="A2968" t="str">
            <v>THS_2365</v>
          </cell>
          <cell r="S2968" t="str">
            <v>THIES</v>
          </cell>
          <cell r="T2968" t="str">
            <v>THIES</v>
          </cell>
        </row>
        <row r="2969">
          <cell r="A2969" t="str">
            <v>THS_2366</v>
          </cell>
          <cell r="S2969" t="str">
            <v>THIES</v>
          </cell>
          <cell r="T2969" t="str">
            <v>THIES</v>
          </cell>
        </row>
        <row r="2970">
          <cell r="A2970" t="str">
            <v>THS_2367</v>
          </cell>
          <cell r="S2970" t="str">
            <v>THIES</v>
          </cell>
          <cell r="T2970" t="str">
            <v>THIES</v>
          </cell>
        </row>
        <row r="2971">
          <cell r="A2971" t="str">
            <v>THS_2368</v>
          </cell>
          <cell r="S2971" t="str">
            <v>THIES</v>
          </cell>
          <cell r="T2971" t="str">
            <v>THIES</v>
          </cell>
        </row>
        <row r="2972">
          <cell r="A2972" t="str">
            <v>THS_2369</v>
          </cell>
          <cell r="S2972" t="str">
            <v>THIES</v>
          </cell>
          <cell r="T2972" t="str">
            <v>THIES</v>
          </cell>
        </row>
        <row r="2973">
          <cell r="A2973" t="str">
            <v>THS_2370</v>
          </cell>
          <cell r="S2973" t="str">
            <v>THIES</v>
          </cell>
          <cell r="T2973" t="str">
            <v>THIES</v>
          </cell>
        </row>
        <row r="2974">
          <cell r="A2974" t="str">
            <v>THS_2371</v>
          </cell>
          <cell r="S2974" t="str">
            <v>THIES</v>
          </cell>
          <cell r="T2974" t="str">
            <v>THIES</v>
          </cell>
        </row>
        <row r="2975">
          <cell r="A2975" t="str">
            <v>THS_2372</v>
          </cell>
          <cell r="S2975" t="str">
            <v>THIES</v>
          </cell>
          <cell r="T2975" t="str">
            <v>THIES</v>
          </cell>
        </row>
        <row r="2976">
          <cell r="A2976" t="str">
            <v>THS_2373</v>
          </cell>
          <cell r="S2976" t="str">
            <v>THIES</v>
          </cell>
          <cell r="T2976" t="str">
            <v>THIES</v>
          </cell>
        </row>
        <row r="2977">
          <cell r="A2977" t="str">
            <v>THS_2374</v>
          </cell>
          <cell r="S2977" t="str">
            <v>THIES</v>
          </cell>
          <cell r="T2977" t="str">
            <v>THIES</v>
          </cell>
        </row>
        <row r="2978">
          <cell r="A2978" t="str">
            <v>THS_2375</v>
          </cell>
          <cell r="S2978" t="str">
            <v>THIES</v>
          </cell>
          <cell r="T2978" t="str">
            <v>THIES</v>
          </cell>
        </row>
        <row r="2979">
          <cell r="A2979" t="str">
            <v>MBR_2376</v>
          </cell>
          <cell r="S2979" t="str">
            <v>THIES</v>
          </cell>
          <cell r="T2979" t="str">
            <v>THIES</v>
          </cell>
        </row>
        <row r="2980">
          <cell r="A2980" t="str">
            <v>THS_2686</v>
          </cell>
          <cell r="S2980" t="str">
            <v>THIES</v>
          </cell>
          <cell r="T2980" t="str">
            <v>THIES</v>
          </cell>
        </row>
        <row r="2981">
          <cell r="A2981" t="str">
            <v>THS_2377</v>
          </cell>
          <cell r="S2981" t="str">
            <v>THIES</v>
          </cell>
          <cell r="T2981" t="str">
            <v>THIES</v>
          </cell>
        </row>
        <row r="2982">
          <cell r="A2982" t="str">
            <v>THS_2378</v>
          </cell>
          <cell r="S2982" t="str">
            <v>THIES</v>
          </cell>
          <cell r="T2982" t="str">
            <v>THIES</v>
          </cell>
        </row>
        <row r="2983">
          <cell r="A2983" t="str">
            <v>THS_2379</v>
          </cell>
          <cell r="S2983" t="str">
            <v>THIES</v>
          </cell>
          <cell r="T2983" t="str">
            <v>THIES</v>
          </cell>
        </row>
        <row r="2984">
          <cell r="A2984" t="str">
            <v>THS_2380</v>
          </cell>
          <cell r="S2984" t="str">
            <v>THIES</v>
          </cell>
          <cell r="T2984" t="str">
            <v>THIES</v>
          </cell>
        </row>
        <row r="2985">
          <cell r="A2985" t="str">
            <v>THS_2381</v>
          </cell>
          <cell r="S2985" t="str">
            <v>THIES</v>
          </cell>
          <cell r="T2985" t="str">
            <v>THIES</v>
          </cell>
        </row>
        <row r="2986">
          <cell r="A2986" t="str">
            <v>THS_2382</v>
          </cell>
          <cell r="S2986" t="str">
            <v>THIES</v>
          </cell>
          <cell r="T2986" t="str">
            <v>THIES</v>
          </cell>
        </row>
        <row r="2987">
          <cell r="A2987" t="str">
            <v>THS_2736</v>
          </cell>
          <cell r="S2987" t="str">
            <v>THIES</v>
          </cell>
          <cell r="T2987" t="str">
            <v>THIES</v>
          </cell>
        </row>
        <row r="2988">
          <cell r="A2988" t="str">
            <v>THS_2729</v>
          </cell>
          <cell r="S2988" t="str">
            <v>THIES</v>
          </cell>
          <cell r="T2988" t="str">
            <v>THIES</v>
          </cell>
        </row>
        <row r="2989">
          <cell r="A2989" t="str">
            <v>THS_2737</v>
          </cell>
          <cell r="S2989" t="str">
            <v>THIES</v>
          </cell>
          <cell r="T2989" t="str">
            <v>THIES</v>
          </cell>
        </row>
        <row r="2990">
          <cell r="A2990" t="str">
            <v>THS_2738</v>
          </cell>
          <cell r="S2990" t="str">
            <v>THIES</v>
          </cell>
          <cell r="T2990" t="str">
            <v>THIES</v>
          </cell>
        </row>
        <row r="2991">
          <cell r="A2991" t="str">
            <v>THS_2739</v>
          </cell>
          <cell r="S2991" t="str">
            <v>THIES</v>
          </cell>
          <cell r="T2991" t="str">
            <v>THIES</v>
          </cell>
        </row>
        <row r="2992">
          <cell r="A2992" t="str">
            <v>THS_2740</v>
          </cell>
          <cell r="S2992" t="str">
            <v>THIES</v>
          </cell>
          <cell r="T2992" t="str">
            <v>THIES</v>
          </cell>
        </row>
        <row r="2993">
          <cell r="A2993" t="str">
            <v>THS_2741</v>
          </cell>
          <cell r="S2993" t="str">
            <v>THIES</v>
          </cell>
          <cell r="T2993" t="str">
            <v>THIES</v>
          </cell>
        </row>
        <row r="2994">
          <cell r="A2994" t="str">
            <v>THS_2730</v>
          </cell>
          <cell r="S2994" t="str">
            <v>THIES</v>
          </cell>
          <cell r="T2994" t="str">
            <v>THIES</v>
          </cell>
        </row>
        <row r="2995">
          <cell r="A2995" t="str">
            <v>THS_2774</v>
          </cell>
          <cell r="S2995" t="str">
            <v>THIES</v>
          </cell>
          <cell r="T2995" t="str">
            <v>THIES</v>
          </cell>
        </row>
        <row r="2996">
          <cell r="A2996" t="str">
            <v>THS_2776</v>
          </cell>
          <cell r="S2996" t="str">
            <v>THIES</v>
          </cell>
          <cell r="T2996" t="str">
            <v>THIES</v>
          </cell>
        </row>
        <row r="2997">
          <cell r="A2997" t="str">
            <v>THS_2779</v>
          </cell>
          <cell r="S2997" t="str">
            <v>THIES</v>
          </cell>
          <cell r="T2997" t="str">
            <v>THIES</v>
          </cell>
        </row>
        <row r="2998">
          <cell r="A2998" t="str">
            <v>THS_2810</v>
          </cell>
          <cell r="S2998" t="str">
            <v>THIES</v>
          </cell>
          <cell r="T2998" t="str">
            <v>THIES</v>
          </cell>
        </row>
        <row r="2999">
          <cell r="A2999" t="str">
            <v>ORG_2383</v>
          </cell>
          <cell r="S2999" t="str">
            <v>MATAM</v>
          </cell>
          <cell r="T2999" t="str">
            <v>SAINT-LOUIS</v>
          </cell>
        </row>
        <row r="3000">
          <cell r="A3000" t="str">
            <v>STL_2384</v>
          </cell>
          <cell r="S3000" t="str">
            <v>SAINT-LOUIS</v>
          </cell>
          <cell r="T3000" t="str">
            <v>SAINT-LOUIS</v>
          </cell>
        </row>
        <row r="3001">
          <cell r="A3001" t="str">
            <v>KDG_2385</v>
          </cell>
          <cell r="S3001" t="str">
            <v>KEDOUGOU</v>
          </cell>
          <cell r="T3001" t="str">
            <v>TAMBACOUNDA</v>
          </cell>
        </row>
        <row r="3002">
          <cell r="A3002" t="str">
            <v>KDG_2386</v>
          </cell>
          <cell r="S3002" t="str">
            <v>KEDOUGOU</v>
          </cell>
          <cell r="T3002" t="str">
            <v>TAMBACOUNDA</v>
          </cell>
        </row>
        <row r="3003">
          <cell r="A3003" t="str">
            <v>KDG_2717</v>
          </cell>
          <cell r="S3003" t="str">
            <v>KEDOUGOU</v>
          </cell>
          <cell r="T3003" t="str">
            <v>TAMBACOUNDA</v>
          </cell>
        </row>
        <row r="3004">
          <cell r="A3004" t="str">
            <v>THS_2387</v>
          </cell>
          <cell r="S3004" t="str">
            <v>TIVAOUANE</v>
          </cell>
          <cell r="T3004" t="str">
            <v>THIES</v>
          </cell>
        </row>
        <row r="3005">
          <cell r="A3005" t="str">
            <v>THS_2388</v>
          </cell>
          <cell r="S3005" t="str">
            <v>TIVAOUANE</v>
          </cell>
          <cell r="T3005" t="str">
            <v>THIES</v>
          </cell>
        </row>
        <row r="3006">
          <cell r="A3006" t="str">
            <v>THS_2389</v>
          </cell>
          <cell r="S3006" t="str">
            <v>TIVAOUANE</v>
          </cell>
          <cell r="T3006" t="str">
            <v>THIES</v>
          </cell>
        </row>
        <row r="3007">
          <cell r="A3007" t="str">
            <v>THS_2390</v>
          </cell>
          <cell r="S3007" t="str">
            <v>TIVAOUANE</v>
          </cell>
          <cell r="T3007" t="str">
            <v>THIES</v>
          </cell>
        </row>
        <row r="3008">
          <cell r="A3008" t="str">
            <v>THS_2789</v>
          </cell>
          <cell r="S3008" t="str">
            <v>THIES</v>
          </cell>
          <cell r="T3008" t="str">
            <v>THIES</v>
          </cell>
        </row>
        <row r="3009">
          <cell r="A3009" t="str">
            <v>THS_2391</v>
          </cell>
          <cell r="S3009" t="str">
            <v>TIVAOUANE</v>
          </cell>
          <cell r="T3009" t="str">
            <v>THIES</v>
          </cell>
        </row>
        <row r="3010">
          <cell r="A3010" t="str">
            <v>THS_2392</v>
          </cell>
          <cell r="S3010" t="str">
            <v>TIVAOUANE</v>
          </cell>
          <cell r="T3010" t="str">
            <v>THIES</v>
          </cell>
        </row>
        <row r="3011">
          <cell r="A3011" t="str">
            <v>THS_2393</v>
          </cell>
          <cell r="S3011" t="str">
            <v>TIVAOUANE</v>
          </cell>
          <cell r="T3011" t="str">
            <v>THIES</v>
          </cell>
        </row>
        <row r="3012">
          <cell r="A3012" t="str">
            <v>THS_2394</v>
          </cell>
          <cell r="S3012" t="str">
            <v>TIVAOUANE</v>
          </cell>
          <cell r="T3012" t="str">
            <v>THIES</v>
          </cell>
        </row>
        <row r="3013">
          <cell r="A3013" t="str">
            <v>THS_2395</v>
          </cell>
          <cell r="S3013" t="str">
            <v>TIVAOUANE</v>
          </cell>
          <cell r="T3013" t="str">
            <v>THIES</v>
          </cell>
        </row>
        <row r="3014">
          <cell r="A3014" t="str">
            <v>ZIG_2396</v>
          </cell>
          <cell r="S3014" t="str">
            <v>ZIGUINCHOR</v>
          </cell>
          <cell r="T3014" t="str">
            <v>ZIGUINCHOR</v>
          </cell>
        </row>
        <row r="3015">
          <cell r="A3015" t="str">
            <v>DBL_2397</v>
          </cell>
          <cell r="S3015" t="str">
            <v>DIOURBEL</v>
          </cell>
          <cell r="T3015" t="str">
            <v>THIES</v>
          </cell>
        </row>
        <row r="3016">
          <cell r="A3016" t="str">
            <v>KDG_2398</v>
          </cell>
          <cell r="S3016" t="str">
            <v>KEDOUGOU</v>
          </cell>
          <cell r="T3016" t="str">
            <v>TAMBACOUNDA</v>
          </cell>
        </row>
        <row r="3017">
          <cell r="A3017" t="str">
            <v>KLD_2399</v>
          </cell>
          <cell r="S3017" t="str">
            <v>VELINGARA</v>
          </cell>
          <cell r="T3017" t="str">
            <v>ZIGUINCHOR</v>
          </cell>
        </row>
        <row r="3018">
          <cell r="A3018" t="str">
            <v>STL_2825</v>
          </cell>
          <cell r="S3018" t="str">
            <v>LOUGA</v>
          </cell>
          <cell r="T3018" t="str">
            <v>SAINT-LOUIS</v>
          </cell>
        </row>
        <row r="3019">
          <cell r="A3019" t="str">
            <v>DBL_2400</v>
          </cell>
          <cell r="S3019" t="str">
            <v>TOUBA02</v>
          </cell>
          <cell r="T3019" t="str">
            <v>THIES</v>
          </cell>
        </row>
        <row r="3020">
          <cell r="A3020" t="str">
            <v>DBL_2401</v>
          </cell>
          <cell r="S3020" t="str">
            <v>TOUBA02</v>
          </cell>
          <cell r="T3020" t="str">
            <v>THIES</v>
          </cell>
        </row>
        <row r="3021">
          <cell r="A3021" t="str">
            <v>DBL_2402</v>
          </cell>
          <cell r="S3021" t="str">
            <v>TOUBA02</v>
          </cell>
          <cell r="T3021" t="str">
            <v>THIES</v>
          </cell>
        </row>
        <row r="3022">
          <cell r="A3022" t="str">
            <v>DBL_2403</v>
          </cell>
          <cell r="S3022" t="str">
            <v>KAFFRINE</v>
          </cell>
          <cell r="T3022" t="str">
            <v>KAOLACK</v>
          </cell>
        </row>
        <row r="3023">
          <cell r="A3023" t="str">
            <v>DBL_2404</v>
          </cell>
          <cell r="S3023" t="str">
            <v>TOUBA02</v>
          </cell>
          <cell r="T3023" t="str">
            <v>THIES</v>
          </cell>
        </row>
        <row r="3024">
          <cell r="A3024" t="str">
            <v>DBL_2405</v>
          </cell>
          <cell r="S3024" t="str">
            <v>TOUBA02</v>
          </cell>
          <cell r="T3024" t="str">
            <v>THIES</v>
          </cell>
        </row>
        <row r="3025">
          <cell r="A3025" t="str">
            <v>DBL_2406</v>
          </cell>
          <cell r="S3025" t="str">
            <v>TOUBA02</v>
          </cell>
          <cell r="T3025" t="str">
            <v>THIES</v>
          </cell>
        </row>
        <row r="3026">
          <cell r="A3026" t="str">
            <v>DBL_2407</v>
          </cell>
          <cell r="S3026" t="str">
            <v>TOUBA02</v>
          </cell>
          <cell r="T3026" t="str">
            <v>THIES</v>
          </cell>
        </row>
        <row r="3027">
          <cell r="A3027" t="str">
            <v>DBL_2408</v>
          </cell>
          <cell r="S3027" t="str">
            <v>TOUBA02</v>
          </cell>
          <cell r="T3027" t="str">
            <v>THIES</v>
          </cell>
        </row>
        <row r="3028">
          <cell r="A3028" t="str">
            <v>DBL_2409</v>
          </cell>
          <cell r="S3028" t="str">
            <v>TOUBA02</v>
          </cell>
          <cell r="T3028" t="str">
            <v>THIES</v>
          </cell>
        </row>
        <row r="3029">
          <cell r="A3029" t="str">
            <v>DBL_2632</v>
          </cell>
          <cell r="S3029" t="str">
            <v>TOUBA02</v>
          </cell>
          <cell r="T3029" t="str">
            <v>THIES</v>
          </cell>
        </row>
        <row r="3030">
          <cell r="A3030" t="str">
            <v>DBL_2738</v>
          </cell>
          <cell r="S3030" t="str">
            <v>TOUBA</v>
          </cell>
          <cell r="T3030" t="str">
            <v>THIES</v>
          </cell>
        </row>
        <row r="3031">
          <cell r="A3031" t="str">
            <v>KLK_2769</v>
          </cell>
          <cell r="S3031" t="str">
            <v>KOUNGHEUL</v>
          </cell>
          <cell r="T3031" t="str">
            <v>TAMBACOUNDA</v>
          </cell>
        </row>
        <row r="3032">
          <cell r="A3032" t="str">
            <v>DBL_2410</v>
          </cell>
          <cell r="S3032" t="str">
            <v>TOUBA02</v>
          </cell>
          <cell r="T3032" t="str">
            <v>THIES</v>
          </cell>
        </row>
        <row r="3033">
          <cell r="A3033" t="str">
            <v>DBL_2641</v>
          </cell>
          <cell r="S3033" t="str">
            <v>TOUBA02</v>
          </cell>
          <cell r="T3033" t="str">
            <v>THIES</v>
          </cell>
        </row>
        <row r="3034">
          <cell r="A3034" t="str">
            <v>DBL_2411</v>
          </cell>
          <cell r="S3034" t="str">
            <v>TOUBA01</v>
          </cell>
          <cell r="T3034" t="str">
            <v>THIES</v>
          </cell>
        </row>
        <row r="3035">
          <cell r="A3035" t="str">
            <v>DBL_2412</v>
          </cell>
          <cell r="S3035" t="str">
            <v>TOUBA02</v>
          </cell>
          <cell r="T3035" t="str">
            <v>THIES</v>
          </cell>
        </row>
        <row r="3036">
          <cell r="A3036" t="str">
            <v>DBL_2784</v>
          </cell>
          <cell r="S3036" t="str">
            <v>DIOURBEL</v>
          </cell>
          <cell r="T3036" t="str">
            <v>THIES</v>
          </cell>
        </row>
        <row r="3037">
          <cell r="A3037" t="str">
            <v>DBL_2785</v>
          </cell>
          <cell r="S3037" t="str">
            <v>DIOURBEL</v>
          </cell>
          <cell r="T3037" t="str">
            <v>THIES</v>
          </cell>
        </row>
        <row r="3038">
          <cell r="A3038" t="str">
            <v>DBL_2787</v>
          </cell>
          <cell r="S3038" t="str">
            <v>DIOURBEL</v>
          </cell>
          <cell r="T3038" t="str">
            <v>THIES</v>
          </cell>
        </row>
        <row r="3039">
          <cell r="A3039" t="str">
            <v>DBL_2788</v>
          </cell>
          <cell r="S3039" t="str">
            <v>DIOURBEL</v>
          </cell>
          <cell r="T3039" t="str">
            <v>THIES</v>
          </cell>
        </row>
        <row r="3040">
          <cell r="A3040" t="str">
            <v>DBL_2413</v>
          </cell>
          <cell r="S3040" t="str">
            <v>TOUBA01</v>
          </cell>
          <cell r="T3040" t="str">
            <v>THIES</v>
          </cell>
        </row>
        <row r="3041">
          <cell r="A3041" t="str">
            <v>DBL_2414</v>
          </cell>
          <cell r="S3041" t="str">
            <v>TOUBA01</v>
          </cell>
          <cell r="T3041" t="str">
            <v>THIES</v>
          </cell>
        </row>
        <row r="3042">
          <cell r="A3042" t="str">
            <v>DBL_2647</v>
          </cell>
          <cell r="S3042" t="str">
            <v>TOUBA01</v>
          </cell>
          <cell r="T3042" t="str">
            <v>THIES</v>
          </cell>
        </row>
        <row r="3043">
          <cell r="A3043" t="str">
            <v>DBL_2789</v>
          </cell>
          <cell r="S3043" t="str">
            <v>DIOURBEL</v>
          </cell>
          <cell r="T3043" t="str">
            <v>THIES</v>
          </cell>
        </row>
        <row r="3044">
          <cell r="A3044" t="str">
            <v>DBL_2790</v>
          </cell>
          <cell r="S3044" t="str">
            <v>DIOURBEL</v>
          </cell>
          <cell r="T3044" t="str">
            <v>THIES</v>
          </cell>
        </row>
        <row r="3045">
          <cell r="A3045" t="str">
            <v>DBL_2415</v>
          </cell>
          <cell r="S3045" t="str">
            <v>TOUBA01</v>
          </cell>
          <cell r="T3045" t="str">
            <v>THIES</v>
          </cell>
        </row>
        <row r="3046">
          <cell r="A3046" t="str">
            <v>TMB_2416</v>
          </cell>
          <cell r="S3046" t="str">
            <v>TAMBA</v>
          </cell>
          <cell r="T3046" t="str">
            <v>TAMBACOUNDA</v>
          </cell>
        </row>
        <row r="3047">
          <cell r="A3047" t="str">
            <v>DBL_2731</v>
          </cell>
          <cell r="S3047" t="str">
            <v>TOUBA</v>
          </cell>
          <cell r="T3047" t="str">
            <v>THIES</v>
          </cell>
        </row>
        <row r="3048">
          <cell r="A3048" t="str">
            <v>DBL_2417</v>
          </cell>
          <cell r="S3048" t="str">
            <v>TOUBA02</v>
          </cell>
          <cell r="T3048" t="str">
            <v>THIES</v>
          </cell>
        </row>
        <row r="3049">
          <cell r="A3049" t="str">
            <v>DBL_2645</v>
          </cell>
          <cell r="S3049" t="str">
            <v>TOUBA02</v>
          </cell>
          <cell r="T3049" t="str">
            <v>THIES</v>
          </cell>
        </row>
        <row r="3050">
          <cell r="A3050" t="str">
            <v>DBL_2418</v>
          </cell>
          <cell r="S3050" t="str">
            <v>TOUBA01</v>
          </cell>
          <cell r="T3050" t="str">
            <v>THIES</v>
          </cell>
        </row>
        <row r="3051">
          <cell r="A3051" t="str">
            <v>DBL_2419</v>
          </cell>
          <cell r="S3051" t="str">
            <v>TOUBA01</v>
          </cell>
          <cell r="T3051" t="str">
            <v>THIES</v>
          </cell>
        </row>
        <row r="3052">
          <cell r="A3052" t="str">
            <v>DBL_2420</v>
          </cell>
          <cell r="S3052" t="str">
            <v>TOUBA01</v>
          </cell>
          <cell r="T3052" t="str">
            <v>THIES</v>
          </cell>
        </row>
        <row r="3053">
          <cell r="A3053" t="str">
            <v>DBL_2421</v>
          </cell>
          <cell r="S3053" t="str">
            <v>TOUBA01</v>
          </cell>
          <cell r="T3053" t="str">
            <v>THIES</v>
          </cell>
        </row>
        <row r="3054">
          <cell r="A3054" t="str">
            <v>TMB_2422</v>
          </cell>
          <cell r="S3054" t="str">
            <v>KOUNGHEUL</v>
          </cell>
          <cell r="T3054" t="str">
            <v>TAMBACOUNDA</v>
          </cell>
        </row>
        <row r="3055">
          <cell r="A3055" t="str">
            <v>DBL_2423</v>
          </cell>
          <cell r="S3055" t="str">
            <v>TOUBA01</v>
          </cell>
          <cell r="T3055" t="str">
            <v>THIES</v>
          </cell>
        </row>
        <row r="3056">
          <cell r="A3056" t="str">
            <v>DBL_2424</v>
          </cell>
          <cell r="S3056" t="str">
            <v>TOUBA01</v>
          </cell>
          <cell r="T3056" t="str">
            <v>THIES</v>
          </cell>
        </row>
        <row r="3057">
          <cell r="A3057" t="str">
            <v>DBL_2639</v>
          </cell>
          <cell r="S3057" t="str">
            <v>TOUBA01</v>
          </cell>
          <cell r="T3057" t="str">
            <v>THIES</v>
          </cell>
        </row>
        <row r="3058">
          <cell r="A3058" t="str">
            <v>DBL_2425</v>
          </cell>
          <cell r="S3058" t="str">
            <v>TOUBA02</v>
          </cell>
          <cell r="T3058" t="str">
            <v>THIES</v>
          </cell>
        </row>
        <row r="3059">
          <cell r="A3059" t="str">
            <v>DBL_2426</v>
          </cell>
          <cell r="S3059" t="str">
            <v>TOUBA02</v>
          </cell>
          <cell r="T3059" t="str">
            <v>THIES</v>
          </cell>
        </row>
        <row r="3060">
          <cell r="A3060" t="str">
            <v>DBL_2427</v>
          </cell>
          <cell r="S3060" t="str">
            <v>TOUBA02</v>
          </cell>
          <cell r="T3060" t="str">
            <v>THIES</v>
          </cell>
        </row>
        <row r="3061">
          <cell r="A3061" t="str">
            <v>DBL_2428</v>
          </cell>
          <cell r="S3061" t="str">
            <v>TOUBA02</v>
          </cell>
          <cell r="T3061" t="str">
            <v>THIES</v>
          </cell>
        </row>
        <row r="3062">
          <cell r="A3062" t="str">
            <v>STL_2770</v>
          </cell>
          <cell r="S3062" t="str">
            <v>LINGUERE</v>
          </cell>
          <cell r="T3062" t="str">
            <v>SAINT-LOUIS</v>
          </cell>
        </row>
        <row r="3063">
          <cell r="A3063" t="str">
            <v>ZIG_2429</v>
          </cell>
          <cell r="S3063" t="str">
            <v>SEDHIOU</v>
          </cell>
          <cell r="T3063" t="str">
            <v>ZIGUINCHOR</v>
          </cell>
        </row>
        <row r="3064">
          <cell r="A3064" t="str">
            <v>KLK_2430</v>
          </cell>
          <cell r="S3064" t="str">
            <v>KAFFRINE</v>
          </cell>
          <cell r="T3064" t="str">
            <v>KAOLACK</v>
          </cell>
        </row>
        <row r="3065">
          <cell r="A3065" t="str">
            <v>KLK_2742</v>
          </cell>
          <cell r="S3065" t="str">
            <v>KAFFRINE</v>
          </cell>
          <cell r="T3065" t="str">
            <v>KAOLACK</v>
          </cell>
        </row>
        <row r="3066">
          <cell r="A3066" t="str">
            <v>KLD_2431</v>
          </cell>
          <cell r="S3066" t="str">
            <v>KOLDA</v>
          </cell>
          <cell r="T3066" t="str">
            <v>ZIGUINCHOR</v>
          </cell>
        </row>
        <row r="3067">
          <cell r="A3067" t="str">
            <v>STL_2432</v>
          </cell>
          <cell r="S3067" t="str">
            <v>LOUGA</v>
          </cell>
          <cell r="T3067" t="str">
            <v>SAINT-LOUIS</v>
          </cell>
        </row>
        <row r="3068">
          <cell r="A3068" t="str">
            <v>KLD_2762</v>
          </cell>
          <cell r="S3068" t="str">
            <v>SEDHIOU</v>
          </cell>
          <cell r="T3068" t="str">
            <v>ZIGUINCHOR</v>
          </cell>
        </row>
        <row r="3069">
          <cell r="S3069" t="e">
            <v>#N/A</v>
          </cell>
          <cell r="T3069" t="e">
            <v>#N/A</v>
          </cell>
        </row>
        <row r="3070">
          <cell r="A3070" t="str">
            <v>DBL_2434</v>
          </cell>
          <cell r="S3070" t="str">
            <v>TOUBA02</v>
          </cell>
          <cell r="T3070" t="str">
            <v>THIES</v>
          </cell>
        </row>
        <row r="3071">
          <cell r="A3071" t="str">
            <v>DBL_2435</v>
          </cell>
          <cell r="S3071" t="str">
            <v>TOUBA02</v>
          </cell>
          <cell r="T3071" t="str">
            <v>THIES</v>
          </cell>
        </row>
        <row r="3072">
          <cell r="A3072" t="str">
            <v>DBL_2436</v>
          </cell>
          <cell r="S3072" t="str">
            <v>TOUBA01</v>
          </cell>
          <cell r="T3072" t="str">
            <v>THIES</v>
          </cell>
        </row>
        <row r="3073">
          <cell r="A3073" t="str">
            <v>DBL_2437</v>
          </cell>
          <cell r="S3073" t="str">
            <v>TOUBA01</v>
          </cell>
          <cell r="T3073" t="str">
            <v>THIES</v>
          </cell>
        </row>
        <row r="3074">
          <cell r="A3074" t="str">
            <v>DBL_2438</v>
          </cell>
          <cell r="S3074" t="str">
            <v>TOUBA01</v>
          </cell>
          <cell r="T3074" t="str">
            <v>THIES</v>
          </cell>
        </row>
        <row r="3075">
          <cell r="A3075" t="str">
            <v>DBL_2439</v>
          </cell>
          <cell r="S3075" t="str">
            <v>TOUBA01</v>
          </cell>
          <cell r="T3075" t="str">
            <v>THIES</v>
          </cell>
        </row>
        <row r="3076">
          <cell r="A3076" t="str">
            <v>DBL_2440</v>
          </cell>
          <cell r="S3076" t="str">
            <v>TOUBA01</v>
          </cell>
          <cell r="T3076" t="str">
            <v>THIES</v>
          </cell>
        </row>
        <row r="3077">
          <cell r="A3077" t="str">
            <v>KLK_2837</v>
          </cell>
          <cell r="S3077" t="str">
            <v>KAFFRINE</v>
          </cell>
          <cell r="T3077" t="str">
            <v>KAOLACK</v>
          </cell>
        </row>
        <row r="3078">
          <cell r="A3078" t="str">
            <v>DBL_2746</v>
          </cell>
          <cell r="S3078" t="str">
            <v>TOUBA</v>
          </cell>
          <cell r="T3078" t="str">
            <v>THIES</v>
          </cell>
        </row>
        <row r="3079">
          <cell r="A3079" t="str">
            <v>DBL_2792</v>
          </cell>
          <cell r="S3079" t="str">
            <v>DIOURBEL</v>
          </cell>
          <cell r="T3079" t="str">
            <v>THIES</v>
          </cell>
        </row>
        <row r="3080">
          <cell r="A3080" t="str">
            <v>DBL_2793</v>
          </cell>
          <cell r="S3080" t="str">
            <v>DIOURBEL</v>
          </cell>
          <cell r="T3080" t="str">
            <v>THIES</v>
          </cell>
        </row>
        <row r="3081">
          <cell r="A3081" t="str">
            <v>DBL_2441</v>
          </cell>
          <cell r="S3081" t="str">
            <v>TOUBA02</v>
          </cell>
          <cell r="T3081" t="str">
            <v>THIES</v>
          </cell>
        </row>
        <row r="3082">
          <cell r="A3082" t="str">
            <v>DBL_2442</v>
          </cell>
          <cell r="S3082" t="str">
            <v>TOUBA02</v>
          </cell>
          <cell r="T3082" t="str">
            <v>THIES</v>
          </cell>
        </row>
        <row r="3083">
          <cell r="A3083" t="str">
            <v>DBL_2443</v>
          </cell>
          <cell r="S3083" t="str">
            <v>TOUBA02</v>
          </cell>
          <cell r="T3083" t="str">
            <v>THIES</v>
          </cell>
        </row>
        <row r="3084">
          <cell r="A3084" t="str">
            <v>DBL_2444</v>
          </cell>
          <cell r="S3084" t="str">
            <v>TOUBA02</v>
          </cell>
          <cell r="T3084" t="str">
            <v>THIES</v>
          </cell>
        </row>
        <row r="3085">
          <cell r="A3085" t="str">
            <v>DBL_2646</v>
          </cell>
          <cell r="S3085" t="str">
            <v>TOUBA02</v>
          </cell>
          <cell r="T3085" t="str">
            <v>THIES</v>
          </cell>
        </row>
        <row r="3086">
          <cell r="A3086" t="str">
            <v>KLK_2743</v>
          </cell>
          <cell r="S3086" t="str">
            <v>KAFFRINE</v>
          </cell>
          <cell r="T3086" t="str">
            <v>KAOLACK</v>
          </cell>
        </row>
        <row r="3087">
          <cell r="A3087" t="str">
            <v>DBL_2796</v>
          </cell>
          <cell r="S3087" t="str">
            <v>DIOURBEL</v>
          </cell>
          <cell r="T3087" t="str">
            <v>THIES</v>
          </cell>
        </row>
        <row r="3088">
          <cell r="A3088" t="str">
            <v>DBL_2445</v>
          </cell>
          <cell r="S3088" t="str">
            <v>TOUBA01</v>
          </cell>
          <cell r="T3088" t="str">
            <v>THIES</v>
          </cell>
        </row>
        <row r="3089">
          <cell r="A3089" t="str">
            <v>KLK_2446</v>
          </cell>
          <cell r="S3089" t="str">
            <v>KAOLACK</v>
          </cell>
          <cell r="T3089" t="str">
            <v>KAOLACK</v>
          </cell>
        </row>
        <row r="3090">
          <cell r="A3090" t="str">
            <v>DBL_2447</v>
          </cell>
          <cell r="S3090" t="str">
            <v>TOUBA01</v>
          </cell>
          <cell r="T3090" t="str">
            <v>THIES</v>
          </cell>
        </row>
        <row r="3091">
          <cell r="A3091" t="str">
            <v>DBL_2448</v>
          </cell>
          <cell r="S3091" t="str">
            <v>TOUBA01</v>
          </cell>
          <cell r="T3091" t="str">
            <v>THIES</v>
          </cell>
        </row>
        <row r="3092">
          <cell r="A3092" t="str">
            <v>DBL_2449</v>
          </cell>
          <cell r="S3092" t="str">
            <v>TOUBA01</v>
          </cell>
          <cell r="T3092" t="str">
            <v>THIES</v>
          </cell>
        </row>
        <row r="3093">
          <cell r="A3093" t="str">
            <v>DBL_2450</v>
          </cell>
          <cell r="S3093" t="str">
            <v>LINGUERE</v>
          </cell>
          <cell r="T3093" t="str">
            <v>THIES</v>
          </cell>
        </row>
        <row r="3094">
          <cell r="A3094" t="str">
            <v>KLK_2451</v>
          </cell>
          <cell r="S3094" t="str">
            <v>KAOLACK</v>
          </cell>
          <cell r="T3094" t="str">
            <v>KAOLACK</v>
          </cell>
        </row>
        <row r="3095">
          <cell r="A3095" t="str">
            <v>KLD_2452</v>
          </cell>
          <cell r="S3095" t="str">
            <v>SEDHIOU</v>
          </cell>
          <cell r="T3095" t="str">
            <v>ZIGUINCHOR</v>
          </cell>
        </row>
        <row r="3096">
          <cell r="A3096" t="str">
            <v>TMB_2453</v>
          </cell>
          <cell r="S3096" t="str">
            <v>TAMBA</v>
          </cell>
          <cell r="T3096" t="str">
            <v>TAMBACOUNDA</v>
          </cell>
        </row>
        <row r="3097">
          <cell r="A3097" t="str">
            <v>DBL_2739</v>
          </cell>
          <cell r="S3097" t="str">
            <v>TOUBA</v>
          </cell>
          <cell r="T3097" t="str">
            <v>THIES</v>
          </cell>
        </row>
        <row r="3098">
          <cell r="A3098" t="str">
            <v>THS_2454</v>
          </cell>
          <cell r="S3098" t="str">
            <v>THIES</v>
          </cell>
          <cell r="T3098" t="str">
            <v>THIES</v>
          </cell>
        </row>
        <row r="3099">
          <cell r="A3099" t="str">
            <v>DBL_2455</v>
          </cell>
          <cell r="S3099" t="str">
            <v>TOUBA01</v>
          </cell>
          <cell r="T3099" t="str">
            <v>THIES</v>
          </cell>
        </row>
        <row r="3100">
          <cell r="A3100" t="str">
            <v>DBL_2456</v>
          </cell>
          <cell r="S3100" t="str">
            <v>TOUBA01</v>
          </cell>
          <cell r="T3100" t="str">
            <v>THIES</v>
          </cell>
        </row>
        <row r="3101">
          <cell r="A3101" t="str">
            <v>DBL_2457</v>
          </cell>
          <cell r="S3101" t="str">
            <v>TOUBA01</v>
          </cell>
          <cell r="T3101" t="str">
            <v>THIES</v>
          </cell>
        </row>
        <row r="3102">
          <cell r="A3102" t="str">
            <v>DBL_2458</v>
          </cell>
          <cell r="S3102" t="str">
            <v>TOUBA01</v>
          </cell>
          <cell r="T3102" t="str">
            <v>THIES</v>
          </cell>
        </row>
        <row r="3103">
          <cell r="A3103" t="str">
            <v>DBL_2459</v>
          </cell>
          <cell r="S3103" t="str">
            <v>TOUBA01</v>
          </cell>
          <cell r="T3103" t="str">
            <v>THIES</v>
          </cell>
        </row>
        <row r="3104">
          <cell r="A3104" t="str">
            <v>DBL_2460</v>
          </cell>
          <cell r="S3104" t="str">
            <v>TOUBA01</v>
          </cell>
          <cell r="T3104" t="str">
            <v>THIES</v>
          </cell>
        </row>
        <row r="3105">
          <cell r="A3105" t="str">
            <v>DBL_2732</v>
          </cell>
          <cell r="S3105" t="str">
            <v>TOUBA</v>
          </cell>
          <cell r="T3105" t="str">
            <v>THIES</v>
          </cell>
        </row>
        <row r="3106">
          <cell r="A3106" t="str">
            <v>DBL_2461</v>
          </cell>
          <cell r="S3106" t="str">
            <v>TOUBA02</v>
          </cell>
          <cell r="T3106" t="str">
            <v>THIES</v>
          </cell>
        </row>
        <row r="3107">
          <cell r="A3107" t="str">
            <v>DBL_2462</v>
          </cell>
          <cell r="S3107" t="str">
            <v>TOUBA02</v>
          </cell>
          <cell r="T3107" t="str">
            <v>THIES</v>
          </cell>
        </row>
        <row r="3108">
          <cell r="A3108" t="str">
            <v>DBL_2725</v>
          </cell>
          <cell r="S3108" t="str">
            <v>TOUBA</v>
          </cell>
          <cell r="T3108" t="str">
            <v>THIES</v>
          </cell>
        </row>
        <row r="3109">
          <cell r="A3109" t="str">
            <v>DBL_2463</v>
          </cell>
          <cell r="S3109" t="str">
            <v>TOUBA02</v>
          </cell>
          <cell r="T3109" t="str">
            <v>THIES</v>
          </cell>
        </row>
        <row r="3110">
          <cell r="A3110" t="str">
            <v>DKR_2464</v>
          </cell>
          <cell r="S3110" t="str">
            <v>RUFISQUE</v>
          </cell>
          <cell r="T3110" t="str">
            <v>DAKAR</v>
          </cell>
        </row>
        <row r="3111">
          <cell r="A3111" t="str">
            <v>DKR_2465</v>
          </cell>
          <cell r="S3111" t="str">
            <v>RUFISQUE</v>
          </cell>
          <cell r="T3111" t="str">
            <v>DAKAR</v>
          </cell>
        </row>
        <row r="3112">
          <cell r="A3112" t="str">
            <v>KLK_2466</v>
          </cell>
          <cell r="S3112" t="str">
            <v>SOKONE</v>
          </cell>
          <cell r="T3112" t="str">
            <v>KAOLACK</v>
          </cell>
        </row>
        <row r="3113">
          <cell r="A3113" t="str">
            <v>STL_2467</v>
          </cell>
          <cell r="S3113" t="str">
            <v>LOUGA</v>
          </cell>
          <cell r="T3113" t="str">
            <v>SAINT-LOUIS</v>
          </cell>
        </row>
        <row r="3114">
          <cell r="A3114" t="str">
            <v>MBR_2468</v>
          </cell>
          <cell r="S3114" t="str">
            <v>MBOUR</v>
          </cell>
          <cell r="T3114" t="str">
            <v>KAOLACK</v>
          </cell>
        </row>
        <row r="3115">
          <cell r="A3115" t="str">
            <v>KLD_2469</v>
          </cell>
          <cell r="S3115" t="str">
            <v>KOLDA</v>
          </cell>
          <cell r="T3115" t="str">
            <v>ZIGUINCHOR</v>
          </cell>
        </row>
        <row r="3116">
          <cell r="A3116" t="str">
            <v>TMB_2749</v>
          </cell>
          <cell r="S3116" t="str">
            <v>GOUDIRY</v>
          </cell>
          <cell r="T3116" t="str">
            <v>TAMBACOUNDA</v>
          </cell>
        </row>
        <row r="3117">
          <cell r="A3117" t="str">
            <v>NDM_2470</v>
          </cell>
          <cell r="S3117" t="str">
            <v>NDIOUM</v>
          </cell>
          <cell r="T3117" t="str">
            <v>SAINT-LOUIS</v>
          </cell>
        </row>
        <row r="3118">
          <cell r="A3118" t="str">
            <v>BKL_2471</v>
          </cell>
          <cell r="S3118" t="str">
            <v>GOUDIRY</v>
          </cell>
          <cell r="T3118" t="str">
            <v>TAMBACOUNDA</v>
          </cell>
        </row>
        <row r="3119">
          <cell r="A3119" t="str">
            <v>KLD_2472</v>
          </cell>
          <cell r="S3119" t="str">
            <v>SEDHIOU</v>
          </cell>
          <cell r="T3119" t="str">
            <v>ZIGUINCHOR</v>
          </cell>
        </row>
        <row r="3120">
          <cell r="A3120" t="str">
            <v>BKL_2473</v>
          </cell>
          <cell r="S3120" t="str">
            <v>BAKEL</v>
          </cell>
          <cell r="T3120" t="str">
            <v>SAINT-LOUIS</v>
          </cell>
        </row>
        <row r="3121">
          <cell r="A3121" t="str">
            <v>BKL_2474</v>
          </cell>
          <cell r="S3121" t="str">
            <v>BAKEL</v>
          </cell>
          <cell r="T3121" t="str">
            <v>SAINT-LOUIS</v>
          </cell>
        </row>
        <row r="3122">
          <cell r="A3122" t="str">
            <v>THS_2476</v>
          </cell>
          <cell r="S3122" t="str">
            <v>MBOUR</v>
          </cell>
          <cell r="T3122" t="str">
            <v>THIES</v>
          </cell>
        </row>
        <row r="3123">
          <cell r="A3123" t="str">
            <v>DKR_2477</v>
          </cell>
          <cell r="S3123" t="str">
            <v>MEDINA</v>
          </cell>
          <cell r="T3123" t="str">
            <v>DAKAR</v>
          </cell>
        </row>
        <row r="3124">
          <cell r="A3124" t="str">
            <v>DKR_2478</v>
          </cell>
          <cell r="S3124" t="str">
            <v>MEDINA</v>
          </cell>
          <cell r="T3124" t="str">
            <v>DAKAR</v>
          </cell>
        </row>
        <row r="3125">
          <cell r="A3125" t="str">
            <v>STL_2479</v>
          </cell>
          <cell r="S3125" t="str">
            <v>SAINT-LOUIS</v>
          </cell>
          <cell r="T3125" t="str">
            <v>SAINT-LOUIS</v>
          </cell>
        </row>
        <row r="3126">
          <cell r="A3126" t="str">
            <v>STL_2480</v>
          </cell>
          <cell r="S3126" t="str">
            <v>SAINT-LOUIS</v>
          </cell>
          <cell r="T3126" t="str">
            <v>SAINT-LOUIS</v>
          </cell>
        </row>
        <row r="3127">
          <cell r="A3127" t="str">
            <v>STL_2481</v>
          </cell>
          <cell r="S3127" t="str">
            <v>SAINT-LOUIS</v>
          </cell>
          <cell r="T3127" t="str">
            <v>SAINT-LOUIS</v>
          </cell>
        </row>
        <row r="3128">
          <cell r="A3128" t="str">
            <v>STL_2482</v>
          </cell>
          <cell r="S3128" t="str">
            <v>SAINT-LOUIS</v>
          </cell>
          <cell r="T3128" t="str">
            <v>SAINT-LOUIS</v>
          </cell>
        </row>
        <row r="3129">
          <cell r="A3129" t="str">
            <v>THS_2783</v>
          </cell>
          <cell r="S3129" t="str">
            <v>THIES</v>
          </cell>
          <cell r="T3129" t="str">
            <v>THIES</v>
          </cell>
        </row>
        <row r="3130">
          <cell r="A3130" t="str">
            <v>DKR_2781</v>
          </cell>
          <cell r="S3130" t="str">
            <v>DAKAR</v>
          </cell>
          <cell r="T3130" t="str">
            <v>DAKAR</v>
          </cell>
        </row>
        <row r="3131">
          <cell r="A3131" t="str">
            <v>DKR_2483</v>
          </cell>
          <cell r="S3131" t="str">
            <v>SACRE_COEUR</v>
          </cell>
          <cell r="T3131" t="str">
            <v>DAKAR</v>
          </cell>
        </row>
        <row r="3132">
          <cell r="A3132" t="str">
            <v>DKR_2484</v>
          </cell>
          <cell r="S3132" t="str">
            <v>SACRE_COEUR</v>
          </cell>
          <cell r="T3132" t="str">
            <v>DAKAR</v>
          </cell>
        </row>
        <row r="3133">
          <cell r="A3133" t="str">
            <v>DKR_2485</v>
          </cell>
          <cell r="S3133" t="str">
            <v>GUEDIAWAYE</v>
          </cell>
          <cell r="T3133" t="str">
            <v>DAKAR</v>
          </cell>
        </row>
        <row r="3134">
          <cell r="A3134" t="str">
            <v>DKR_2486</v>
          </cell>
          <cell r="S3134" t="str">
            <v>GUEDIAWAYE</v>
          </cell>
          <cell r="T3134" t="str">
            <v>DAKAR</v>
          </cell>
        </row>
        <row r="3135">
          <cell r="A3135" t="str">
            <v>DKR_2487</v>
          </cell>
          <cell r="S3135" t="str">
            <v>GUEDIAWAYE</v>
          </cell>
          <cell r="T3135" t="str">
            <v>DAKAR</v>
          </cell>
        </row>
        <row r="3136">
          <cell r="A3136" t="str">
            <v>DKR_2488</v>
          </cell>
          <cell r="S3136" t="str">
            <v>GUEDIAWAYE</v>
          </cell>
          <cell r="T3136" t="str">
            <v>DAKAR</v>
          </cell>
        </row>
        <row r="3137">
          <cell r="A3137" t="str">
            <v>DKR_2489</v>
          </cell>
          <cell r="S3137" t="str">
            <v>GUEDIAWAYE</v>
          </cell>
          <cell r="T3137" t="str">
            <v>DAKAR</v>
          </cell>
        </row>
        <row r="3138">
          <cell r="A3138" t="str">
            <v>DKR_2490</v>
          </cell>
          <cell r="S3138" t="str">
            <v>GUEDIAWAYE</v>
          </cell>
          <cell r="T3138" t="str">
            <v>DAKAR</v>
          </cell>
        </row>
        <row r="3139">
          <cell r="A3139" t="str">
            <v>DKR_2491</v>
          </cell>
          <cell r="S3139" t="str">
            <v>GUEDIAWAYE</v>
          </cell>
          <cell r="T3139" t="str">
            <v>DAKAR</v>
          </cell>
        </row>
        <row r="3140">
          <cell r="A3140" t="str">
            <v>DKR_2492</v>
          </cell>
          <cell r="S3140" t="str">
            <v>GUEDIAWAYE</v>
          </cell>
          <cell r="T3140" t="str">
            <v>DAKAR</v>
          </cell>
        </row>
        <row r="3141">
          <cell r="A3141" t="str">
            <v>DKR_2493</v>
          </cell>
          <cell r="S3141" t="str">
            <v>GUEDIAWAYE</v>
          </cell>
          <cell r="T3141" t="str">
            <v>DAKAR</v>
          </cell>
        </row>
        <row r="3142">
          <cell r="A3142" t="str">
            <v>DKR_2756</v>
          </cell>
          <cell r="S3142" t="str">
            <v>OUAKAM</v>
          </cell>
          <cell r="T3142" t="str">
            <v>DAKAR</v>
          </cell>
        </row>
        <row r="3143">
          <cell r="A3143" t="str">
            <v>DKR_2494</v>
          </cell>
          <cell r="S3143" t="str">
            <v>GUEDIAWAYE</v>
          </cell>
          <cell r="T3143" t="str">
            <v>DAKAR</v>
          </cell>
        </row>
        <row r="3144">
          <cell r="A3144" t="str">
            <v>DKR_2495</v>
          </cell>
          <cell r="S3144" t="str">
            <v>GUEDIAWAYE</v>
          </cell>
          <cell r="T3144" t="str">
            <v>DAKAR</v>
          </cell>
        </row>
        <row r="3145">
          <cell r="A3145" t="str">
            <v>DKR_2496</v>
          </cell>
          <cell r="S3145" t="str">
            <v>GUEDIAWAYE</v>
          </cell>
          <cell r="T3145" t="str">
            <v>DAKAR</v>
          </cell>
        </row>
        <row r="3146">
          <cell r="A3146" t="str">
            <v>DKR_2497</v>
          </cell>
          <cell r="S3146" t="str">
            <v>GUEDIAWAYE</v>
          </cell>
          <cell r="T3146" t="str">
            <v>DAKAR</v>
          </cell>
        </row>
        <row r="3147">
          <cell r="A3147" t="str">
            <v>DKR_2498</v>
          </cell>
          <cell r="S3147" t="str">
            <v>GUEDIAWAYE</v>
          </cell>
          <cell r="T3147" t="str">
            <v>DAKAR</v>
          </cell>
        </row>
        <row r="3148">
          <cell r="A3148" t="str">
            <v>DKR_2499</v>
          </cell>
          <cell r="S3148" t="str">
            <v>GUEDIAWAYE</v>
          </cell>
          <cell r="T3148" t="str">
            <v>DAKAR</v>
          </cell>
        </row>
        <row r="3149">
          <cell r="A3149" t="str">
            <v>DKR_2500</v>
          </cell>
          <cell r="S3149" t="str">
            <v>GUEDIAWAYE</v>
          </cell>
          <cell r="T3149" t="str">
            <v>DAKAR</v>
          </cell>
        </row>
        <row r="3150">
          <cell r="A3150" t="str">
            <v>DKR_2501</v>
          </cell>
          <cell r="S3150" t="str">
            <v>GUEDIAWAYE</v>
          </cell>
          <cell r="T3150" t="str">
            <v>DAKAR</v>
          </cell>
        </row>
        <row r="3151">
          <cell r="A3151" t="str">
            <v>DKR_2502</v>
          </cell>
          <cell r="S3151" t="str">
            <v>GUEDIAWAYE</v>
          </cell>
          <cell r="T3151" t="str">
            <v>DAKAR</v>
          </cell>
        </row>
        <row r="3152">
          <cell r="A3152" t="str">
            <v>DKR_2503</v>
          </cell>
          <cell r="S3152" t="str">
            <v>GUEDIAWAYE</v>
          </cell>
          <cell r="T3152" t="str">
            <v>DAKAR</v>
          </cell>
        </row>
        <row r="3153">
          <cell r="A3153" t="str">
            <v>DKR_2504</v>
          </cell>
          <cell r="S3153" t="str">
            <v>GUEDIAWAYE</v>
          </cell>
          <cell r="T3153" t="str">
            <v>DAKAR</v>
          </cell>
        </row>
        <row r="3154">
          <cell r="A3154" t="str">
            <v>DKR_2505</v>
          </cell>
          <cell r="S3154" t="str">
            <v>GUEDIAWAYE</v>
          </cell>
          <cell r="T3154" t="str">
            <v>DAKAR</v>
          </cell>
        </row>
        <row r="3155">
          <cell r="A3155" t="str">
            <v>DKR_2506</v>
          </cell>
          <cell r="S3155" t="str">
            <v>GUEDIAWAYE</v>
          </cell>
          <cell r="T3155" t="str">
            <v>DAKAR</v>
          </cell>
        </row>
        <row r="3156">
          <cell r="A3156" t="str">
            <v>DKR_2507</v>
          </cell>
          <cell r="S3156" t="str">
            <v>GUEDIAWAYE</v>
          </cell>
          <cell r="T3156" t="str">
            <v>DAKAR</v>
          </cell>
        </row>
        <row r="3157">
          <cell r="A3157" t="str">
            <v>THS_2508</v>
          </cell>
          <cell r="S3157" t="str">
            <v>TIVAOUANE</v>
          </cell>
          <cell r="T3157" t="str">
            <v>THIES</v>
          </cell>
        </row>
        <row r="3158">
          <cell r="A3158" t="str">
            <v>THS_2509</v>
          </cell>
          <cell r="S3158" t="str">
            <v>TIVAOUANE</v>
          </cell>
          <cell r="T3158" t="str">
            <v>THIES</v>
          </cell>
        </row>
        <row r="3159">
          <cell r="A3159" t="str">
            <v>KLK_2796</v>
          </cell>
          <cell r="S3159" t="str">
            <v>FATICK</v>
          </cell>
          <cell r="T3159" t="str">
            <v xml:space="preserve"> KAOLACK</v>
          </cell>
        </row>
        <row r="3160">
          <cell r="A3160" t="str">
            <v>KLK_2797</v>
          </cell>
          <cell r="S3160" t="str">
            <v>KAFFRINE</v>
          </cell>
          <cell r="T3160" t="str">
            <v>KAOLACK</v>
          </cell>
        </row>
        <row r="3161">
          <cell r="A3161" t="str">
            <v>KLK_2786</v>
          </cell>
          <cell r="S3161" t="str">
            <v>KAOLACK</v>
          </cell>
          <cell r="T3161" t="str">
            <v>KAOLACK</v>
          </cell>
        </row>
        <row r="3162">
          <cell r="A3162" t="str">
            <v>DKR_2510</v>
          </cell>
          <cell r="S3162" t="str">
            <v>SACRE_COEUR</v>
          </cell>
          <cell r="T3162" t="str">
            <v>DAKAR</v>
          </cell>
        </row>
        <row r="3163">
          <cell r="A3163" t="str">
            <v>DKR_2511</v>
          </cell>
          <cell r="S3163" t="str">
            <v>GUEDIAWAYE</v>
          </cell>
          <cell r="T3163" t="str">
            <v>DAKAR</v>
          </cell>
        </row>
        <row r="3164">
          <cell r="A3164" t="str">
            <v>DKR_25121</v>
          </cell>
          <cell r="S3164" t="str">
            <v>GUEDIAWAYE</v>
          </cell>
          <cell r="T3164" t="str">
            <v>DAKAR</v>
          </cell>
        </row>
        <row r="3165">
          <cell r="A3165" t="str">
            <v>DKR_2512</v>
          </cell>
          <cell r="S3165" t="str">
            <v>KEUR_MASSAR</v>
          </cell>
          <cell r="T3165" t="str">
            <v>DAKAR</v>
          </cell>
        </row>
        <row r="3166">
          <cell r="A3166" t="str">
            <v>DKR_2513</v>
          </cell>
          <cell r="S3166" t="str">
            <v>GUEDIAWAYE</v>
          </cell>
          <cell r="T3166" t="str">
            <v>DAKAR</v>
          </cell>
        </row>
        <row r="3167">
          <cell r="A3167" t="str">
            <v>DKR_2651</v>
          </cell>
          <cell r="S3167" t="str">
            <v>GUEDIAWAYE</v>
          </cell>
          <cell r="T3167" t="str">
            <v>DAKAR</v>
          </cell>
        </row>
        <row r="3168">
          <cell r="A3168" t="str">
            <v>DKR_2514</v>
          </cell>
          <cell r="S3168" t="str">
            <v>GUEDIAWAYE</v>
          </cell>
          <cell r="T3168" t="str">
            <v>DAKAR</v>
          </cell>
        </row>
        <row r="3169">
          <cell r="A3169" t="str">
            <v>DKR_2515</v>
          </cell>
          <cell r="S3169" t="str">
            <v>OUAKAM</v>
          </cell>
          <cell r="T3169" t="str">
            <v>DAKAR</v>
          </cell>
        </row>
        <row r="3170">
          <cell r="A3170" t="str">
            <v>DKR_2516</v>
          </cell>
          <cell r="S3170" t="str">
            <v>OUAKAM</v>
          </cell>
          <cell r="T3170" t="str">
            <v>DAKAR</v>
          </cell>
        </row>
        <row r="3171">
          <cell r="A3171" t="str">
            <v>DKR_2517</v>
          </cell>
          <cell r="S3171" t="str">
            <v>OUAKAM</v>
          </cell>
          <cell r="T3171" t="str">
            <v>DAKAR</v>
          </cell>
        </row>
        <row r="3172">
          <cell r="A3172" t="str">
            <v>DKR_2518</v>
          </cell>
          <cell r="S3172" t="str">
            <v>OUAKAM</v>
          </cell>
          <cell r="T3172" t="str">
            <v>DAKAR</v>
          </cell>
        </row>
        <row r="3173">
          <cell r="A3173" t="str">
            <v>DKR_2519</v>
          </cell>
          <cell r="S3173" t="str">
            <v>OUAKAM</v>
          </cell>
          <cell r="T3173" t="str">
            <v>DAKAR</v>
          </cell>
        </row>
        <row r="3174">
          <cell r="A3174" t="str">
            <v>DKR_2520</v>
          </cell>
          <cell r="S3174" t="str">
            <v>OUAKAM</v>
          </cell>
          <cell r="T3174" t="str">
            <v>DAKAR</v>
          </cell>
        </row>
        <row r="3175">
          <cell r="A3175" t="str">
            <v>DKR_2521</v>
          </cell>
          <cell r="S3175" t="str">
            <v>OUAKAM</v>
          </cell>
          <cell r="T3175" t="str">
            <v>DAKAR</v>
          </cell>
        </row>
        <row r="3176">
          <cell r="A3176" t="str">
            <v>DKR_2522</v>
          </cell>
          <cell r="S3176" t="str">
            <v>OUAKAM</v>
          </cell>
          <cell r="T3176" t="str">
            <v>DAKAR</v>
          </cell>
        </row>
        <row r="3177">
          <cell r="A3177" t="str">
            <v>DKR_2523</v>
          </cell>
          <cell r="S3177" t="str">
            <v>OUAKAM</v>
          </cell>
          <cell r="T3177" t="str">
            <v>DAKAR</v>
          </cell>
        </row>
        <row r="3178">
          <cell r="A3178" t="str">
            <v>DKR_2524</v>
          </cell>
          <cell r="S3178" t="str">
            <v>OUAKAM</v>
          </cell>
          <cell r="T3178" t="str">
            <v>DAKAR</v>
          </cell>
        </row>
        <row r="3179">
          <cell r="A3179" t="str">
            <v>DKR_2525</v>
          </cell>
          <cell r="S3179" t="str">
            <v>OUAKAM</v>
          </cell>
          <cell r="T3179" t="str">
            <v>DAKAR</v>
          </cell>
        </row>
        <row r="3180">
          <cell r="A3180" t="str">
            <v>DKR_2806</v>
          </cell>
          <cell r="S3180" t="str">
            <v>SACRE_COEUR</v>
          </cell>
          <cell r="T3180" t="str">
            <v>DAKAR</v>
          </cell>
        </row>
        <row r="3181">
          <cell r="A3181" t="str">
            <v>TMB_2526</v>
          </cell>
          <cell r="S3181" t="str">
            <v>KOUNGHEUL</v>
          </cell>
          <cell r="T3181" t="str">
            <v>TAMBACOUNDA</v>
          </cell>
        </row>
        <row r="3182">
          <cell r="A3182" t="str">
            <v>DBL_2527</v>
          </cell>
          <cell r="S3182" t="str">
            <v>LINGUERE</v>
          </cell>
          <cell r="T3182" t="str">
            <v>THIES</v>
          </cell>
        </row>
        <row r="3183">
          <cell r="A3183" t="str">
            <v>KLD_2528</v>
          </cell>
          <cell r="S3183" t="str">
            <v>VELINGARA</v>
          </cell>
          <cell r="T3183" t="str">
            <v>ZIGUINCHOR</v>
          </cell>
        </row>
        <row r="3184">
          <cell r="A3184" t="str">
            <v>KLD_2529</v>
          </cell>
          <cell r="S3184" t="str">
            <v>VELINGARA</v>
          </cell>
          <cell r="T3184" t="str">
            <v>ZIGUINCHOR</v>
          </cell>
        </row>
        <row r="3185">
          <cell r="A3185" t="str">
            <v>KLD_2530</v>
          </cell>
          <cell r="S3185" t="str">
            <v>VELINGARA</v>
          </cell>
          <cell r="T3185" t="str">
            <v>ZIGUINCHOR</v>
          </cell>
        </row>
        <row r="3186">
          <cell r="A3186" t="str">
            <v>KLD_2531</v>
          </cell>
          <cell r="S3186" t="str">
            <v>VELINGARA</v>
          </cell>
          <cell r="T3186" t="str">
            <v>ZIGUINCHOR</v>
          </cell>
        </row>
        <row r="3187">
          <cell r="A3187" t="str">
            <v>KLD_2532</v>
          </cell>
          <cell r="S3187" t="str">
            <v>VELINGARA</v>
          </cell>
          <cell r="T3187" t="str">
            <v>ZIGUINCHOR</v>
          </cell>
        </row>
        <row r="3188">
          <cell r="A3188" t="str">
            <v>STL_2821</v>
          </cell>
          <cell r="S3188" t="str">
            <v>OUROSSOGUI</v>
          </cell>
          <cell r="T3188" t="str">
            <v>SAINT-LOUIS</v>
          </cell>
        </row>
        <row r="3189">
          <cell r="A3189" t="str">
            <v>DKR_2533</v>
          </cell>
          <cell r="S3189" t="str">
            <v>MEDINA</v>
          </cell>
          <cell r="T3189" t="str">
            <v>DAKAR</v>
          </cell>
        </row>
        <row r="3190">
          <cell r="A3190" t="str">
            <v>BKL_2534</v>
          </cell>
          <cell r="S3190" t="str">
            <v>BAKEL</v>
          </cell>
          <cell r="T3190" t="str">
            <v>SAINT-LOUIS</v>
          </cell>
        </row>
        <row r="3191">
          <cell r="A3191" t="str">
            <v>BKL_2750</v>
          </cell>
          <cell r="S3191" t="str">
            <v>BAKEL</v>
          </cell>
          <cell r="T3191" t="str">
            <v>SAINT-LOUIS</v>
          </cell>
        </row>
        <row r="3192">
          <cell r="A3192" t="str">
            <v>ORG_2562</v>
          </cell>
          <cell r="S3192" t="str">
            <v>MATAM</v>
          </cell>
          <cell r="T3192" t="str">
            <v>SAINT-LOUIS</v>
          </cell>
        </row>
        <row r="3193">
          <cell r="A3193" t="str">
            <v>KLK_2535</v>
          </cell>
          <cell r="S3193" t="str">
            <v>SOKONE</v>
          </cell>
          <cell r="T3193" t="str">
            <v>KAOLACK</v>
          </cell>
        </row>
        <row r="3194">
          <cell r="A3194" t="str">
            <v>STL_2775</v>
          </cell>
          <cell r="S3194" t="str">
            <v>LOUGA</v>
          </cell>
          <cell r="T3194" t="str">
            <v>SAINT-LOUIS</v>
          </cell>
        </row>
        <row r="3195">
          <cell r="A3195" t="str">
            <v>KLD_2536</v>
          </cell>
          <cell r="S3195" t="str">
            <v>VELINGARA</v>
          </cell>
          <cell r="T3195" t="str">
            <v>ZIGUINCHOR</v>
          </cell>
        </row>
        <row r="3196">
          <cell r="A3196" t="str">
            <v>THS_2724</v>
          </cell>
          <cell r="S3196" t="str">
            <v>TIVAOUANE</v>
          </cell>
          <cell r="T3196" t="str">
            <v>THIES</v>
          </cell>
        </row>
        <row r="3197">
          <cell r="A3197" t="str">
            <v>THS_2538</v>
          </cell>
          <cell r="S3197" t="str">
            <v>TIVAOUANE</v>
          </cell>
          <cell r="T3197" t="str">
            <v>THIES</v>
          </cell>
        </row>
        <row r="3198">
          <cell r="A3198" t="str">
            <v>DBL_2539</v>
          </cell>
          <cell r="S3198" t="str">
            <v>KAOLACK</v>
          </cell>
          <cell r="T3198" t="str">
            <v>KAOLACK</v>
          </cell>
        </row>
        <row r="3199">
          <cell r="A3199" t="str">
            <v>NDM_2540</v>
          </cell>
          <cell r="S3199" t="str">
            <v>NDIOUM</v>
          </cell>
          <cell r="T3199" t="str">
            <v>SAINT-LOUIS</v>
          </cell>
        </row>
        <row r="3200">
          <cell r="A3200" t="str">
            <v>ORG_2568</v>
          </cell>
          <cell r="S3200" t="str">
            <v>OURSSS</v>
          </cell>
          <cell r="T3200" t="str">
            <v>SAINT-LOUIS</v>
          </cell>
        </row>
        <row r="3201">
          <cell r="A3201" t="str">
            <v>KDG_2541</v>
          </cell>
          <cell r="S3201" t="str">
            <v>KEDOUGOU</v>
          </cell>
          <cell r="T3201" t="str">
            <v>TAMBACOUNDA</v>
          </cell>
        </row>
        <row r="3202">
          <cell r="A3202" t="str">
            <v>KDG_2542</v>
          </cell>
          <cell r="S3202" t="str">
            <v>KEDOUGOU</v>
          </cell>
          <cell r="T3202" t="str">
            <v>TAMBACOUNDA</v>
          </cell>
        </row>
        <row r="3203">
          <cell r="A3203" t="str">
            <v>MBR_2543</v>
          </cell>
          <cell r="S3203" t="str">
            <v>MBOUR</v>
          </cell>
          <cell r="T3203" t="str">
            <v>THIES</v>
          </cell>
        </row>
        <row r="3204">
          <cell r="A3204" t="str">
            <v>KLK_2544</v>
          </cell>
          <cell r="S3204" t="str">
            <v>KAOLACK</v>
          </cell>
          <cell r="T3204" t="str">
            <v>KAOLACK</v>
          </cell>
        </row>
        <row r="3205">
          <cell r="A3205" t="str">
            <v>ORG_2545</v>
          </cell>
          <cell r="S3205" t="str">
            <v>MATAM</v>
          </cell>
          <cell r="T3205" t="str">
            <v>SAINT-LOUIS</v>
          </cell>
        </row>
        <row r="3206">
          <cell r="A3206" t="str">
            <v>DBL_2546</v>
          </cell>
          <cell r="S3206" t="str">
            <v>TOUBA02</v>
          </cell>
          <cell r="T3206" t="str">
            <v>THIES</v>
          </cell>
        </row>
        <row r="3207">
          <cell r="A3207" t="str">
            <v>STL_2807</v>
          </cell>
          <cell r="S3207" t="str">
            <v>MATAM</v>
          </cell>
          <cell r="T3207" t="str">
            <v>SAINT-LOUIS</v>
          </cell>
        </row>
        <row r="3208">
          <cell r="A3208" t="str">
            <v>NDM_2547</v>
          </cell>
          <cell r="S3208" t="str">
            <v>NDIOUM</v>
          </cell>
          <cell r="T3208" t="str">
            <v>SAINT-LOUIS</v>
          </cell>
        </row>
        <row r="3209">
          <cell r="A3209" t="str">
            <v>KDG_2548</v>
          </cell>
          <cell r="S3209" t="str">
            <v>KEDOUGOU</v>
          </cell>
          <cell r="T3209" t="str">
            <v>TAMBACOUNDA</v>
          </cell>
        </row>
        <row r="3210">
          <cell r="A3210" t="str">
            <v>ORG_2549</v>
          </cell>
          <cell r="S3210" t="str">
            <v>MATAM</v>
          </cell>
          <cell r="T3210" t="str">
            <v>SAINT-LOUIS</v>
          </cell>
        </row>
        <row r="3211">
          <cell r="A3211" t="str">
            <v>BKL_2550</v>
          </cell>
          <cell r="S3211" t="str">
            <v>BAKEL</v>
          </cell>
          <cell r="T3211" t="str">
            <v>SAINT-LOUIS</v>
          </cell>
        </row>
        <row r="3212">
          <cell r="A3212" t="str">
            <v>STL_2551</v>
          </cell>
          <cell r="S3212" t="str">
            <v>LOUGA</v>
          </cell>
          <cell r="T3212" t="str">
            <v>SAINT-LOUIS</v>
          </cell>
        </row>
        <row r="3213">
          <cell r="A3213" t="str">
            <v>KLK_2552</v>
          </cell>
          <cell r="S3213" t="str">
            <v>MBOUR</v>
          </cell>
          <cell r="T3213" t="str">
            <v>KAOLACK</v>
          </cell>
        </row>
        <row r="3214">
          <cell r="A3214" t="str">
            <v>DBL_2808</v>
          </cell>
          <cell r="S3214" t="str">
            <v>LINGUERE</v>
          </cell>
          <cell r="T3214" t="str">
            <v>SAINT-LOUIS</v>
          </cell>
        </row>
        <row r="3215">
          <cell r="A3215" t="str">
            <v>DKR_2553</v>
          </cell>
          <cell r="S3215" t="str">
            <v>THIAROYE</v>
          </cell>
          <cell r="T3215" t="str">
            <v>DAKAR</v>
          </cell>
        </row>
        <row r="3216">
          <cell r="A3216" t="str">
            <v>NDM_2554</v>
          </cell>
          <cell r="S3216" t="str">
            <v>NDIOUM</v>
          </cell>
          <cell r="T3216" t="str">
            <v>SAINT-LOUIS</v>
          </cell>
        </row>
        <row r="3217">
          <cell r="A3217" t="str">
            <v>DBL_2555</v>
          </cell>
          <cell r="S3217" t="str">
            <v>TOUBA02</v>
          </cell>
          <cell r="T3217" t="str">
            <v>THIES</v>
          </cell>
        </row>
        <row r="3218">
          <cell r="A3218" t="str">
            <v>DBL_2557</v>
          </cell>
          <cell r="S3218" t="str">
            <v>LINGUERE</v>
          </cell>
          <cell r="T3218" t="str">
            <v>SAINT-LOUIS</v>
          </cell>
        </row>
        <row r="3219">
          <cell r="A3219" t="str">
            <v>KLD_2558</v>
          </cell>
          <cell r="S3219" t="str">
            <v>KOLDA</v>
          </cell>
          <cell r="T3219" t="str">
            <v>ZIGUINCHOR</v>
          </cell>
        </row>
        <row r="3220">
          <cell r="A3220" t="str">
            <v>DKR_2559</v>
          </cell>
          <cell r="S3220" t="str">
            <v>RUFISQUE</v>
          </cell>
          <cell r="T3220" t="str">
            <v>DAKAR</v>
          </cell>
        </row>
        <row r="3221">
          <cell r="A3221" t="str">
            <v>DKR_2560</v>
          </cell>
          <cell r="S3221" t="str">
            <v>RUFISQUE</v>
          </cell>
          <cell r="T3221" t="str">
            <v>DAKAR</v>
          </cell>
        </row>
        <row r="3222">
          <cell r="A3222" t="str">
            <v>STL_2827</v>
          </cell>
          <cell r="S3222" t="str">
            <v>LOUGA</v>
          </cell>
          <cell r="T3222" t="str">
            <v>SAINT-LOUIS</v>
          </cell>
        </row>
        <row r="3223">
          <cell r="A3223" t="str">
            <v>DBL_2561</v>
          </cell>
          <cell r="S3223" t="str">
            <v>DIOURBEL</v>
          </cell>
          <cell r="T3223" t="str">
            <v>THIES</v>
          </cell>
        </row>
        <row r="3224">
          <cell r="A3224" t="str">
            <v>DKR_2562</v>
          </cell>
          <cell r="S3224" t="str">
            <v>THIAROYE</v>
          </cell>
          <cell r="T3224" t="str">
            <v>DAKAR</v>
          </cell>
        </row>
        <row r="3225">
          <cell r="A3225" t="str">
            <v>DKR_2563</v>
          </cell>
          <cell r="S3225" t="str">
            <v>GUEDIAWAYE</v>
          </cell>
          <cell r="T3225" t="str">
            <v>DAKAR</v>
          </cell>
        </row>
        <row r="3226">
          <cell r="A3226" t="str">
            <v>DKR_2564</v>
          </cell>
          <cell r="S3226" t="str">
            <v>GUEDIAWAYE</v>
          </cell>
          <cell r="T3226" t="str">
            <v>DAKAR</v>
          </cell>
        </row>
        <row r="3227">
          <cell r="A3227" t="str">
            <v>DKR_2565</v>
          </cell>
          <cell r="S3227" t="str">
            <v>GUEDIAWAYE</v>
          </cell>
          <cell r="T3227" t="str">
            <v>DAKAR</v>
          </cell>
        </row>
        <row r="3228">
          <cell r="A3228" t="str">
            <v>DKR_2566</v>
          </cell>
          <cell r="S3228" t="str">
            <v>GUEDIAWAYE</v>
          </cell>
          <cell r="T3228" t="str">
            <v>DAKAR</v>
          </cell>
        </row>
        <row r="3229">
          <cell r="A3229" t="str">
            <v>DKR_2567</v>
          </cell>
          <cell r="S3229" t="str">
            <v>GUEDIAWAYE</v>
          </cell>
          <cell r="T3229" t="str">
            <v>DAKAR</v>
          </cell>
        </row>
        <row r="3230">
          <cell r="A3230" t="str">
            <v>DKR_2568</v>
          </cell>
          <cell r="S3230" t="str">
            <v>GUEDIAWAYE</v>
          </cell>
          <cell r="T3230" t="str">
            <v>DAKAR</v>
          </cell>
        </row>
        <row r="3231">
          <cell r="A3231" t="str">
            <v>DKR_2569</v>
          </cell>
          <cell r="S3231" t="str">
            <v>GUEDIAWAYE</v>
          </cell>
          <cell r="T3231" t="str">
            <v>DAKAR</v>
          </cell>
        </row>
        <row r="3232">
          <cell r="A3232" t="str">
            <v>DKR_2570</v>
          </cell>
          <cell r="S3232" t="str">
            <v>GUEDIAWAYE</v>
          </cell>
          <cell r="T3232" t="str">
            <v>DAKAR</v>
          </cell>
        </row>
        <row r="3233">
          <cell r="A3233" t="str">
            <v>DKR_2571</v>
          </cell>
          <cell r="S3233" t="str">
            <v>GUEDIAWAYE</v>
          </cell>
          <cell r="T3233" t="str">
            <v>DAKAR</v>
          </cell>
        </row>
        <row r="3234">
          <cell r="A3234" t="str">
            <v>DKR_2572</v>
          </cell>
          <cell r="S3234" t="str">
            <v>GUEDIAWAYE</v>
          </cell>
          <cell r="T3234" t="str">
            <v>DAKAR</v>
          </cell>
        </row>
        <row r="3235">
          <cell r="A3235" t="str">
            <v>DkR_2713</v>
          </cell>
          <cell r="S3235" t="str">
            <v>GUEDIAWAYE</v>
          </cell>
          <cell r="T3235" t="str">
            <v>DAKAR</v>
          </cell>
        </row>
        <row r="3236">
          <cell r="A3236" t="str">
            <v>STL_2573</v>
          </cell>
          <cell r="S3236" t="str">
            <v>LOUGA</v>
          </cell>
          <cell r="T3236" t="str">
            <v>SAINT-LOUIS</v>
          </cell>
        </row>
        <row r="3237">
          <cell r="A3237" t="str">
            <v>DKR_2574</v>
          </cell>
          <cell r="S3237" t="str">
            <v>OUAKAM</v>
          </cell>
          <cell r="T3237" t="str">
            <v>DAKAR</v>
          </cell>
        </row>
        <row r="3238">
          <cell r="A3238" t="str">
            <v>DKR_2575</v>
          </cell>
          <cell r="S3238" t="str">
            <v>SACRE_COEUR</v>
          </cell>
          <cell r="T3238" t="str">
            <v>DAKAR</v>
          </cell>
        </row>
        <row r="3239">
          <cell r="A3239" t="str">
            <v>DKR_2576</v>
          </cell>
          <cell r="S3239" t="str">
            <v>SACRE_COEUR</v>
          </cell>
          <cell r="T3239" t="str">
            <v>DAKAR</v>
          </cell>
        </row>
        <row r="3240">
          <cell r="A3240" t="str">
            <v>DKR_2577</v>
          </cell>
          <cell r="S3240" t="str">
            <v>MBOUR</v>
          </cell>
          <cell r="T3240" t="str">
            <v>DAKAR</v>
          </cell>
        </row>
        <row r="3241">
          <cell r="A3241" t="str">
            <v>DKR_2578</v>
          </cell>
          <cell r="S3241" t="str">
            <v>OUAKAM</v>
          </cell>
          <cell r="T3241" t="str">
            <v>DAKAR</v>
          </cell>
        </row>
        <row r="3242">
          <cell r="A3242" t="str">
            <v>DKR_2579</v>
          </cell>
          <cell r="S3242" t="str">
            <v>OUAKAM</v>
          </cell>
          <cell r="T3242" t="str">
            <v>DAKAR</v>
          </cell>
        </row>
        <row r="3243">
          <cell r="A3243" t="str">
            <v>DKR_2580</v>
          </cell>
          <cell r="S3243" t="str">
            <v>OUAKAM</v>
          </cell>
          <cell r="T3243" t="str">
            <v>DAKAR</v>
          </cell>
        </row>
        <row r="3244">
          <cell r="A3244" t="str">
            <v>DKR_2581</v>
          </cell>
          <cell r="S3244" t="str">
            <v>OUAKAM</v>
          </cell>
          <cell r="T3244" t="str">
            <v>DAKAR</v>
          </cell>
        </row>
        <row r="3245">
          <cell r="A3245" t="str">
            <v>DKR_2582</v>
          </cell>
          <cell r="S3245" t="str">
            <v>OUAKAM</v>
          </cell>
          <cell r="T3245" t="str">
            <v>DAKAR</v>
          </cell>
        </row>
        <row r="3246">
          <cell r="A3246" t="str">
            <v>DKR_2583</v>
          </cell>
          <cell r="S3246" t="str">
            <v>OUAKAM</v>
          </cell>
          <cell r="T3246" t="str">
            <v>DAKAR</v>
          </cell>
        </row>
        <row r="3247">
          <cell r="A3247" t="str">
            <v>DKR_2584</v>
          </cell>
          <cell r="S3247" t="str">
            <v>OUAKAM</v>
          </cell>
          <cell r="T3247" t="str">
            <v>DAKAR</v>
          </cell>
        </row>
        <row r="3248">
          <cell r="A3248" t="str">
            <v>DKR_2585</v>
          </cell>
          <cell r="S3248" t="str">
            <v>OUAKAM</v>
          </cell>
          <cell r="T3248" t="str">
            <v>DAKAR</v>
          </cell>
        </row>
        <row r="3249">
          <cell r="A3249" t="str">
            <v>DKR_2586</v>
          </cell>
          <cell r="S3249" t="str">
            <v>OUAKAM</v>
          </cell>
          <cell r="T3249" t="str">
            <v>DAKAR</v>
          </cell>
        </row>
        <row r="3250">
          <cell r="A3250" t="str">
            <v>DKR_2587</v>
          </cell>
          <cell r="S3250" t="str">
            <v>OUAKAM</v>
          </cell>
          <cell r="T3250" t="str">
            <v>DAKAR</v>
          </cell>
        </row>
        <row r="3251">
          <cell r="A3251" t="str">
            <v>DKR_2588</v>
          </cell>
          <cell r="S3251" t="str">
            <v>OUAKAM</v>
          </cell>
          <cell r="T3251" t="str">
            <v>DAKAR</v>
          </cell>
        </row>
        <row r="3252">
          <cell r="A3252" t="str">
            <v>DKR_2589</v>
          </cell>
          <cell r="S3252" t="str">
            <v>OUAKAM</v>
          </cell>
          <cell r="T3252" t="str">
            <v>DAKAR</v>
          </cell>
        </row>
        <row r="3253">
          <cell r="A3253" t="str">
            <v>DKR_2590</v>
          </cell>
          <cell r="S3253" t="str">
            <v>OUAKAM</v>
          </cell>
          <cell r="T3253" t="str">
            <v>DAKAR</v>
          </cell>
        </row>
        <row r="3254">
          <cell r="A3254" t="str">
            <v>DKR_2591</v>
          </cell>
          <cell r="S3254" t="str">
            <v>OUAKAM</v>
          </cell>
          <cell r="T3254" t="str">
            <v>DAKAR</v>
          </cell>
        </row>
        <row r="3255">
          <cell r="A3255" t="str">
            <v>DBL_2592</v>
          </cell>
          <cell r="S3255" t="str">
            <v>LINGUERE</v>
          </cell>
          <cell r="T3255" t="str">
            <v>THIES</v>
          </cell>
        </row>
        <row r="3256">
          <cell r="A3256" t="str">
            <v>TMB_2816</v>
          </cell>
          <cell r="S3256" t="str">
            <v>BAKEL</v>
          </cell>
          <cell r="T3256" t="str">
            <v>TAMBACOUNDA</v>
          </cell>
        </row>
        <row r="3257">
          <cell r="A3257" t="str">
            <v>ZIG_2593</v>
          </cell>
          <cell r="S3257" t="str">
            <v>ZIGUINCHOR</v>
          </cell>
          <cell r="T3257" t="str">
            <v>ZIGUINCHOR</v>
          </cell>
        </row>
        <row r="3258">
          <cell r="A3258" t="str">
            <v>ZIG_2594</v>
          </cell>
          <cell r="S3258" t="str">
            <v>ZIGUINCHOR</v>
          </cell>
          <cell r="T3258" t="str">
            <v>ZIGUINCHOR</v>
          </cell>
        </row>
        <row r="3259">
          <cell r="A3259" t="str">
            <v>ZIG_2596</v>
          </cell>
          <cell r="S3259" t="str">
            <v>ZIGUINCHOR</v>
          </cell>
          <cell r="T3259" t="str">
            <v>ZIGUINCHOR</v>
          </cell>
        </row>
        <row r="3260">
          <cell r="A3260" t="str">
            <v>ZIG_2597</v>
          </cell>
          <cell r="S3260" t="str">
            <v>ZIGUINCHOR</v>
          </cell>
          <cell r="T3260" t="str">
            <v>ZIGUINCHOR</v>
          </cell>
        </row>
        <row r="3261">
          <cell r="A3261" t="str">
            <v>ZIG_2598</v>
          </cell>
          <cell r="S3261" t="str">
            <v>ZIGUINCHOR</v>
          </cell>
          <cell r="T3261" t="str">
            <v>ZIGUINCHOR</v>
          </cell>
        </row>
        <row r="3262">
          <cell r="A3262" t="str">
            <v>ZIG_2599</v>
          </cell>
          <cell r="S3262" t="str">
            <v>ZIGUINCHOR</v>
          </cell>
          <cell r="T3262" t="str">
            <v>ZIGUINCHOR</v>
          </cell>
        </row>
        <row r="3263">
          <cell r="A3263" t="str">
            <v>ZIG_2600</v>
          </cell>
          <cell r="S3263" t="str">
            <v>ZIGUINCHOR</v>
          </cell>
          <cell r="T3263" t="str">
            <v>ZIGUINCHOR</v>
          </cell>
        </row>
        <row r="3264">
          <cell r="A3264" t="str">
            <v>ZIG_2601</v>
          </cell>
          <cell r="S3264" t="str">
            <v>ZIGUINCHOR</v>
          </cell>
          <cell r="T3264" t="str">
            <v>ZIGUINCHOR</v>
          </cell>
        </row>
        <row r="3265">
          <cell r="A3265" t="str">
            <v>ZIG_2602</v>
          </cell>
          <cell r="S3265" t="str">
            <v>ZIGUINCHOR</v>
          </cell>
          <cell r="T3265" t="str">
            <v>ZIGUINCHOR</v>
          </cell>
        </row>
        <row r="3266">
          <cell r="A3266" t="str">
            <v>ZIG_2603</v>
          </cell>
          <cell r="S3266" t="str">
            <v>ZIGUINCHOR</v>
          </cell>
          <cell r="T3266" t="str">
            <v>ZIGUINCHOR</v>
          </cell>
        </row>
        <row r="3267">
          <cell r="A3267" t="str">
            <v>ZIG_2604</v>
          </cell>
          <cell r="S3267" t="str">
            <v>ZIGUINCHOR</v>
          </cell>
          <cell r="T3267" t="str">
            <v>ZIGUINCHOR</v>
          </cell>
        </row>
        <row r="3268">
          <cell r="A3268" t="str">
            <v>ZIG_2605</v>
          </cell>
          <cell r="S3268" t="str">
            <v>ZIGUINCHOR</v>
          </cell>
          <cell r="T3268" t="str">
            <v>ZIGUINCHOR</v>
          </cell>
        </row>
        <row r="3269">
          <cell r="A3269" t="str">
            <v>ZIG_2606</v>
          </cell>
          <cell r="S3269" t="str">
            <v>ZIGUINCHOR</v>
          </cell>
          <cell r="T3269" t="str">
            <v>ZIGUINCHOR</v>
          </cell>
        </row>
        <row r="3270">
          <cell r="A3270" t="str">
            <v>ZIG_2607</v>
          </cell>
          <cell r="S3270" t="str">
            <v>ZIGUINCHOR</v>
          </cell>
          <cell r="T3270" t="str">
            <v>ZIGUINCHOR</v>
          </cell>
        </row>
        <row r="3271">
          <cell r="A3271" t="str">
            <v>ZIG_2608</v>
          </cell>
          <cell r="S3271" t="str">
            <v>ZIGUINCHOR</v>
          </cell>
          <cell r="T3271" t="str">
            <v>ZIGUINCHOR</v>
          </cell>
        </row>
        <row r="3272">
          <cell r="A3272" t="str">
            <v>ZIG_2609</v>
          </cell>
          <cell r="S3272" t="str">
            <v>ZIGUINCHOR</v>
          </cell>
          <cell r="T3272" t="str">
            <v>ZIGUINCHOR</v>
          </cell>
        </row>
        <row r="3273">
          <cell r="A3273" t="str">
            <v>ZIG_2610</v>
          </cell>
          <cell r="S3273" t="str">
            <v>ZIGUINCHOR</v>
          </cell>
          <cell r="T3273" t="str">
            <v>ZIGUINCHOR</v>
          </cell>
        </row>
        <row r="3274">
          <cell r="A3274" t="str">
            <v>ZIG_2611</v>
          </cell>
          <cell r="S3274" t="str">
            <v>ZIGUINCHOR</v>
          </cell>
          <cell r="T3274" t="str">
            <v>ZIGUINCHOR</v>
          </cell>
        </row>
        <row r="3275">
          <cell r="A3275" t="str">
            <v>ZIG_2612</v>
          </cell>
          <cell r="S3275" t="str">
            <v>ZIGUINCHOR</v>
          </cell>
          <cell r="T3275" t="str">
            <v>ZIGUINCHOR</v>
          </cell>
        </row>
        <row r="3276">
          <cell r="A3276" t="str">
            <v>ZIG_2613</v>
          </cell>
          <cell r="S3276" t="str">
            <v>ZIGUINCHOR</v>
          </cell>
          <cell r="T3276" t="str">
            <v>ZIGUINCHOR</v>
          </cell>
        </row>
        <row r="3277">
          <cell r="A3277" t="str">
            <v>ZIG_2614</v>
          </cell>
          <cell r="S3277" t="str">
            <v>ZIGUINCHOR</v>
          </cell>
          <cell r="T3277" t="str">
            <v>ZIGUINCHOR</v>
          </cell>
        </row>
        <row r="3278">
          <cell r="A3278" t="str">
            <v>ZIG_2615</v>
          </cell>
          <cell r="S3278" t="str">
            <v>ZIGUINCHOR</v>
          </cell>
          <cell r="T3278" t="str">
            <v>ZIGUINCHOR</v>
          </cell>
        </row>
        <row r="3279">
          <cell r="A3279" t="str">
            <v>ZIG_2617</v>
          </cell>
          <cell r="S3279" t="str">
            <v>ZIGUINCHOR</v>
          </cell>
          <cell r="T3279" t="str">
            <v>ZIGUINCHOR</v>
          </cell>
        </row>
        <row r="3280">
          <cell r="A3280" t="str">
            <v>ZIG_2618</v>
          </cell>
          <cell r="S3280" t="str">
            <v>ZIGUINCHOR</v>
          </cell>
          <cell r="T3280" t="str">
            <v>ZIGUINCHOR</v>
          </cell>
        </row>
        <row r="3281">
          <cell r="A3281" t="str">
            <v>ZIG_2619</v>
          </cell>
          <cell r="S3281" t="str">
            <v>ZIGUINCHOR</v>
          </cell>
          <cell r="T3281" t="str">
            <v>ZIGUINCHOR</v>
          </cell>
        </row>
        <row r="3282">
          <cell r="A3282" t="str">
            <v>ZIG_2620</v>
          </cell>
          <cell r="S3282" t="str">
            <v>ZIGUINCHOR</v>
          </cell>
          <cell r="T3282" t="str">
            <v>ZIGUINCHOR</v>
          </cell>
        </row>
        <row r="3283">
          <cell r="A3283" t="str">
            <v>ZIG_2622</v>
          </cell>
          <cell r="S3283" t="str">
            <v>ZIGUINCHOR</v>
          </cell>
          <cell r="T3283" t="str">
            <v>ZIGUINCHOR</v>
          </cell>
        </row>
        <row r="3284">
          <cell r="A3284" t="str">
            <v>ZIG_2623</v>
          </cell>
          <cell r="S3284" t="str">
            <v>ZIGUINCHOR</v>
          </cell>
          <cell r="T3284" t="str">
            <v>ZIGUINCHOR</v>
          </cell>
        </row>
        <row r="3285">
          <cell r="A3285" t="str">
            <v>ZIG_2709</v>
          </cell>
          <cell r="S3285" t="str">
            <v>ZIGUINCHOR</v>
          </cell>
          <cell r="T3285" t="str">
            <v>ZIGUINCHOR</v>
          </cell>
        </row>
        <row r="3286">
          <cell r="A3286" t="str">
            <v>ZIG_2702</v>
          </cell>
          <cell r="S3286" t="str">
            <v>ZIGUINCHOR</v>
          </cell>
          <cell r="T3286" t="str">
            <v>ZIGUINCHOR</v>
          </cell>
        </row>
        <row r="3287">
          <cell r="A3287" t="str">
            <v>DKR_2624</v>
          </cell>
          <cell r="S3287" t="str">
            <v>SACRE_COEUR</v>
          </cell>
          <cell r="T3287" t="str">
            <v>DAKAR</v>
          </cell>
        </row>
        <row r="3288">
          <cell r="A3288" t="str">
            <v>DKR_2625</v>
          </cell>
          <cell r="S3288" t="str">
            <v>SACRE_COEUR</v>
          </cell>
          <cell r="T3288" t="str">
            <v>DAKAR</v>
          </cell>
        </row>
        <row r="3289">
          <cell r="A3289" t="str">
            <v>DKR_2626</v>
          </cell>
          <cell r="S3289" t="str">
            <v>MBOUR</v>
          </cell>
          <cell r="T3289" t="str">
            <v>DAKAR</v>
          </cell>
        </row>
        <row r="3290">
          <cell r="A3290" t="str">
            <v>DKR_2627</v>
          </cell>
          <cell r="S3290" t="str">
            <v>SACRE_COEUR</v>
          </cell>
          <cell r="T3290" t="str">
            <v>DAKAR</v>
          </cell>
        </row>
        <row r="3291">
          <cell r="S3291" t="e">
            <v>#N/A</v>
          </cell>
          <cell r="T3291" t="e">
            <v>#N/A</v>
          </cell>
        </row>
        <row r="3292">
          <cell r="A3292" t="str">
            <v>DKR_2629</v>
          </cell>
          <cell r="S3292" t="str">
            <v>SACRE_COEUR</v>
          </cell>
          <cell r="T3292" t="str">
            <v>DAKAR</v>
          </cell>
        </row>
        <row r="3293">
          <cell r="A3293" t="str">
            <v>DKR_2630</v>
          </cell>
          <cell r="S3293" t="str">
            <v>SACRE_COEUR</v>
          </cell>
          <cell r="T3293" t="str">
            <v>DAKAR</v>
          </cell>
        </row>
        <row r="3294">
          <cell r="A3294" t="str">
            <v>KLK_2724</v>
          </cell>
          <cell r="S3294" t="str">
            <v>KAFFRINE</v>
          </cell>
          <cell r="T3294" t="str">
            <v>KAOLACK</v>
          </cell>
        </row>
        <row r="3295">
          <cell r="A3295" t="str">
            <v>STL_2810</v>
          </cell>
          <cell r="S3295" t="str">
            <v>SAINT-LOUIS</v>
          </cell>
          <cell r="T3295" t="str">
            <v>SAINT-LOUIS</v>
          </cell>
        </row>
        <row r="3296">
          <cell r="A3296" t="str">
            <v>STL_2836</v>
          </cell>
          <cell r="S3296" t="str">
            <v>LOUGA</v>
          </cell>
          <cell r="T3296" t="str">
            <v>SAINT-LOUIS</v>
          </cell>
        </row>
        <row r="3297">
          <cell r="A3297" t="str">
            <v>KLK_2842</v>
          </cell>
          <cell r="S3297" t="str">
            <v>KAFFRINE</v>
          </cell>
          <cell r="T3297" t="str">
            <v>KAOLACK</v>
          </cell>
        </row>
        <row r="3298">
          <cell r="A3298" t="str">
            <v>DKR_2838</v>
          </cell>
          <cell r="S3298" t="str">
            <v>DAKAR</v>
          </cell>
          <cell r="T3298" t="str">
            <v>DAKAR</v>
          </cell>
        </row>
        <row r="3299">
          <cell r="A3299" t="str">
            <v>MBR_2550</v>
          </cell>
          <cell r="S3299" t="str">
            <v>MBOURE</v>
          </cell>
          <cell r="T3299" t="str">
            <v>THIES</v>
          </cell>
        </row>
        <row r="3300">
          <cell r="A3300" t="str">
            <v>MBR_2549</v>
          </cell>
          <cell r="S3300" t="str">
            <v>MBOURE</v>
          </cell>
          <cell r="T3300" t="str">
            <v>THIES</v>
          </cell>
        </row>
        <row r="3301">
          <cell r="A3301" t="str">
            <v>MBR_2552</v>
          </cell>
          <cell r="S3301" t="str">
            <v>MBOURE</v>
          </cell>
          <cell r="T3301" t="str">
            <v>THIES</v>
          </cell>
        </row>
        <row r="3302">
          <cell r="A3302" t="str">
            <v>KLK_2850</v>
          </cell>
          <cell r="S3302" t="str">
            <v>FATICK</v>
          </cell>
          <cell r="T3302" t="str">
            <v>KAOLACK</v>
          </cell>
        </row>
        <row r="3303">
          <cell r="A3303" t="str">
            <v>ZIG_2732</v>
          </cell>
          <cell r="S3303" t="str">
            <v>ZIGUINCHOR</v>
          </cell>
          <cell r="T3303" t="str">
            <v>ZIGUINCHOR</v>
          </cell>
        </row>
        <row r="3304">
          <cell r="A3304" t="str">
            <v>NDM_2559</v>
          </cell>
          <cell r="S3304" t="str">
            <v>SAINT-LOUIS</v>
          </cell>
          <cell r="T3304" t="str">
            <v>SAINT-LOUIS</v>
          </cell>
        </row>
        <row r="3305">
          <cell r="A3305" t="str">
            <v>KLK_2851</v>
          </cell>
          <cell r="S3305" t="str">
            <v>KAFFRINE</v>
          </cell>
          <cell r="T3305" t="str">
            <v>KAOLACK</v>
          </cell>
        </row>
        <row r="3306">
          <cell r="A3306" t="str">
            <v>THS_2811</v>
          </cell>
          <cell r="S3306" t="str">
            <v>THIES</v>
          </cell>
          <cell r="T3306" t="str">
            <v>THIES</v>
          </cell>
        </row>
        <row r="3307">
          <cell r="A3307" t="str">
            <v>DKR_2821</v>
          </cell>
          <cell r="S3307" t="str">
            <v>DAKAR</v>
          </cell>
          <cell r="T3307" t="str">
            <v>DAKAR</v>
          </cell>
        </row>
        <row r="3308">
          <cell r="A3308" t="str">
            <v>STL_2822</v>
          </cell>
          <cell r="S3308" t="str">
            <v>SAINT-LOUIS</v>
          </cell>
          <cell r="T3308" t="str">
            <v>SAINT-LOUIS</v>
          </cell>
        </row>
        <row r="3309">
          <cell r="A3309" t="str">
            <v>KLK_2853</v>
          </cell>
          <cell r="S3309" t="str">
            <v>FATICK</v>
          </cell>
          <cell r="T3309" t="str">
            <v>KAOLACK</v>
          </cell>
        </row>
        <row r="3310">
          <cell r="A3310" t="str">
            <v>DKR_2853</v>
          </cell>
          <cell r="S3310" t="str">
            <v>DAKAR</v>
          </cell>
          <cell r="T3310" t="str">
            <v>DAKAR</v>
          </cell>
        </row>
        <row r="3311">
          <cell r="A3311" t="str">
            <v>DKR_2856</v>
          </cell>
          <cell r="S3311" t="str">
            <v>DAKAR</v>
          </cell>
          <cell r="T3311" t="str">
            <v>DAKAR</v>
          </cell>
        </row>
        <row r="3312">
          <cell r="A3312" t="str">
            <v>DKR_2861</v>
          </cell>
          <cell r="S3312" t="str">
            <v>DAKAR</v>
          </cell>
          <cell r="T3312" t="str">
            <v>DAKAR</v>
          </cell>
        </row>
        <row r="3313">
          <cell r="A3313" t="str">
            <v>KLK_2856</v>
          </cell>
          <cell r="S3313" t="str">
            <v>FATICK</v>
          </cell>
          <cell r="T3313" t="str">
            <v>KAOLACK</v>
          </cell>
        </row>
        <row r="3314">
          <cell r="A3314" t="str">
            <v>THS_2835</v>
          </cell>
          <cell r="S3314" t="str">
            <v>MBOURE</v>
          </cell>
          <cell r="T3314" t="str">
            <v>THIES</v>
          </cell>
        </row>
        <row r="3315">
          <cell r="A3315" t="str">
            <v>DKR_2875</v>
          </cell>
          <cell r="S3315" t="str">
            <v>DAKAR</v>
          </cell>
          <cell r="T3315" t="str">
            <v>DAKAR</v>
          </cell>
        </row>
        <row r="3316">
          <cell r="A3316" t="str">
            <v>STL_2839</v>
          </cell>
          <cell r="S3316" t="str">
            <v>SAINT-LOUIS</v>
          </cell>
          <cell r="T3316" t="str">
            <v>SAINT-LOUIS</v>
          </cell>
        </row>
        <row r="3317">
          <cell r="A3317" t="str">
            <v>TMB_2815</v>
          </cell>
          <cell r="S3317" t="str">
            <v>TAMBACOUNDA</v>
          </cell>
          <cell r="T3317" t="str">
            <v>TAMBACOUNDA</v>
          </cell>
        </row>
        <row r="3318">
          <cell r="A3318" t="str">
            <v>KLK_2823</v>
          </cell>
          <cell r="S3318" t="str">
            <v>KAOLACK</v>
          </cell>
          <cell r="T3318" t="str">
            <v>KAOLACK</v>
          </cell>
        </row>
        <row r="3319">
          <cell r="A3319" t="str">
            <v>THS_2813</v>
          </cell>
          <cell r="S3319" t="str">
            <v>THIES</v>
          </cell>
          <cell r="T3319" t="str">
            <v>THIES</v>
          </cell>
        </row>
        <row r="3320">
          <cell r="A3320" t="str">
            <v>DKR_2828</v>
          </cell>
          <cell r="S3320" t="str">
            <v>DAKAR</v>
          </cell>
          <cell r="T3320" t="str">
            <v>DAKAR</v>
          </cell>
        </row>
        <row r="3321">
          <cell r="A3321" t="str">
            <v>ORG_2572</v>
          </cell>
          <cell r="S3321" t="str">
            <v>OUROSSOGUI</v>
          </cell>
          <cell r="T3321" t="str">
            <v>SAINT-LOUIS</v>
          </cell>
        </row>
        <row r="3322">
          <cell r="A3322" t="str">
            <v>DKR_2854</v>
          </cell>
          <cell r="S3322" t="str">
            <v>DAKAR</v>
          </cell>
          <cell r="T3322" t="str">
            <v>DAKAR</v>
          </cell>
        </row>
        <row r="3323">
          <cell r="A3323" t="str">
            <v>DKR_2863</v>
          </cell>
          <cell r="S3323" t="str">
            <v>DAKAR</v>
          </cell>
          <cell r="T3323" t="str">
            <v>DAKAR</v>
          </cell>
        </row>
        <row r="3324">
          <cell r="A3324" t="str">
            <v>KLK_2857</v>
          </cell>
          <cell r="S3324" t="str">
            <v>KAOLACK</v>
          </cell>
          <cell r="T3324" t="str">
            <v>KAOLACK</v>
          </cell>
        </row>
        <row r="3325">
          <cell r="A3325" t="str">
            <v>MBR_2551</v>
          </cell>
          <cell r="S3325" t="str">
            <v>KAOLACK</v>
          </cell>
          <cell r="T3325" t="str">
            <v>KAOLACK</v>
          </cell>
        </row>
        <row r="3326">
          <cell r="A3326" t="str">
            <v>BKL_2755</v>
          </cell>
          <cell r="S3326" t="str">
            <v>MATAM</v>
          </cell>
          <cell r="T3326" t="str">
            <v>SAINT-LOUIS</v>
          </cell>
        </row>
        <row r="3327">
          <cell r="A3327" t="str">
            <v>ORG_2573</v>
          </cell>
          <cell r="S3327" t="str">
            <v>MATAM</v>
          </cell>
          <cell r="T3327" t="str">
            <v>SAINT-LOUIS</v>
          </cell>
        </row>
        <row r="3328">
          <cell r="A3328" t="str">
            <v>KLK_2852</v>
          </cell>
          <cell r="S3328" t="str">
            <v>FATICK</v>
          </cell>
          <cell r="T3328" t="str">
            <v>KAOLACK</v>
          </cell>
        </row>
        <row r="3329">
          <cell r="A3329" t="str">
            <v>THS_2812</v>
          </cell>
          <cell r="S3329" t="str">
            <v>MBOURE</v>
          </cell>
          <cell r="T3329" t="str">
            <v>THIES</v>
          </cell>
        </row>
        <row r="3330">
          <cell r="A3330" t="str">
            <v>DKR_2877</v>
          </cell>
          <cell r="S3330" t="str">
            <v>DAKAR</v>
          </cell>
          <cell r="T3330" t="str">
            <v>DAKAR</v>
          </cell>
        </row>
        <row r="3331">
          <cell r="A3331" t="str">
            <v>DKR_2771</v>
          </cell>
          <cell r="S3331" t="str">
            <v>DAKAR</v>
          </cell>
          <cell r="T3331" t="str">
            <v>DAKAR</v>
          </cell>
        </row>
        <row r="3332">
          <cell r="A3332" t="str">
            <v>DKR_2844</v>
          </cell>
          <cell r="S3332" t="str">
            <v>DAKAR</v>
          </cell>
          <cell r="T3332" t="str">
            <v>DAKAR</v>
          </cell>
        </row>
        <row r="3333">
          <cell r="A3333" t="str">
            <v>KLK_2854</v>
          </cell>
          <cell r="S3333" t="str">
            <v>FATICK</v>
          </cell>
          <cell r="T3333" t="str">
            <v>KAOLACK</v>
          </cell>
        </row>
        <row r="3334">
          <cell r="A3334" t="str">
            <v>DKR_2845</v>
          </cell>
          <cell r="S3334" t="str">
            <v>DAKAR</v>
          </cell>
          <cell r="T3334" t="str">
            <v>DAKAR</v>
          </cell>
        </row>
        <row r="3335">
          <cell r="A3335" t="str">
            <v>DKR_2859</v>
          </cell>
          <cell r="S3335" t="str">
            <v>DAKAR</v>
          </cell>
          <cell r="T3335" t="str">
            <v>DAKAR</v>
          </cell>
        </row>
        <row r="3336">
          <cell r="A3336" t="str">
            <v>DKR_2849</v>
          </cell>
          <cell r="S3336" t="str">
            <v>DAKAR</v>
          </cell>
          <cell r="T3336" t="str">
            <v>DAKAR</v>
          </cell>
        </row>
        <row r="3337">
          <cell r="A3337" t="str">
            <v>DKR_2870</v>
          </cell>
          <cell r="S3337" t="str">
            <v>DAKAR</v>
          </cell>
          <cell r="T3337" t="str">
            <v>DAKAR</v>
          </cell>
        </row>
        <row r="3338">
          <cell r="A3338" t="str">
            <v>ZIG_2731</v>
          </cell>
          <cell r="S3338" t="str">
            <v>ZIGUINCHOR</v>
          </cell>
          <cell r="T3338" t="str">
            <v>ZIGUINCHOR</v>
          </cell>
        </row>
        <row r="3339">
          <cell r="A3339" t="str">
            <v>KDG_2726</v>
          </cell>
          <cell r="S3339" t="str">
            <v>KEDOUGOU</v>
          </cell>
          <cell r="T3339" t="str">
            <v>TAMBACOUNDA</v>
          </cell>
        </row>
        <row r="3340">
          <cell r="A3340" t="str">
            <v>DBL_2805</v>
          </cell>
          <cell r="S3340" t="str">
            <v>LINGUERE</v>
          </cell>
          <cell r="T3340" t="str">
            <v>SAINT-LOUIS</v>
          </cell>
        </row>
        <row r="3341">
          <cell r="A3341" t="str">
            <v>DKR_2848</v>
          </cell>
          <cell r="S3341" t="str">
            <v>DAKAR</v>
          </cell>
          <cell r="T3341" t="str">
            <v>DAKAR</v>
          </cell>
        </row>
        <row r="3342">
          <cell r="A3342" t="str">
            <v>DKR_2857</v>
          </cell>
          <cell r="S3342" t="str">
            <v>DAKAR</v>
          </cell>
          <cell r="T3342" t="str">
            <v>DAKAR</v>
          </cell>
        </row>
        <row r="3343">
          <cell r="A3343" t="str">
            <v>DKR_2864</v>
          </cell>
          <cell r="S3343" t="str">
            <v>DAKAR</v>
          </cell>
          <cell r="T3343" t="str">
            <v>DAKAR</v>
          </cell>
        </row>
        <row r="3344">
          <cell r="A3344" t="str">
            <v>KLK_2848</v>
          </cell>
          <cell r="S3344" t="str">
            <v>FATICK</v>
          </cell>
          <cell r="T3344" t="str">
            <v>KAOLACK</v>
          </cell>
        </row>
        <row r="3345">
          <cell r="A3345" t="str">
            <v>NDM_2560</v>
          </cell>
          <cell r="S3345" t="str">
            <v>SAINT LOUIS</v>
          </cell>
          <cell r="T3345" t="str">
            <v>SAINT LOUIS</v>
          </cell>
        </row>
        <row r="3346">
          <cell r="A3346" t="str">
            <v>DKR_2880</v>
          </cell>
          <cell r="S3346" t="str">
            <v>DAKAR</v>
          </cell>
          <cell r="T3346" t="str">
            <v>DAKAR</v>
          </cell>
        </row>
        <row r="3347">
          <cell r="A3347" t="str">
            <v>DBL_2810</v>
          </cell>
          <cell r="S3347" t="str">
            <v>LINGUERE</v>
          </cell>
          <cell r="T3347" t="str">
            <v>SAINT LOUIS</v>
          </cell>
        </row>
        <row r="3348">
          <cell r="A3348" t="str">
            <v>THS_2834</v>
          </cell>
          <cell r="S3348" t="str">
            <v>THIES</v>
          </cell>
          <cell r="T3348" t="str">
            <v>THIES</v>
          </cell>
        </row>
        <row r="3349">
          <cell r="A3349" t="str">
            <v>THS_2816</v>
          </cell>
          <cell r="S3349" t="str">
            <v>THIES</v>
          </cell>
          <cell r="T3349" t="str">
            <v>THIES</v>
          </cell>
        </row>
        <row r="3350">
          <cell r="A3350" t="str">
            <v>KDG_2729</v>
          </cell>
          <cell r="S3350" t="str">
            <v>KEDOUGOU</v>
          </cell>
          <cell r="T3350" t="str">
            <v>TAMBACOUNDA</v>
          </cell>
        </row>
        <row r="3351">
          <cell r="A3351" t="str">
            <v>STL_2840</v>
          </cell>
          <cell r="S3351" t="str">
            <v>SAINT LOUIS</v>
          </cell>
          <cell r="T3351" t="str">
            <v>SAINT LOUIS</v>
          </cell>
        </row>
        <row r="3352">
          <cell r="A3352" t="str">
            <v>DKR_2808</v>
          </cell>
          <cell r="S3352" t="str">
            <v>DAKAR</v>
          </cell>
          <cell r="T3352" t="str">
            <v>DAKAR</v>
          </cell>
        </row>
        <row r="3353">
          <cell r="A3353" t="str">
            <v>DKR_2869</v>
          </cell>
          <cell r="S3353" t="str">
            <v>DAKAR</v>
          </cell>
          <cell r="T3353" t="str">
            <v>DAKAR</v>
          </cell>
        </row>
        <row r="3354">
          <cell r="A3354" t="str">
            <v>DKR_2851</v>
          </cell>
          <cell r="S3354" t="str">
            <v>DAKAR</v>
          </cell>
          <cell r="T3354" t="str">
            <v>DAKAR</v>
          </cell>
        </row>
        <row r="3355">
          <cell r="A3355" t="str">
            <v>DKR_2852</v>
          </cell>
          <cell r="S3355" t="str">
            <v>DAKAR</v>
          </cell>
          <cell r="T3355" t="str">
            <v>DAKAR</v>
          </cell>
        </row>
        <row r="3356">
          <cell r="A3356" t="str">
            <v>KDG_2727</v>
          </cell>
          <cell r="S3356" t="str">
            <v>KEDOUGOU</v>
          </cell>
          <cell r="T3356" t="str">
            <v>TAMBACOUNDA</v>
          </cell>
        </row>
        <row r="3357">
          <cell r="A3357" t="str">
            <v>KDG_2728</v>
          </cell>
          <cell r="S3357" t="str">
            <v>KEDOUGOU</v>
          </cell>
          <cell r="T3357" t="str">
            <v>TAMBACOUNDA</v>
          </cell>
        </row>
        <row r="3358">
          <cell r="A3358" t="str">
            <v>DKR_2818</v>
          </cell>
          <cell r="S3358" t="str">
            <v>DAKAR</v>
          </cell>
          <cell r="T3358" t="str">
            <v>DAKAR</v>
          </cell>
        </row>
        <row r="3359">
          <cell r="A3359" t="str">
            <v>DKR_2823</v>
          </cell>
          <cell r="S3359" t="str">
            <v>DAKAR</v>
          </cell>
          <cell r="T3359" t="str">
            <v>DAKAR</v>
          </cell>
        </row>
        <row r="3360">
          <cell r="A3360" t="str">
            <v>DKR_2868</v>
          </cell>
          <cell r="S3360" t="str">
            <v>DAKAR</v>
          </cell>
          <cell r="T3360" t="str">
            <v>DAKAR</v>
          </cell>
        </row>
        <row r="3361">
          <cell r="A3361" t="str">
            <v>KLD_2841</v>
          </cell>
          <cell r="S3361" t="str">
            <v>KOLDA</v>
          </cell>
          <cell r="T3361" t="str">
            <v>ZIGUINCHOR</v>
          </cell>
        </row>
        <row r="3362">
          <cell r="A3362" t="str">
            <v>THS_2786</v>
          </cell>
          <cell r="S3362" t="str">
            <v>THIES</v>
          </cell>
          <cell r="T3362" t="str">
            <v>THIES</v>
          </cell>
        </row>
        <row r="3363">
          <cell r="A3363" t="str">
            <v>DKR_2858</v>
          </cell>
          <cell r="S3363" t="str">
            <v>DAKAR</v>
          </cell>
          <cell r="T3363" t="str">
            <v>DAKAR</v>
          </cell>
        </row>
        <row r="3364">
          <cell r="A3364" t="str">
            <v>THS_2837</v>
          </cell>
          <cell r="S3364" t="str">
            <v>THIES</v>
          </cell>
          <cell r="T3364" t="str">
            <v>THIES</v>
          </cell>
        </row>
        <row r="3365">
          <cell r="A3365" t="str">
            <v>DKR_2811</v>
          </cell>
          <cell r="S3365" t="str">
            <v>DAKAR</v>
          </cell>
          <cell r="T3365" t="str">
            <v>DAKAR</v>
          </cell>
        </row>
        <row r="3366">
          <cell r="A3366" t="str">
            <v>DKR_2826</v>
          </cell>
          <cell r="S3366" t="str">
            <v>DAKAR</v>
          </cell>
          <cell r="T3366" t="str">
            <v>DAKAR</v>
          </cell>
        </row>
        <row r="3367">
          <cell r="A3367" t="str">
            <v>KLK_2860</v>
          </cell>
          <cell r="S3367" t="str">
            <v>KAFFRINE</v>
          </cell>
          <cell r="T3367" t="str">
            <v>KAOLACK</v>
          </cell>
        </row>
        <row r="3368">
          <cell r="A3368" t="str">
            <v>DKR_2867</v>
          </cell>
          <cell r="S3368" t="str">
            <v>DAKAR</v>
          </cell>
          <cell r="T3368" t="str">
            <v>DAKAR</v>
          </cell>
        </row>
        <row r="3369">
          <cell r="A3369" t="str">
            <v>THS_2838</v>
          </cell>
          <cell r="S3369" t="str">
            <v>THIES</v>
          </cell>
          <cell r="T3369" t="str">
            <v>THIES</v>
          </cell>
        </row>
        <row r="3370">
          <cell r="A3370" t="str">
            <v>KLK_2863</v>
          </cell>
          <cell r="S3370" t="str">
            <v>KAOLACK</v>
          </cell>
          <cell r="T3370" t="str">
            <v>KAOLACK</v>
          </cell>
        </row>
        <row r="3371">
          <cell r="A3371" t="str">
            <v>KLK_2865</v>
          </cell>
          <cell r="S3371" t="str">
            <v>KAFFRINE</v>
          </cell>
          <cell r="T3371" t="str">
            <v>KAOLACK</v>
          </cell>
        </row>
        <row r="3372">
          <cell r="A3372" t="str">
            <v>DKR_2855</v>
          </cell>
          <cell r="S3372" t="str">
            <v>KEUR_MASSAAR</v>
          </cell>
          <cell r="T3372" t="str">
            <v>DAKAR</v>
          </cell>
        </row>
        <row r="3373">
          <cell r="A3373" t="str">
            <v>STL_2817</v>
          </cell>
          <cell r="S3373" t="str">
            <v>SAINT LOUIS</v>
          </cell>
          <cell r="T3373" t="str">
            <v>SAINT LOUIS</v>
          </cell>
        </row>
        <row r="3374">
          <cell r="A3374" t="str">
            <v>DBL_2811</v>
          </cell>
          <cell r="S3374" t="str">
            <v>DIOURBEL</v>
          </cell>
          <cell r="T3374" t="str">
            <v>THIES</v>
          </cell>
        </row>
        <row r="3375">
          <cell r="A3375" t="str">
            <v>DBL_2813</v>
          </cell>
          <cell r="S3375" t="str">
            <v>DIOURBEL</v>
          </cell>
          <cell r="T3375" t="str">
            <v>THIES</v>
          </cell>
        </row>
        <row r="3376">
          <cell r="A3376" t="str">
            <v>THS_2828</v>
          </cell>
          <cell r="S3376" t="str">
            <v>THIES</v>
          </cell>
          <cell r="T3376" t="str">
            <v>THIES</v>
          </cell>
        </row>
        <row r="3377">
          <cell r="A3377" t="str">
            <v>STL_2888</v>
          </cell>
          <cell r="S3377" t="str">
            <v>LOUGA</v>
          </cell>
          <cell r="T3377" t="str">
            <v>SAINT LOUIS</v>
          </cell>
        </row>
        <row r="3378">
          <cell r="A3378" t="str">
            <v>THS_2836</v>
          </cell>
          <cell r="S3378" t="str">
            <v>THIES</v>
          </cell>
          <cell r="T3378" t="str">
            <v>THIES</v>
          </cell>
        </row>
        <row r="3379">
          <cell r="A3379" t="str">
            <v>DKR_2871</v>
          </cell>
          <cell r="S3379" t="str">
            <v>DAKAR</v>
          </cell>
          <cell r="T3379" t="str">
            <v>DAKAR</v>
          </cell>
        </row>
        <row r="3380">
          <cell r="A3380" t="str">
            <v>KDG_2736</v>
          </cell>
          <cell r="S3380" t="str">
            <v>KEDOUGOU</v>
          </cell>
          <cell r="T3380" t="str">
            <v>TAMBACOUNDA</v>
          </cell>
        </row>
        <row r="3381">
          <cell r="A3381" t="str">
            <v>THS_2841</v>
          </cell>
          <cell r="S3381" t="str">
            <v>THIES</v>
          </cell>
          <cell r="T3381" t="str">
            <v>THIES</v>
          </cell>
        </row>
        <row r="3382">
          <cell r="A3382" t="str">
            <v>KDG_2748</v>
          </cell>
          <cell r="S3382" t="str">
            <v>KEDOUGOU</v>
          </cell>
          <cell r="T3382" t="str">
            <v>TAMBACOUNDA</v>
          </cell>
        </row>
        <row r="3383">
          <cell r="A3383" t="str">
            <v xml:space="preserve">		KDG_2763	</v>
          </cell>
          <cell r="S3383" t="str">
            <v>KEDOUGOU</v>
          </cell>
          <cell r="T3383" t="str">
            <v>TAMBACOUNDA</v>
          </cell>
        </row>
        <row r="3384">
          <cell r="A3384" t="str">
            <v>DKR_2843</v>
          </cell>
          <cell r="S3384" t="str">
            <v>DAKAR</v>
          </cell>
          <cell r="T3384" t="str">
            <v>DAKAR</v>
          </cell>
        </row>
        <row r="3385">
          <cell r="A3385" t="str">
            <v>DKR_2832</v>
          </cell>
          <cell r="S3385" t="str">
            <v>DAKAR</v>
          </cell>
          <cell r="T3385" t="str">
            <v>DAKAR</v>
          </cell>
        </row>
        <row r="3386">
          <cell r="A3386" t="str">
            <v>DKR_2873</v>
          </cell>
          <cell r="S3386" t="str">
            <v>DAKAR</v>
          </cell>
          <cell r="T3386" t="str">
            <v>DAKAR</v>
          </cell>
        </row>
        <row r="3387">
          <cell r="A3387" t="str">
            <v>KLK_2862</v>
          </cell>
          <cell r="S3387" t="str">
            <v>KAOLACK</v>
          </cell>
          <cell r="T3387" t="str">
            <v>KAOLACK</v>
          </cell>
        </row>
        <row r="3388">
          <cell r="A3388" t="str">
            <v>KLD_2840</v>
          </cell>
          <cell r="S3388" t="str">
            <v>KOLDA</v>
          </cell>
          <cell r="T3388" t="str">
            <v>ZIGUINCHOR</v>
          </cell>
        </row>
        <row r="3389">
          <cell r="A3389" t="str">
            <v>KDG_2751</v>
          </cell>
          <cell r="S3389" t="str">
            <v>KEDOUGOU</v>
          </cell>
          <cell r="T3389" t="str">
            <v>TAMBACOUNDA</v>
          </cell>
        </row>
        <row r="3390">
          <cell r="A3390" t="str">
            <v>KLK_2881</v>
          </cell>
          <cell r="S3390" t="str">
            <v>FATICK</v>
          </cell>
          <cell r="T3390" t="str">
            <v>KAOLACK</v>
          </cell>
        </row>
        <row r="3391">
          <cell r="A3391" t="str">
            <v>THS_2848</v>
          </cell>
          <cell r="S3391" t="str">
            <v>THIES</v>
          </cell>
          <cell r="T3391" t="str">
            <v>THIES</v>
          </cell>
        </row>
        <row r="3392">
          <cell r="A3392" t="str">
            <v>KDG_2750</v>
          </cell>
          <cell r="S3392" t="str">
            <v>KEDOUGOU</v>
          </cell>
          <cell r="T3392" t="str">
            <v>TAMBACOUNDA</v>
          </cell>
        </row>
        <row r="3393">
          <cell r="A3393" t="str">
            <v>DKR_2894</v>
          </cell>
          <cell r="S3393" t="str">
            <v>DAKAR</v>
          </cell>
          <cell r="T3393" t="str">
            <v>DAKAR</v>
          </cell>
        </row>
        <row r="3394">
          <cell r="A3394" t="str">
            <v>DKR_2847</v>
          </cell>
          <cell r="S3394" t="str">
            <v>DAKAR</v>
          </cell>
          <cell r="T3394" t="str">
            <v>DAKAR</v>
          </cell>
        </row>
        <row r="3395">
          <cell r="A3395" t="str">
            <v>THS_2829</v>
          </cell>
          <cell r="S3395" t="str">
            <v>THIES</v>
          </cell>
          <cell r="T3395" t="str">
            <v>THIES</v>
          </cell>
        </row>
        <row r="3396">
          <cell r="A3396" t="str">
            <v>THS_2830</v>
          </cell>
          <cell r="S3396" t="str">
            <v>THIES</v>
          </cell>
          <cell r="T3396" t="str">
            <v>THIES</v>
          </cell>
        </row>
        <row r="3397">
          <cell r="A3397" t="str">
            <v>THS_2831</v>
          </cell>
          <cell r="S3397" t="str">
            <v>THIES</v>
          </cell>
          <cell r="T3397" t="str">
            <v>THIES</v>
          </cell>
        </row>
        <row r="3398">
          <cell r="A3398" t="str">
            <v>THS_2833</v>
          </cell>
          <cell r="S3398" t="str">
            <v>THIES</v>
          </cell>
          <cell r="T3398" t="str">
            <v>THIES</v>
          </cell>
        </row>
        <row r="3399">
          <cell r="A3399" t="str">
            <v>KLK_2864</v>
          </cell>
          <cell r="S3399" t="str">
            <v>FATICK</v>
          </cell>
          <cell r="T3399" t="str">
            <v>KAOLACK</v>
          </cell>
        </row>
        <row r="3400">
          <cell r="A3400" t="str">
            <v>KDG_2749</v>
          </cell>
          <cell r="S3400" t="str">
            <v>KEDOUGOU</v>
          </cell>
          <cell r="T3400" t="str">
            <v>TAMBACOUNDA</v>
          </cell>
        </row>
        <row r="3401">
          <cell r="A3401" t="str">
            <v>KLK_2858</v>
          </cell>
          <cell r="S3401" t="str">
            <v>KAOLACK</v>
          </cell>
          <cell r="T3401" t="str">
            <v>KAOLACK</v>
          </cell>
        </row>
        <row r="3402">
          <cell r="A3402" t="str">
            <v>DKR_2813</v>
          </cell>
          <cell r="S3402" t="str">
            <v>DAKAR</v>
          </cell>
          <cell r="T3402" t="str">
            <v>DAKAR</v>
          </cell>
        </row>
        <row r="3403">
          <cell r="A3403" t="str">
            <v>STL_2887</v>
          </cell>
          <cell r="S3403" t="str">
            <v>SAINT LOUIS</v>
          </cell>
          <cell r="T3403" t="str">
            <v>SAINT LOUIS</v>
          </cell>
        </row>
        <row r="3404">
          <cell r="A3404" t="str">
            <v>TMB_2821</v>
          </cell>
          <cell r="S3404" t="str">
            <v>TAMBACOUNDA</v>
          </cell>
          <cell r="T3404" t="str">
            <v>TAMBACOUNDA</v>
          </cell>
        </row>
        <row r="3405">
          <cell r="A3405" t="str">
            <v>ZIG_2724</v>
          </cell>
          <cell r="S3405" t="str">
            <v>ZIGUINCHOR</v>
          </cell>
          <cell r="T3405" t="str">
            <v>ZIGUINCHOR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D3CC-3B8B-4AF7-8A81-327CEBDE10F3}">
  <dimension ref="B2:AJ473"/>
  <sheetViews>
    <sheetView tabSelected="1" topLeftCell="G1" zoomScale="91" zoomScaleNormal="91" workbookViewId="0">
      <selection activeCell="U4" sqref="U4"/>
    </sheetView>
  </sheetViews>
  <sheetFormatPr baseColWidth="10" defaultRowHeight="14.5"/>
  <cols>
    <col min="1" max="1" width="5" customWidth="1"/>
    <col min="3" max="3" width="19.7265625" customWidth="1"/>
    <col min="4" max="4" width="10.26953125" customWidth="1"/>
    <col min="8" max="8" width="17.36328125" customWidth="1"/>
    <col min="9" max="9" width="17.6328125" customWidth="1"/>
    <col min="12" max="12" width="8.1796875" customWidth="1"/>
    <col min="14" max="14" width="25.7265625" customWidth="1"/>
    <col min="36" max="36" width="25.54296875" customWidth="1"/>
  </cols>
  <sheetData>
    <row r="2" spans="2:36">
      <c r="B2" s="1"/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  <c r="N2" s="2"/>
      <c r="O2" s="2"/>
    </row>
    <row r="3" spans="2:36" ht="18.5">
      <c r="B3" s="4"/>
      <c r="C3" s="5">
        <v>1</v>
      </c>
      <c r="D3" s="5"/>
      <c r="E3" s="6"/>
      <c r="F3" s="6"/>
      <c r="G3" s="6"/>
      <c r="H3" s="5"/>
      <c r="I3" s="5"/>
      <c r="J3" s="5"/>
      <c r="K3" s="5"/>
      <c r="L3" s="5"/>
      <c r="M3" s="7"/>
      <c r="N3" s="7"/>
      <c r="O3" s="7"/>
    </row>
    <row r="4" spans="2:36" ht="73.5" customHeight="1">
      <c r="B4" s="8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28" t="s">
        <v>11</v>
      </c>
      <c r="M4" s="9" t="s">
        <v>12</v>
      </c>
      <c r="N4" s="9" t="s">
        <v>13</v>
      </c>
      <c r="O4" s="30" t="s">
        <v>14</v>
      </c>
      <c r="P4" s="31" t="s">
        <v>15</v>
      </c>
      <c r="Q4" s="29" t="s">
        <v>16</v>
      </c>
      <c r="R4" s="29" t="s">
        <v>17</v>
      </c>
      <c r="S4" s="31" t="s">
        <v>18</v>
      </c>
      <c r="T4" s="9" t="s">
        <v>19</v>
      </c>
      <c r="U4" s="32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  <c r="AI4" s="10" t="s">
        <v>34</v>
      </c>
      <c r="AJ4" s="10" t="s">
        <v>35</v>
      </c>
    </row>
    <row r="5" spans="2:36" ht="16" customHeight="1">
      <c r="B5" s="11" t="s">
        <v>36</v>
      </c>
      <c r="C5" s="12" t="s">
        <v>37</v>
      </c>
      <c r="D5" s="12" t="s">
        <v>38</v>
      </c>
      <c r="E5" s="13" t="s">
        <v>39</v>
      </c>
      <c r="F5" s="14" t="str">
        <f>_xlfn.XLOOKUP(B5,'[1]Synthese suivi modernisation'!A:A,'[1]Synthese suivi modernisation'!S:S)</f>
        <v>THIES</v>
      </c>
      <c r="G5" s="14" t="str">
        <f>_xlfn.XLOOKUP(B5,'[1]Synthese suivi modernisation'!A:A,'[1]Synthese suivi modernisation'!T:T)</f>
        <v>THIES</v>
      </c>
      <c r="H5" s="15" t="s">
        <v>40</v>
      </c>
      <c r="I5" s="14" t="s">
        <v>41</v>
      </c>
      <c r="J5" s="16" t="s">
        <v>40</v>
      </c>
      <c r="K5" s="14">
        <v>3500</v>
      </c>
      <c r="L5" s="14">
        <v>3</v>
      </c>
      <c r="M5" s="17" t="s">
        <v>42</v>
      </c>
      <c r="N5" s="16" t="s">
        <v>43</v>
      </c>
      <c r="O5" s="16">
        <v>33</v>
      </c>
      <c r="P5" s="18">
        <v>290.66666666666669</v>
      </c>
      <c r="Q5" s="18"/>
      <c r="R5" s="18"/>
      <c r="S5" s="19">
        <v>0.8</v>
      </c>
      <c r="T5" s="20">
        <f>(((Q5*R5)/(1000*S5)+L5)/(O5*0.8))*100</f>
        <v>11.363636363636363</v>
      </c>
      <c r="U5" s="20">
        <v>0.27</v>
      </c>
      <c r="V5" s="20">
        <f>(((Q5*R5)/(1000*S5)+L5))*U5</f>
        <v>0.81</v>
      </c>
      <c r="W5" s="20"/>
      <c r="X5" s="20">
        <v>2</v>
      </c>
      <c r="Y5" s="20">
        <f>+X5*V5</f>
        <v>1.62</v>
      </c>
      <c r="Z5" s="21">
        <f>Y5-P5</f>
        <v>-289.04666666666668</v>
      </c>
      <c r="AA5" s="20"/>
      <c r="AB5" s="20">
        <v>50</v>
      </c>
      <c r="AC5" s="20">
        <v>300</v>
      </c>
      <c r="AD5" s="20">
        <f>AC5-Y5</f>
        <v>298.38</v>
      </c>
      <c r="AE5" s="20">
        <v>75</v>
      </c>
      <c r="AF5" s="20">
        <f>AC5+AB5-AE5</f>
        <v>275</v>
      </c>
      <c r="AG5" s="20"/>
      <c r="AH5" s="20"/>
      <c r="AI5" s="20">
        <f>AG5-AH5</f>
        <v>0</v>
      </c>
      <c r="AJ5" s="22" t="s">
        <v>44</v>
      </c>
    </row>
    <row r="6" spans="2:36">
      <c r="B6" s="11" t="s">
        <v>45</v>
      </c>
      <c r="C6" s="12" t="s">
        <v>46</v>
      </c>
      <c r="D6" s="12" t="s">
        <v>38</v>
      </c>
      <c r="E6" s="13" t="s">
        <v>39</v>
      </c>
      <c r="F6" s="14" t="str">
        <f>_xlfn.XLOOKUP(B6,'[1]Synthese suivi modernisation'!A:A,'[1]Synthese suivi modernisation'!S:S)</f>
        <v>RUFISQUE</v>
      </c>
      <c r="G6" s="14" t="str">
        <f>_xlfn.XLOOKUP(B6,'[1]Synthese suivi modernisation'!A:A,'[1]Synthese suivi modernisation'!T:T)</f>
        <v>DAKAR</v>
      </c>
      <c r="H6" s="15" t="s">
        <v>47</v>
      </c>
      <c r="I6" s="14" t="s">
        <v>41</v>
      </c>
      <c r="J6" s="16" t="s">
        <v>47</v>
      </c>
      <c r="K6" s="14">
        <v>2500</v>
      </c>
      <c r="L6" s="14">
        <v>4</v>
      </c>
      <c r="M6" s="17" t="s">
        <v>42</v>
      </c>
      <c r="N6" s="16" t="s">
        <v>48</v>
      </c>
      <c r="O6" s="16">
        <v>22</v>
      </c>
      <c r="P6" s="18">
        <v>849.08333333333337</v>
      </c>
      <c r="Q6" s="18"/>
      <c r="R6" s="18"/>
      <c r="S6" s="19">
        <v>0.8</v>
      </c>
      <c r="T6" s="20">
        <f t="shared" ref="T6:T69" si="0">(((Q6*R6)/(1000*S6)+L6)/(O6*0.8))*100</f>
        <v>22.727272727272727</v>
      </c>
      <c r="U6" s="20">
        <v>0.27</v>
      </c>
      <c r="V6" s="20">
        <f t="shared" ref="V6:V69" si="1">(((Q6*R6)/(1000*S6)+L6))*U6</f>
        <v>1.08</v>
      </c>
      <c r="W6" s="20"/>
      <c r="X6" s="20">
        <v>3</v>
      </c>
      <c r="Y6" s="20">
        <f t="shared" ref="Y6:Y69" si="2">+X6*V6</f>
        <v>3.24</v>
      </c>
      <c r="Z6" s="21">
        <f t="shared" ref="Z6:Z69" si="3">Y6-P6</f>
        <v>-845.84333333333336</v>
      </c>
      <c r="AA6" s="20"/>
      <c r="AB6" s="20"/>
      <c r="AC6" s="20"/>
      <c r="AD6" s="20">
        <f t="shared" ref="AD6:AD69" si="4">AC6-Y6</f>
        <v>-3.24</v>
      </c>
      <c r="AE6" s="20"/>
      <c r="AF6" s="20">
        <f t="shared" ref="AF6:AF9" si="5">AC6+AB6-AE6</f>
        <v>0</v>
      </c>
      <c r="AG6" s="20"/>
      <c r="AH6" s="20"/>
      <c r="AI6" s="20">
        <f t="shared" ref="AI6:AI69" si="6">AG6-AH6</f>
        <v>0</v>
      </c>
      <c r="AJ6" s="20"/>
    </row>
    <row r="7" spans="2:36">
      <c r="B7" s="11" t="s">
        <v>49</v>
      </c>
      <c r="C7" s="12" t="s">
        <v>50</v>
      </c>
      <c r="D7" s="12" t="s">
        <v>38</v>
      </c>
      <c r="E7" s="13" t="s">
        <v>39</v>
      </c>
      <c r="F7" s="14" t="str">
        <f>_xlfn.XLOOKUP(B7,'[1]Synthese suivi modernisation'!A:A,'[1]Synthese suivi modernisation'!S:S)</f>
        <v>THIES</v>
      </c>
      <c r="G7" s="14" t="str">
        <f>_xlfn.XLOOKUP(B7,'[1]Synthese suivi modernisation'!A:A,'[1]Synthese suivi modernisation'!T:T)</f>
        <v>THIES</v>
      </c>
      <c r="H7" s="15" t="s">
        <v>40</v>
      </c>
      <c r="I7" s="14" t="s">
        <v>41</v>
      </c>
      <c r="J7" s="16" t="s">
        <v>40</v>
      </c>
      <c r="K7" s="14">
        <v>4500</v>
      </c>
      <c r="L7" s="14">
        <v>3.5</v>
      </c>
      <c r="M7" s="17" t="s">
        <v>42</v>
      </c>
      <c r="N7" s="16" t="s">
        <v>51</v>
      </c>
      <c r="O7" s="16">
        <v>22</v>
      </c>
      <c r="P7" s="18">
        <v>220.75</v>
      </c>
      <c r="Q7" s="18"/>
      <c r="R7" s="18"/>
      <c r="S7" s="19">
        <v>0.8</v>
      </c>
      <c r="T7" s="20">
        <f t="shared" si="0"/>
        <v>19.886363636363637</v>
      </c>
      <c r="U7" s="20">
        <v>0.27</v>
      </c>
      <c r="V7" s="20">
        <f t="shared" si="1"/>
        <v>0.94500000000000006</v>
      </c>
      <c r="W7" s="20"/>
      <c r="X7" s="20">
        <v>4</v>
      </c>
      <c r="Y7" s="20">
        <f t="shared" si="2"/>
        <v>3.7800000000000002</v>
      </c>
      <c r="Z7" s="21">
        <f t="shared" si="3"/>
        <v>-216.97</v>
      </c>
      <c r="AA7" s="20"/>
      <c r="AB7" s="20"/>
      <c r="AC7" s="20"/>
      <c r="AD7" s="20">
        <f t="shared" si="4"/>
        <v>-3.7800000000000002</v>
      </c>
      <c r="AE7" s="20"/>
      <c r="AF7" s="20">
        <f t="shared" si="5"/>
        <v>0</v>
      </c>
      <c r="AG7" s="20"/>
      <c r="AH7" s="20"/>
      <c r="AI7" s="20">
        <f t="shared" si="6"/>
        <v>0</v>
      </c>
      <c r="AJ7" s="20"/>
    </row>
    <row r="8" spans="2:36">
      <c r="B8" s="11" t="s">
        <v>52</v>
      </c>
      <c r="C8" s="12" t="s">
        <v>53</v>
      </c>
      <c r="D8" s="12" t="s">
        <v>38</v>
      </c>
      <c r="E8" s="13" t="s">
        <v>39</v>
      </c>
      <c r="F8" s="14" t="str">
        <f>_xlfn.XLOOKUP(B8,'[1]Synthese suivi modernisation'!A:A,'[1]Synthese suivi modernisation'!S:S)</f>
        <v>THIAROYE</v>
      </c>
      <c r="G8" s="14" t="str">
        <f>_xlfn.XLOOKUP(B8,'[1]Synthese suivi modernisation'!A:A,'[1]Synthese suivi modernisation'!T:T)</f>
        <v>DAKAR</v>
      </c>
      <c r="H8" s="15" t="s">
        <v>54</v>
      </c>
      <c r="I8" s="14" t="s">
        <v>41</v>
      </c>
      <c r="J8" s="23" t="s">
        <v>40</v>
      </c>
      <c r="K8" s="14">
        <v>2750</v>
      </c>
      <c r="L8" s="14">
        <v>3.5</v>
      </c>
      <c r="M8" s="17" t="s">
        <v>42</v>
      </c>
      <c r="N8" s="16" t="s">
        <v>55</v>
      </c>
      <c r="O8" s="16">
        <v>33</v>
      </c>
      <c r="P8" s="18">
        <v>206.91666666666666</v>
      </c>
      <c r="Q8" s="18"/>
      <c r="R8" s="18"/>
      <c r="S8" s="19">
        <v>0.8</v>
      </c>
      <c r="T8" s="20">
        <f t="shared" si="0"/>
        <v>13.257575757575758</v>
      </c>
      <c r="U8" s="20">
        <v>0.27</v>
      </c>
      <c r="V8" s="20">
        <f t="shared" si="1"/>
        <v>0.94500000000000006</v>
      </c>
      <c r="W8" s="20"/>
      <c r="X8" s="20">
        <v>5</v>
      </c>
      <c r="Y8" s="20">
        <f t="shared" si="2"/>
        <v>4.7250000000000005</v>
      </c>
      <c r="Z8" s="21">
        <f t="shared" si="3"/>
        <v>-202.19166666666666</v>
      </c>
      <c r="AA8" s="20"/>
      <c r="AB8" s="20"/>
      <c r="AC8" s="20"/>
      <c r="AD8" s="20">
        <f t="shared" si="4"/>
        <v>-4.7250000000000005</v>
      </c>
      <c r="AE8" s="20"/>
      <c r="AF8" s="20">
        <f t="shared" si="5"/>
        <v>0</v>
      </c>
      <c r="AG8" s="20"/>
      <c r="AH8" s="20"/>
      <c r="AI8" s="20">
        <f t="shared" si="6"/>
        <v>0</v>
      </c>
      <c r="AJ8" s="20"/>
    </row>
    <row r="9" spans="2:36">
      <c r="B9" s="11" t="s">
        <v>56</v>
      </c>
      <c r="C9" s="12" t="s">
        <v>57</v>
      </c>
      <c r="D9" s="12" t="s">
        <v>38</v>
      </c>
      <c r="E9" s="13" t="s">
        <v>39</v>
      </c>
      <c r="F9" s="14" t="str">
        <f>_xlfn.XLOOKUP(B9,'[1]Synthese suivi modernisation'!A:A,'[1]Synthese suivi modernisation'!S:S)</f>
        <v>RUFISQUE</v>
      </c>
      <c r="G9" s="14" t="str">
        <f>_xlfn.XLOOKUP(B9,'[1]Synthese suivi modernisation'!A:A,'[1]Synthese suivi modernisation'!T:T)</f>
        <v>DAKAR</v>
      </c>
      <c r="H9" s="15" t="s">
        <v>40</v>
      </c>
      <c r="I9" s="14" t="s">
        <v>41</v>
      </c>
      <c r="J9" s="16" t="s">
        <v>40</v>
      </c>
      <c r="K9" s="14">
        <v>4000</v>
      </c>
      <c r="L9" s="14">
        <v>3</v>
      </c>
      <c r="M9" s="17" t="s">
        <v>42</v>
      </c>
      <c r="N9" s="16" t="s">
        <v>51</v>
      </c>
      <c r="O9" s="16">
        <v>22</v>
      </c>
      <c r="P9" s="18">
        <v>311.66666666666669</v>
      </c>
      <c r="Q9" s="18"/>
      <c r="R9" s="18"/>
      <c r="S9" s="19">
        <v>0.8</v>
      </c>
      <c r="T9" s="20">
        <f t="shared" si="0"/>
        <v>17.045454545454543</v>
      </c>
      <c r="U9" s="20">
        <v>0.27</v>
      </c>
      <c r="V9" s="20">
        <f t="shared" si="1"/>
        <v>0.81</v>
      </c>
      <c r="W9" s="20"/>
      <c r="X9" s="20">
        <v>6</v>
      </c>
      <c r="Y9" s="20">
        <f t="shared" si="2"/>
        <v>4.8600000000000003</v>
      </c>
      <c r="Z9" s="21">
        <f t="shared" si="3"/>
        <v>-306.80666666666667</v>
      </c>
      <c r="AA9" s="20"/>
      <c r="AB9" s="20"/>
      <c r="AC9" s="20"/>
      <c r="AD9" s="20">
        <f t="shared" si="4"/>
        <v>-4.8600000000000003</v>
      </c>
      <c r="AE9" s="20"/>
      <c r="AF9" s="20">
        <f t="shared" si="5"/>
        <v>0</v>
      </c>
      <c r="AG9" s="20"/>
      <c r="AH9" s="20"/>
      <c r="AI9" s="20">
        <f t="shared" si="6"/>
        <v>0</v>
      </c>
      <c r="AJ9" s="20"/>
    </row>
    <row r="10" spans="2:36">
      <c r="B10" s="11" t="s">
        <v>58</v>
      </c>
      <c r="C10" s="12" t="s">
        <v>59</v>
      </c>
      <c r="D10" s="12" t="s">
        <v>38</v>
      </c>
      <c r="E10" s="13" t="s">
        <v>39</v>
      </c>
      <c r="F10" s="14" t="str">
        <f>_xlfn.XLOOKUP(B10,'[1]Synthese suivi modernisation'!A:A,'[1]Synthese suivi modernisation'!S:S)</f>
        <v>RUFISQUE</v>
      </c>
      <c r="G10" s="14" t="str">
        <f>_xlfn.XLOOKUP(B10,'[1]Synthese suivi modernisation'!A:A,'[1]Synthese suivi modernisation'!T:T)</f>
        <v>DAKAR</v>
      </c>
      <c r="H10" s="20" t="s">
        <v>40</v>
      </c>
      <c r="I10" s="14" t="s">
        <v>41</v>
      </c>
      <c r="J10" s="16" t="s">
        <v>40</v>
      </c>
      <c r="K10" s="24">
        <v>4000</v>
      </c>
      <c r="L10" s="14">
        <v>3.5</v>
      </c>
      <c r="M10" s="17" t="s">
        <v>42</v>
      </c>
      <c r="N10" s="16" t="s">
        <v>60</v>
      </c>
      <c r="O10" s="16">
        <v>33</v>
      </c>
      <c r="P10" s="18">
        <v>206.91666666666666</v>
      </c>
      <c r="Q10" s="20"/>
      <c r="R10" s="20"/>
      <c r="S10" s="19">
        <v>0.8</v>
      </c>
      <c r="T10" s="20">
        <f>(((Q10*R10)/(1000*S10)+L10)/(O10*0.8))*100</f>
        <v>13.257575757575758</v>
      </c>
      <c r="U10" s="20">
        <v>0.27</v>
      </c>
      <c r="V10" s="20">
        <f t="shared" si="1"/>
        <v>0.94500000000000006</v>
      </c>
      <c r="W10" s="20"/>
      <c r="X10" s="20"/>
      <c r="Y10" s="20">
        <f t="shared" si="2"/>
        <v>0</v>
      </c>
      <c r="Z10" s="21">
        <f t="shared" si="3"/>
        <v>-206.91666666666666</v>
      </c>
      <c r="AA10" s="20"/>
      <c r="AB10" s="20"/>
      <c r="AC10" s="20"/>
      <c r="AD10" s="20">
        <f t="shared" si="4"/>
        <v>0</v>
      </c>
      <c r="AE10" s="20"/>
      <c r="AF10" s="20"/>
      <c r="AG10" s="20"/>
      <c r="AH10" s="20"/>
      <c r="AI10" s="20">
        <f t="shared" si="6"/>
        <v>0</v>
      </c>
      <c r="AJ10" s="20"/>
    </row>
    <row r="11" spans="2:36">
      <c r="B11" s="11" t="s">
        <v>61</v>
      </c>
      <c r="C11" s="12" t="s">
        <v>62</v>
      </c>
      <c r="D11" s="12" t="s">
        <v>38</v>
      </c>
      <c r="E11" s="13" t="s">
        <v>39</v>
      </c>
      <c r="F11" s="14" t="str">
        <f>_xlfn.XLOOKUP(B11,'[1]Synthese suivi modernisation'!A:A,'[1]Synthese suivi modernisation'!S:S)</f>
        <v>RUFISQUE</v>
      </c>
      <c r="G11" s="14" t="str">
        <f>_xlfn.XLOOKUP(B11,'[1]Synthese suivi modernisation'!A:A,'[1]Synthese suivi modernisation'!T:T)</f>
        <v>DAKAR</v>
      </c>
      <c r="H11" s="20" t="s">
        <v>40</v>
      </c>
      <c r="I11" s="14" t="s">
        <v>41</v>
      </c>
      <c r="J11" s="16" t="s">
        <v>40</v>
      </c>
      <c r="K11" s="24">
        <v>4000</v>
      </c>
      <c r="L11" s="14">
        <v>3.5</v>
      </c>
      <c r="M11" s="17" t="s">
        <v>42</v>
      </c>
      <c r="N11" s="16" t="s">
        <v>63</v>
      </c>
      <c r="O11" s="16">
        <v>30</v>
      </c>
      <c r="P11" s="18">
        <v>206.91666666666666</v>
      </c>
      <c r="Q11" s="20"/>
      <c r="R11" s="20"/>
      <c r="S11" s="19">
        <v>0.8</v>
      </c>
      <c r="T11" s="20">
        <f t="shared" si="0"/>
        <v>14.583333333333334</v>
      </c>
      <c r="U11" s="20">
        <v>0.27</v>
      </c>
      <c r="V11" s="20">
        <f t="shared" si="1"/>
        <v>0.94500000000000006</v>
      </c>
      <c r="W11" s="20"/>
      <c r="X11" s="20"/>
      <c r="Y11" s="20">
        <f t="shared" si="2"/>
        <v>0</v>
      </c>
      <c r="Z11" s="21">
        <f t="shared" si="3"/>
        <v>-206.91666666666666</v>
      </c>
      <c r="AA11" s="20"/>
      <c r="AB11" s="20"/>
      <c r="AC11" s="20"/>
      <c r="AD11" s="20">
        <f t="shared" si="4"/>
        <v>0</v>
      </c>
      <c r="AE11" s="20"/>
      <c r="AF11" s="20"/>
      <c r="AG11" s="20"/>
      <c r="AH11" s="20"/>
      <c r="AI11" s="20">
        <f t="shared" si="6"/>
        <v>0</v>
      </c>
      <c r="AJ11" s="20"/>
    </row>
    <row r="12" spans="2:36">
      <c r="B12" s="11" t="s">
        <v>64</v>
      </c>
      <c r="C12" s="12" t="s">
        <v>65</v>
      </c>
      <c r="D12" s="12" t="s">
        <v>38</v>
      </c>
      <c r="E12" s="13" t="s">
        <v>39</v>
      </c>
      <c r="F12" s="14" t="str">
        <f>_xlfn.XLOOKUP(B12,'[1]Synthese suivi modernisation'!A:A,'[1]Synthese suivi modernisation'!S:S)</f>
        <v>MBOUR</v>
      </c>
      <c r="G12" s="14" t="str">
        <f>_xlfn.XLOOKUP(B12,'[1]Synthese suivi modernisation'!A:A,'[1]Synthese suivi modernisation'!T:T)</f>
        <v>THIES</v>
      </c>
      <c r="H12" s="20" t="s">
        <v>66</v>
      </c>
      <c r="I12" s="14" t="s">
        <v>41</v>
      </c>
      <c r="J12" s="16" t="s">
        <v>66</v>
      </c>
      <c r="K12" s="24">
        <v>5500</v>
      </c>
      <c r="L12" s="14">
        <v>9</v>
      </c>
      <c r="M12" s="17" t="s">
        <v>42</v>
      </c>
      <c r="N12" s="16" t="s">
        <v>67</v>
      </c>
      <c r="O12" s="16">
        <v>50</v>
      </c>
      <c r="P12" s="18">
        <v>1534.0833333333333</v>
      </c>
      <c r="Q12" s="20"/>
      <c r="R12" s="20"/>
      <c r="S12" s="19">
        <v>0.8</v>
      </c>
      <c r="T12" s="20">
        <f t="shared" si="0"/>
        <v>22.5</v>
      </c>
      <c r="U12" s="20">
        <v>0.27</v>
      </c>
      <c r="V12" s="20">
        <f t="shared" si="1"/>
        <v>2.4300000000000002</v>
      </c>
      <c r="W12" s="20"/>
      <c r="X12" s="20"/>
      <c r="Y12" s="20">
        <f t="shared" si="2"/>
        <v>0</v>
      </c>
      <c r="Z12" s="21">
        <f t="shared" si="3"/>
        <v>-1534.0833333333333</v>
      </c>
      <c r="AA12" s="20"/>
      <c r="AB12" s="20"/>
      <c r="AC12" s="20"/>
      <c r="AD12" s="20">
        <f t="shared" si="4"/>
        <v>0</v>
      </c>
      <c r="AE12" s="20"/>
      <c r="AF12" s="20"/>
      <c r="AG12" s="20"/>
      <c r="AH12" s="20"/>
      <c r="AI12" s="20">
        <f t="shared" si="6"/>
        <v>0</v>
      </c>
      <c r="AJ12" s="20"/>
    </row>
    <row r="13" spans="2:36">
      <c r="B13" s="11" t="s">
        <v>68</v>
      </c>
      <c r="C13" s="12" t="s">
        <v>69</v>
      </c>
      <c r="D13" s="12" t="s">
        <v>38</v>
      </c>
      <c r="E13" s="13" t="s">
        <v>39</v>
      </c>
      <c r="F13" s="14" t="str">
        <f>_xlfn.XLOOKUP(B13,'[1]Synthese suivi modernisation'!A:A,'[1]Synthese suivi modernisation'!S:S)</f>
        <v>DIOURBEL</v>
      </c>
      <c r="G13" s="14" t="str">
        <f>_xlfn.XLOOKUP(B13,'[1]Synthese suivi modernisation'!A:A,'[1]Synthese suivi modernisation'!T:T)</f>
        <v>THIES</v>
      </c>
      <c r="H13" s="20" t="s">
        <v>70</v>
      </c>
      <c r="I13" s="20" t="s">
        <v>71</v>
      </c>
      <c r="J13" s="16" t="s">
        <v>72</v>
      </c>
      <c r="K13" s="24">
        <v>5000</v>
      </c>
      <c r="L13" s="14">
        <v>4</v>
      </c>
      <c r="M13" s="17" t="s">
        <v>73</v>
      </c>
      <c r="N13" s="16" t="s">
        <v>74</v>
      </c>
      <c r="O13" s="16">
        <v>30</v>
      </c>
      <c r="P13" s="18">
        <v>0</v>
      </c>
      <c r="Q13" s="20"/>
      <c r="R13" s="20"/>
      <c r="S13" s="19">
        <v>0.8</v>
      </c>
      <c r="T13" s="20">
        <f t="shared" si="0"/>
        <v>16.666666666666664</v>
      </c>
      <c r="U13" s="20">
        <v>0.27</v>
      </c>
      <c r="V13" s="20">
        <f t="shared" si="1"/>
        <v>1.08</v>
      </c>
      <c r="W13" s="20"/>
      <c r="X13" s="20"/>
      <c r="Y13" s="20">
        <f t="shared" si="2"/>
        <v>0</v>
      </c>
      <c r="Z13" s="21">
        <f t="shared" si="3"/>
        <v>0</v>
      </c>
      <c r="AA13" s="20"/>
      <c r="AB13" s="20"/>
      <c r="AC13" s="20"/>
      <c r="AD13" s="20">
        <f t="shared" si="4"/>
        <v>0</v>
      </c>
      <c r="AE13" s="20"/>
      <c r="AF13" s="20"/>
      <c r="AG13" s="20"/>
      <c r="AH13" s="20"/>
      <c r="AI13" s="20">
        <f t="shared" si="6"/>
        <v>0</v>
      </c>
      <c r="AJ13" s="20"/>
    </row>
    <row r="14" spans="2:36">
      <c r="B14" s="11" t="s">
        <v>75</v>
      </c>
      <c r="C14" s="12" t="s">
        <v>76</v>
      </c>
      <c r="D14" s="12" t="s">
        <v>38</v>
      </c>
      <c r="E14" s="13" t="s">
        <v>39</v>
      </c>
      <c r="F14" s="14" t="str">
        <f>_xlfn.XLOOKUP(B14,'[1]Synthese suivi modernisation'!A:A,'[1]Synthese suivi modernisation'!S:S)</f>
        <v>DIOURBEL</v>
      </c>
      <c r="G14" s="14" t="str">
        <f>_xlfn.XLOOKUP(B14,'[1]Synthese suivi modernisation'!A:A,'[1]Synthese suivi modernisation'!T:T)</f>
        <v>THIES</v>
      </c>
      <c r="H14" s="20" t="s">
        <v>40</v>
      </c>
      <c r="I14" s="14" t="s">
        <v>41</v>
      </c>
      <c r="J14" s="16" t="s">
        <v>40</v>
      </c>
      <c r="K14" s="24">
        <v>3500</v>
      </c>
      <c r="L14" s="14">
        <v>4</v>
      </c>
      <c r="M14" s="17" t="s">
        <v>42</v>
      </c>
      <c r="N14" s="16" t="s">
        <v>77</v>
      </c>
      <c r="O14" s="16">
        <v>22</v>
      </c>
      <c r="P14" s="18">
        <v>366.41666666666669</v>
      </c>
      <c r="Q14" s="20"/>
      <c r="R14" s="20"/>
      <c r="S14" s="19">
        <v>0.8</v>
      </c>
      <c r="T14" s="20">
        <f t="shared" si="0"/>
        <v>22.727272727272727</v>
      </c>
      <c r="U14" s="20">
        <v>0.27</v>
      </c>
      <c r="V14" s="20">
        <f t="shared" si="1"/>
        <v>1.08</v>
      </c>
      <c r="W14" s="20"/>
      <c r="X14" s="20"/>
      <c r="Y14" s="20">
        <f t="shared" si="2"/>
        <v>0</v>
      </c>
      <c r="Z14" s="21">
        <f t="shared" si="3"/>
        <v>-366.41666666666669</v>
      </c>
      <c r="AA14" s="20"/>
      <c r="AB14" s="20"/>
      <c r="AC14" s="20"/>
      <c r="AD14" s="20">
        <f t="shared" si="4"/>
        <v>0</v>
      </c>
      <c r="AE14" s="20"/>
      <c r="AF14" s="20"/>
      <c r="AG14" s="20"/>
      <c r="AH14" s="20"/>
      <c r="AI14" s="20">
        <f t="shared" si="6"/>
        <v>0</v>
      </c>
      <c r="AJ14" s="20"/>
    </row>
    <row r="15" spans="2:36">
      <c r="B15" s="11" t="s">
        <v>78</v>
      </c>
      <c r="C15" s="12" t="s">
        <v>79</v>
      </c>
      <c r="D15" s="12" t="s">
        <v>38</v>
      </c>
      <c r="E15" s="13" t="s">
        <v>39</v>
      </c>
      <c r="F15" s="14" t="str">
        <f>_xlfn.XLOOKUP(B15,'[1]Synthese suivi modernisation'!A:A,'[1]Synthese suivi modernisation'!S:S)</f>
        <v>KAOLACK</v>
      </c>
      <c r="G15" s="14" t="str">
        <f>_xlfn.XLOOKUP(B15,'[1]Synthese suivi modernisation'!A:A,'[1]Synthese suivi modernisation'!T:T)</f>
        <v>KAOLACK</v>
      </c>
      <c r="H15" s="20" t="s">
        <v>40</v>
      </c>
      <c r="I15" s="14" t="s">
        <v>41</v>
      </c>
      <c r="J15" s="16" t="s">
        <v>40</v>
      </c>
      <c r="K15" s="24">
        <v>1750</v>
      </c>
      <c r="L15" s="14">
        <v>4</v>
      </c>
      <c r="M15" s="17" t="s">
        <v>42</v>
      </c>
      <c r="N15" s="16" t="s">
        <v>80</v>
      </c>
      <c r="O15" s="16">
        <v>33</v>
      </c>
      <c r="P15" s="18">
        <v>328.25</v>
      </c>
      <c r="Q15" s="20"/>
      <c r="R15" s="20"/>
      <c r="S15" s="19">
        <v>0.8</v>
      </c>
      <c r="T15" s="20">
        <f t="shared" si="0"/>
        <v>15.151515151515149</v>
      </c>
      <c r="U15" s="20">
        <v>0.27</v>
      </c>
      <c r="V15" s="20">
        <f t="shared" si="1"/>
        <v>1.08</v>
      </c>
      <c r="W15" s="20"/>
      <c r="X15" s="20"/>
      <c r="Y15" s="20">
        <f t="shared" si="2"/>
        <v>0</v>
      </c>
      <c r="Z15" s="21">
        <f t="shared" si="3"/>
        <v>-328.25</v>
      </c>
      <c r="AA15" s="20"/>
      <c r="AB15" s="20"/>
      <c r="AC15" s="20"/>
      <c r="AD15" s="20">
        <f t="shared" si="4"/>
        <v>0</v>
      </c>
      <c r="AE15" s="20"/>
      <c r="AF15" s="20"/>
      <c r="AG15" s="20"/>
      <c r="AH15" s="20"/>
      <c r="AI15" s="20">
        <f t="shared" si="6"/>
        <v>0</v>
      </c>
      <c r="AJ15" s="20"/>
    </row>
    <row r="16" spans="2:36">
      <c r="B16" s="11" t="s">
        <v>81</v>
      </c>
      <c r="C16" s="12" t="s">
        <v>82</v>
      </c>
      <c r="D16" s="12" t="s">
        <v>38</v>
      </c>
      <c r="E16" s="13" t="s">
        <v>39</v>
      </c>
      <c r="F16" s="14" t="str">
        <f>_xlfn.XLOOKUP(B16,'[1]Synthese suivi modernisation'!A:A,'[1]Synthese suivi modernisation'!S:S)</f>
        <v>DIOURBEL</v>
      </c>
      <c r="G16" s="14" t="str">
        <f>_xlfn.XLOOKUP(B16,'[1]Synthese suivi modernisation'!A:A,'[1]Synthese suivi modernisation'!T:T)</f>
        <v>THIES</v>
      </c>
      <c r="H16" s="20" t="s">
        <v>54</v>
      </c>
      <c r="I16" s="14" t="s">
        <v>41</v>
      </c>
      <c r="J16" s="23" t="s">
        <v>40</v>
      </c>
      <c r="K16" s="24">
        <v>2000</v>
      </c>
      <c r="L16" s="14">
        <v>3.5</v>
      </c>
      <c r="M16" s="17" t="s">
        <v>42</v>
      </c>
      <c r="N16" s="16" t="s">
        <v>55</v>
      </c>
      <c r="O16" s="16">
        <v>33</v>
      </c>
      <c r="P16" s="18">
        <v>206.91666666666666</v>
      </c>
      <c r="Q16" s="20"/>
      <c r="R16" s="20"/>
      <c r="S16" s="19">
        <v>0.8</v>
      </c>
      <c r="T16" s="20">
        <f t="shared" si="0"/>
        <v>13.257575757575758</v>
      </c>
      <c r="U16" s="20">
        <v>0.27</v>
      </c>
      <c r="V16" s="20">
        <f t="shared" si="1"/>
        <v>0.94500000000000006</v>
      </c>
      <c r="W16" s="20"/>
      <c r="X16" s="20"/>
      <c r="Y16" s="20">
        <f t="shared" si="2"/>
        <v>0</v>
      </c>
      <c r="Z16" s="21">
        <f t="shared" si="3"/>
        <v>-206.91666666666666</v>
      </c>
      <c r="AA16" s="20"/>
      <c r="AB16" s="20"/>
      <c r="AC16" s="20"/>
      <c r="AD16" s="20">
        <f t="shared" si="4"/>
        <v>0</v>
      </c>
      <c r="AE16" s="20"/>
      <c r="AF16" s="20"/>
      <c r="AG16" s="20"/>
      <c r="AH16" s="20"/>
      <c r="AI16" s="20">
        <f t="shared" si="6"/>
        <v>0</v>
      </c>
      <c r="AJ16" s="20"/>
    </row>
    <row r="17" spans="2:36">
      <c r="B17" s="11" t="s">
        <v>83</v>
      </c>
      <c r="C17" s="12" t="s">
        <v>84</v>
      </c>
      <c r="D17" s="12" t="s">
        <v>38</v>
      </c>
      <c r="E17" s="13" t="s">
        <v>39</v>
      </c>
      <c r="F17" s="14" t="str">
        <f>_xlfn.XLOOKUP(B17,'[1]Synthese suivi modernisation'!A:A,'[1]Synthese suivi modernisation'!S:S)</f>
        <v>ZIGUINCHOR</v>
      </c>
      <c r="G17" s="14" t="str">
        <f>_xlfn.XLOOKUP(B17,'[1]Synthese suivi modernisation'!A:A,'[1]Synthese suivi modernisation'!T:T)</f>
        <v>ZIGUINCHOR</v>
      </c>
      <c r="H17" s="20" t="s">
        <v>40</v>
      </c>
      <c r="I17" s="14" t="s">
        <v>41</v>
      </c>
      <c r="J17" s="16" t="s">
        <v>40</v>
      </c>
      <c r="K17" s="24">
        <v>3000</v>
      </c>
      <c r="L17" s="14">
        <v>3</v>
      </c>
      <c r="M17" s="17" t="s">
        <v>42</v>
      </c>
      <c r="N17" s="16" t="s">
        <v>85</v>
      </c>
      <c r="O17" s="16">
        <v>33</v>
      </c>
      <c r="P17" s="18">
        <v>322.16666666666669</v>
      </c>
      <c r="Q17" s="20"/>
      <c r="R17" s="20"/>
      <c r="S17" s="19">
        <v>0.8</v>
      </c>
      <c r="T17" s="20">
        <f t="shared" si="0"/>
        <v>11.363636363636363</v>
      </c>
      <c r="U17" s="20">
        <v>0.27</v>
      </c>
      <c r="V17" s="20">
        <f t="shared" si="1"/>
        <v>0.81</v>
      </c>
      <c r="W17" s="20"/>
      <c r="X17" s="20"/>
      <c r="Y17" s="20">
        <f t="shared" si="2"/>
        <v>0</v>
      </c>
      <c r="Z17" s="21">
        <f t="shared" si="3"/>
        <v>-322.16666666666669</v>
      </c>
      <c r="AA17" s="20"/>
      <c r="AB17" s="20"/>
      <c r="AC17" s="20"/>
      <c r="AD17" s="20">
        <f t="shared" si="4"/>
        <v>0</v>
      </c>
      <c r="AE17" s="20"/>
      <c r="AF17" s="20"/>
      <c r="AG17" s="20"/>
      <c r="AH17" s="20"/>
      <c r="AI17" s="20">
        <f t="shared" si="6"/>
        <v>0</v>
      </c>
      <c r="AJ17" s="20"/>
    </row>
    <row r="18" spans="2:36">
      <c r="B18" s="11" t="s">
        <v>86</v>
      </c>
      <c r="C18" s="12" t="s">
        <v>87</v>
      </c>
      <c r="D18" s="12" t="s">
        <v>38</v>
      </c>
      <c r="E18" s="13" t="s">
        <v>39</v>
      </c>
      <c r="F18" s="14" t="str">
        <f>_xlfn.XLOOKUP(B18,'[1]Synthese suivi modernisation'!A:A,'[1]Synthese suivi modernisation'!S:S)</f>
        <v>TIVAOUANE</v>
      </c>
      <c r="G18" s="14" t="str">
        <f>_xlfn.XLOOKUP(B18,'[1]Synthese suivi modernisation'!A:A,'[1]Synthese suivi modernisation'!T:T)</f>
        <v>THIES</v>
      </c>
      <c r="H18" s="20" t="s">
        <v>40</v>
      </c>
      <c r="I18" s="14" t="s">
        <v>41</v>
      </c>
      <c r="J18" s="16" t="s">
        <v>40</v>
      </c>
      <c r="K18" s="24">
        <v>3500</v>
      </c>
      <c r="L18" s="14">
        <v>2</v>
      </c>
      <c r="M18" s="17" t="s">
        <v>42</v>
      </c>
      <c r="N18" s="16" t="s">
        <v>88</v>
      </c>
      <c r="O18" s="16">
        <v>22</v>
      </c>
      <c r="P18" s="18">
        <v>99.833333333333329</v>
      </c>
      <c r="Q18" s="20"/>
      <c r="R18" s="20"/>
      <c r="S18" s="19">
        <v>0.8</v>
      </c>
      <c r="T18" s="20">
        <f t="shared" si="0"/>
        <v>11.363636363636363</v>
      </c>
      <c r="U18" s="20">
        <v>0.27</v>
      </c>
      <c r="V18" s="20">
        <f t="shared" si="1"/>
        <v>0.54</v>
      </c>
      <c r="W18" s="20"/>
      <c r="X18" s="20"/>
      <c r="Y18" s="20">
        <f t="shared" si="2"/>
        <v>0</v>
      </c>
      <c r="Z18" s="21">
        <f t="shared" si="3"/>
        <v>-99.833333333333329</v>
      </c>
      <c r="AA18" s="20"/>
      <c r="AB18" s="20"/>
      <c r="AC18" s="20"/>
      <c r="AD18" s="20">
        <f t="shared" si="4"/>
        <v>0</v>
      </c>
      <c r="AE18" s="20"/>
      <c r="AF18" s="20"/>
      <c r="AG18" s="20"/>
      <c r="AH18" s="20"/>
      <c r="AI18" s="20">
        <f t="shared" si="6"/>
        <v>0</v>
      </c>
      <c r="AJ18" s="20"/>
    </row>
    <row r="19" spans="2:36">
      <c r="B19" s="11" t="s">
        <v>89</v>
      </c>
      <c r="C19" s="12" t="s">
        <v>90</v>
      </c>
      <c r="D19" s="12" t="s">
        <v>38</v>
      </c>
      <c r="E19" s="13" t="s">
        <v>39</v>
      </c>
      <c r="F19" s="14" t="str">
        <f>_xlfn.XLOOKUP(B19,'[1]Synthese suivi modernisation'!A:A,'[1]Synthese suivi modernisation'!S:S)</f>
        <v>GOUDIRY</v>
      </c>
      <c r="G19" s="14" t="str">
        <f>_xlfn.XLOOKUP(B19,'[1]Synthese suivi modernisation'!A:A,'[1]Synthese suivi modernisation'!T:T)</f>
        <v>TAMBACOUNDA</v>
      </c>
      <c r="H19" s="20" t="s">
        <v>70</v>
      </c>
      <c r="I19" s="20" t="s">
        <v>71</v>
      </c>
      <c r="J19" s="16" t="s">
        <v>70</v>
      </c>
      <c r="K19" s="24">
        <v>6000</v>
      </c>
      <c r="L19" s="14">
        <v>6</v>
      </c>
      <c r="M19" s="17" t="s">
        <v>73</v>
      </c>
      <c r="N19" s="16" t="s">
        <v>91</v>
      </c>
      <c r="O19" s="16">
        <v>30</v>
      </c>
      <c r="P19" s="18">
        <v>29</v>
      </c>
      <c r="Q19" s="20"/>
      <c r="R19" s="20"/>
      <c r="S19" s="19">
        <v>0.8</v>
      </c>
      <c r="T19" s="20">
        <f t="shared" si="0"/>
        <v>25</v>
      </c>
      <c r="U19" s="20">
        <v>0.27</v>
      </c>
      <c r="V19" s="20">
        <f t="shared" si="1"/>
        <v>1.62</v>
      </c>
      <c r="W19" s="20"/>
      <c r="X19" s="20"/>
      <c r="Y19" s="20">
        <f t="shared" si="2"/>
        <v>0</v>
      </c>
      <c r="Z19" s="21">
        <f t="shared" si="3"/>
        <v>-29</v>
      </c>
      <c r="AA19" s="20"/>
      <c r="AB19" s="20"/>
      <c r="AC19" s="20"/>
      <c r="AD19" s="20">
        <f t="shared" si="4"/>
        <v>0</v>
      </c>
      <c r="AE19" s="20"/>
      <c r="AF19" s="20"/>
      <c r="AG19" s="20"/>
      <c r="AH19" s="20"/>
      <c r="AI19" s="20">
        <f t="shared" si="6"/>
        <v>0</v>
      </c>
      <c r="AJ19" s="20"/>
    </row>
    <row r="20" spans="2:36">
      <c r="B20" s="11" t="s">
        <v>92</v>
      </c>
      <c r="C20" s="12" t="s">
        <v>93</v>
      </c>
      <c r="D20" s="12" t="s">
        <v>38</v>
      </c>
      <c r="E20" s="13" t="s">
        <v>39</v>
      </c>
      <c r="F20" s="14" t="str">
        <f>_xlfn.XLOOKUP(B20,'[1]Synthese suivi modernisation'!A:A,'[1]Synthese suivi modernisation'!S:S)</f>
        <v>MBOUR</v>
      </c>
      <c r="G20" s="14" t="str">
        <f>_xlfn.XLOOKUP(B20,'[1]Synthese suivi modernisation'!A:A,'[1]Synthese suivi modernisation'!T:T)</f>
        <v>THIES</v>
      </c>
      <c r="H20" s="20" t="s">
        <v>54</v>
      </c>
      <c r="I20" s="14" t="s">
        <v>41</v>
      </c>
      <c r="J20" s="23" t="s">
        <v>40</v>
      </c>
      <c r="K20" s="24">
        <v>2750</v>
      </c>
      <c r="L20" s="14">
        <v>3.5</v>
      </c>
      <c r="M20" s="17" t="s">
        <v>42</v>
      </c>
      <c r="N20" s="16" t="s">
        <v>55</v>
      </c>
      <c r="O20" s="16">
        <v>33</v>
      </c>
      <c r="P20" s="18">
        <v>206.91666666666666</v>
      </c>
      <c r="Q20" s="20"/>
      <c r="R20" s="20"/>
      <c r="S20" s="19">
        <v>0.8</v>
      </c>
      <c r="T20" s="20">
        <f t="shared" si="0"/>
        <v>13.257575757575758</v>
      </c>
      <c r="U20" s="20">
        <v>0.27</v>
      </c>
      <c r="V20" s="20">
        <f t="shared" si="1"/>
        <v>0.94500000000000006</v>
      </c>
      <c r="W20" s="20"/>
      <c r="X20" s="20"/>
      <c r="Y20" s="20">
        <f t="shared" si="2"/>
        <v>0</v>
      </c>
      <c r="Z20" s="21">
        <f t="shared" si="3"/>
        <v>-206.91666666666666</v>
      </c>
      <c r="AA20" s="20"/>
      <c r="AB20" s="20"/>
      <c r="AC20" s="20"/>
      <c r="AD20" s="20">
        <f t="shared" si="4"/>
        <v>0</v>
      </c>
      <c r="AE20" s="20"/>
      <c r="AF20" s="20"/>
      <c r="AG20" s="20"/>
      <c r="AH20" s="20"/>
      <c r="AI20" s="20">
        <f t="shared" si="6"/>
        <v>0</v>
      </c>
      <c r="AJ20" s="20"/>
    </row>
    <row r="21" spans="2:36">
      <c r="B21" s="11" t="s">
        <v>94</v>
      </c>
      <c r="C21" s="12" t="s">
        <v>95</v>
      </c>
      <c r="D21" s="12" t="s">
        <v>38</v>
      </c>
      <c r="E21" s="13" t="s">
        <v>39</v>
      </c>
      <c r="F21" s="14" t="str">
        <f>_xlfn.XLOOKUP(B21,'[1]Synthese suivi modernisation'!A:A,'[1]Synthese suivi modernisation'!S:S)</f>
        <v>BAKEL</v>
      </c>
      <c r="G21" s="14" t="str">
        <f>_xlfn.XLOOKUP(B21,'[1]Synthese suivi modernisation'!A:A,'[1]Synthese suivi modernisation'!T:T)</f>
        <v>SAINT-LOUIS</v>
      </c>
      <c r="H21" s="20" t="s">
        <v>70</v>
      </c>
      <c r="I21" s="20" t="s">
        <v>71</v>
      </c>
      <c r="J21" s="16" t="s">
        <v>72</v>
      </c>
      <c r="K21" s="24">
        <v>6000</v>
      </c>
      <c r="L21" s="14">
        <v>7</v>
      </c>
      <c r="M21" s="17" t="s">
        <v>73</v>
      </c>
      <c r="N21" s="16" t="s">
        <v>96</v>
      </c>
      <c r="O21" s="16">
        <v>22</v>
      </c>
      <c r="P21" s="18">
        <v>0</v>
      </c>
      <c r="Q21" s="20"/>
      <c r="R21" s="20"/>
      <c r="S21" s="19">
        <v>0.8</v>
      </c>
      <c r="T21" s="20">
        <f t="shared" si="0"/>
        <v>39.772727272727273</v>
      </c>
      <c r="U21" s="20">
        <v>0.27</v>
      </c>
      <c r="V21" s="20">
        <f t="shared" si="1"/>
        <v>1.8900000000000001</v>
      </c>
      <c r="W21" s="20"/>
      <c r="X21" s="20"/>
      <c r="Y21" s="20">
        <f t="shared" si="2"/>
        <v>0</v>
      </c>
      <c r="Z21" s="21">
        <f t="shared" si="3"/>
        <v>0</v>
      </c>
      <c r="AA21" s="20"/>
      <c r="AB21" s="20"/>
      <c r="AC21" s="20"/>
      <c r="AD21" s="20">
        <f t="shared" si="4"/>
        <v>0</v>
      </c>
      <c r="AE21" s="20"/>
      <c r="AF21" s="20"/>
      <c r="AG21" s="20"/>
      <c r="AH21" s="20"/>
      <c r="AI21" s="20">
        <f t="shared" si="6"/>
        <v>0</v>
      </c>
      <c r="AJ21" s="20"/>
    </row>
    <row r="22" spans="2:36">
      <c r="B22" s="11" t="s">
        <v>97</v>
      </c>
      <c r="C22" s="12" t="s">
        <v>98</v>
      </c>
      <c r="D22" s="12" t="s">
        <v>38</v>
      </c>
      <c r="E22" s="13" t="s">
        <v>39</v>
      </c>
      <c r="F22" s="14" t="str">
        <f>_xlfn.XLOOKUP(B22,'[1]Synthese suivi modernisation'!A:A,'[1]Synthese suivi modernisation'!S:S)</f>
        <v>KEDOUGOU</v>
      </c>
      <c r="G22" s="14" t="str">
        <f>_xlfn.XLOOKUP(B22,'[1]Synthese suivi modernisation'!A:A,'[1]Synthese suivi modernisation'!T:T)</f>
        <v>TAMBACOUNDA</v>
      </c>
      <c r="H22" s="20" t="s">
        <v>54</v>
      </c>
      <c r="I22" s="14" t="s">
        <v>41</v>
      </c>
      <c r="J22" s="23" t="s">
        <v>40</v>
      </c>
      <c r="K22" s="24">
        <v>1250</v>
      </c>
      <c r="L22" s="14">
        <v>2.75</v>
      </c>
      <c r="M22" s="17" t="s">
        <v>42</v>
      </c>
      <c r="N22" s="16" t="s">
        <v>67</v>
      </c>
      <c r="O22" s="16">
        <v>50</v>
      </c>
      <c r="P22" s="18">
        <v>240.41666666666666</v>
      </c>
      <c r="Q22" s="20"/>
      <c r="R22" s="20"/>
      <c r="S22" s="19">
        <v>0.8</v>
      </c>
      <c r="T22" s="20">
        <f t="shared" si="0"/>
        <v>6.8750000000000009</v>
      </c>
      <c r="U22" s="20">
        <v>0.27</v>
      </c>
      <c r="V22" s="20">
        <f t="shared" si="1"/>
        <v>0.74250000000000005</v>
      </c>
      <c r="W22" s="20"/>
      <c r="X22" s="20"/>
      <c r="Y22" s="20">
        <f t="shared" si="2"/>
        <v>0</v>
      </c>
      <c r="Z22" s="21">
        <f t="shared" si="3"/>
        <v>-240.41666666666666</v>
      </c>
      <c r="AA22" s="20"/>
      <c r="AB22" s="20"/>
      <c r="AC22" s="20"/>
      <c r="AD22" s="20">
        <f t="shared" si="4"/>
        <v>0</v>
      </c>
      <c r="AE22" s="20"/>
      <c r="AF22" s="20"/>
      <c r="AG22" s="20"/>
      <c r="AH22" s="20"/>
      <c r="AI22" s="20">
        <f t="shared" si="6"/>
        <v>0</v>
      </c>
      <c r="AJ22" s="20"/>
    </row>
    <row r="23" spans="2:36">
      <c r="B23" s="11" t="s">
        <v>99</v>
      </c>
      <c r="C23" s="12" t="s">
        <v>100</v>
      </c>
      <c r="D23" s="12" t="s">
        <v>38</v>
      </c>
      <c r="E23" s="13" t="s">
        <v>39</v>
      </c>
      <c r="F23" s="14" t="str">
        <f>_xlfn.XLOOKUP(B23,'[1]Synthese suivi modernisation'!A:A,'[1]Synthese suivi modernisation'!S:S)</f>
        <v>DIOURBEL</v>
      </c>
      <c r="G23" s="14" t="str">
        <f>_xlfn.XLOOKUP(B23,'[1]Synthese suivi modernisation'!A:A,'[1]Synthese suivi modernisation'!T:T)</f>
        <v>THIES</v>
      </c>
      <c r="H23" s="20" t="s">
        <v>70</v>
      </c>
      <c r="I23" s="20" t="s">
        <v>71</v>
      </c>
      <c r="J23" s="16" t="s">
        <v>70</v>
      </c>
      <c r="K23" s="24">
        <v>13000</v>
      </c>
      <c r="L23" s="14">
        <v>14</v>
      </c>
      <c r="M23" s="17" t="s">
        <v>73</v>
      </c>
      <c r="N23" s="16" t="s">
        <v>101</v>
      </c>
      <c r="O23" s="16">
        <v>50</v>
      </c>
      <c r="P23" s="18">
        <v>58.333333333333336</v>
      </c>
      <c r="Q23" s="20"/>
      <c r="R23" s="20"/>
      <c r="S23" s="19">
        <v>0.8</v>
      </c>
      <c r="T23" s="20">
        <f t="shared" si="0"/>
        <v>35</v>
      </c>
      <c r="U23" s="20">
        <v>0.27</v>
      </c>
      <c r="V23" s="20">
        <f t="shared" si="1"/>
        <v>3.7800000000000002</v>
      </c>
      <c r="W23" s="20"/>
      <c r="X23" s="20"/>
      <c r="Y23" s="20">
        <f t="shared" si="2"/>
        <v>0</v>
      </c>
      <c r="Z23" s="21">
        <f t="shared" si="3"/>
        <v>-58.333333333333336</v>
      </c>
      <c r="AA23" s="20"/>
      <c r="AB23" s="20"/>
      <c r="AC23" s="20"/>
      <c r="AD23" s="20">
        <f t="shared" si="4"/>
        <v>0</v>
      </c>
      <c r="AE23" s="20"/>
      <c r="AF23" s="20"/>
      <c r="AG23" s="20"/>
      <c r="AH23" s="20"/>
      <c r="AI23" s="20">
        <f t="shared" si="6"/>
        <v>0</v>
      </c>
      <c r="AJ23" s="20"/>
    </row>
    <row r="24" spans="2:36">
      <c r="B24" s="11" t="s">
        <v>102</v>
      </c>
      <c r="C24" s="12" t="s">
        <v>103</v>
      </c>
      <c r="D24" s="12" t="s">
        <v>38</v>
      </c>
      <c r="E24" s="13" t="s">
        <v>39</v>
      </c>
      <c r="F24" s="14" t="str">
        <f>_xlfn.XLOOKUP(B24,'[1]Synthese suivi modernisation'!A:A,'[1]Synthese suivi modernisation'!S:S)</f>
        <v>GOUDIRY</v>
      </c>
      <c r="G24" s="14" t="str">
        <f>_xlfn.XLOOKUP(B24,'[1]Synthese suivi modernisation'!A:A,'[1]Synthese suivi modernisation'!T:T)</f>
        <v>TAMBACOUNDA</v>
      </c>
      <c r="H24" s="20" t="s">
        <v>40</v>
      </c>
      <c r="I24" s="14" t="s">
        <v>41</v>
      </c>
      <c r="J24" s="16" t="s">
        <v>40</v>
      </c>
      <c r="K24" s="24">
        <v>3500</v>
      </c>
      <c r="L24" s="14">
        <v>4.5</v>
      </c>
      <c r="M24" s="17" t="s">
        <v>42</v>
      </c>
      <c r="N24" s="16" t="s">
        <v>80</v>
      </c>
      <c r="O24" s="16">
        <v>33</v>
      </c>
      <c r="P24" s="18">
        <v>677.16666666666663</v>
      </c>
      <c r="Q24" s="20"/>
      <c r="R24" s="20"/>
      <c r="S24" s="19">
        <v>0.8</v>
      </c>
      <c r="T24" s="20">
        <f t="shared" si="0"/>
        <v>17.045454545454543</v>
      </c>
      <c r="U24" s="20">
        <v>0.27</v>
      </c>
      <c r="V24" s="20">
        <f t="shared" si="1"/>
        <v>1.2150000000000001</v>
      </c>
      <c r="W24" s="20"/>
      <c r="X24" s="20"/>
      <c r="Y24" s="20">
        <f t="shared" si="2"/>
        <v>0</v>
      </c>
      <c r="Z24" s="21">
        <f t="shared" si="3"/>
        <v>-677.16666666666663</v>
      </c>
      <c r="AA24" s="20"/>
      <c r="AB24" s="20"/>
      <c r="AC24" s="20"/>
      <c r="AD24" s="20">
        <f t="shared" si="4"/>
        <v>0</v>
      </c>
      <c r="AE24" s="20"/>
      <c r="AF24" s="20"/>
      <c r="AG24" s="20"/>
      <c r="AH24" s="20"/>
      <c r="AI24" s="20">
        <f t="shared" si="6"/>
        <v>0</v>
      </c>
      <c r="AJ24" s="20"/>
    </row>
    <row r="25" spans="2:36">
      <c r="B25" s="11" t="s">
        <v>104</v>
      </c>
      <c r="C25" s="12" t="s">
        <v>105</v>
      </c>
      <c r="D25" s="12" t="s">
        <v>38</v>
      </c>
      <c r="E25" s="13" t="s">
        <v>39</v>
      </c>
      <c r="F25" s="14" t="str">
        <f>_xlfn.XLOOKUP(B25,'[1]Synthese suivi modernisation'!A:A,'[1]Synthese suivi modernisation'!S:S)</f>
        <v>KEDOUGOU</v>
      </c>
      <c r="G25" s="14" t="str">
        <f>_xlfn.XLOOKUP(B25,'[1]Synthese suivi modernisation'!A:A,'[1]Synthese suivi modernisation'!T:T)</f>
        <v>TAMBACOUNDA</v>
      </c>
      <c r="H25" s="20" t="s">
        <v>106</v>
      </c>
      <c r="I25" s="14" t="s">
        <v>41</v>
      </c>
      <c r="J25" s="16" t="s">
        <v>106</v>
      </c>
      <c r="K25" s="24">
        <v>7500</v>
      </c>
      <c r="L25" s="14">
        <v>8.5</v>
      </c>
      <c r="M25" s="17" t="s">
        <v>42</v>
      </c>
      <c r="N25" s="16" t="s">
        <v>67</v>
      </c>
      <c r="O25" s="16">
        <v>50</v>
      </c>
      <c r="P25" s="18">
        <v>1308.0833333333333</v>
      </c>
      <c r="Q25" s="20"/>
      <c r="R25" s="20"/>
      <c r="S25" s="19">
        <v>0.8</v>
      </c>
      <c r="T25" s="20">
        <f t="shared" si="0"/>
        <v>21.25</v>
      </c>
      <c r="U25" s="20">
        <v>0.27</v>
      </c>
      <c r="V25" s="20">
        <f t="shared" si="1"/>
        <v>2.2949999999999999</v>
      </c>
      <c r="W25" s="20"/>
      <c r="X25" s="20"/>
      <c r="Y25" s="20">
        <f t="shared" si="2"/>
        <v>0</v>
      </c>
      <c r="Z25" s="21">
        <f t="shared" si="3"/>
        <v>-1308.0833333333333</v>
      </c>
      <c r="AA25" s="20"/>
      <c r="AB25" s="20"/>
      <c r="AC25" s="20"/>
      <c r="AD25" s="20">
        <f t="shared" si="4"/>
        <v>0</v>
      </c>
      <c r="AE25" s="20"/>
      <c r="AF25" s="20"/>
      <c r="AG25" s="20"/>
      <c r="AH25" s="20"/>
      <c r="AI25" s="20">
        <f t="shared" si="6"/>
        <v>0</v>
      </c>
      <c r="AJ25" s="20"/>
    </row>
    <row r="26" spans="2:36">
      <c r="B26" s="11" t="s">
        <v>107</v>
      </c>
      <c r="C26" s="12" t="s">
        <v>108</v>
      </c>
      <c r="D26" s="12" t="s">
        <v>38</v>
      </c>
      <c r="E26" s="13" t="s">
        <v>39</v>
      </c>
      <c r="F26" s="14" t="str">
        <f>_xlfn.XLOOKUP(B26,'[1]Synthese suivi modernisation'!A:A,'[1]Synthese suivi modernisation'!S:S)</f>
        <v>TAMBA</v>
      </c>
      <c r="G26" s="14" t="str">
        <f>_xlfn.XLOOKUP(B26,'[1]Synthese suivi modernisation'!A:A,'[1]Synthese suivi modernisation'!T:T)</f>
        <v>TAMBACOUNDA</v>
      </c>
      <c r="H26" s="20" t="s">
        <v>40</v>
      </c>
      <c r="I26" s="14" t="s">
        <v>41</v>
      </c>
      <c r="J26" s="16" t="s">
        <v>40</v>
      </c>
      <c r="K26" s="24">
        <v>3500</v>
      </c>
      <c r="L26" s="14">
        <v>3</v>
      </c>
      <c r="M26" s="17" t="s">
        <v>42</v>
      </c>
      <c r="N26" s="16" t="s">
        <v>51</v>
      </c>
      <c r="O26" s="16">
        <v>22</v>
      </c>
      <c r="P26" s="18">
        <v>278.58333333333331</v>
      </c>
      <c r="Q26" s="20"/>
      <c r="R26" s="20"/>
      <c r="S26" s="19">
        <v>0.8</v>
      </c>
      <c r="T26" s="20">
        <f t="shared" si="0"/>
        <v>17.045454545454543</v>
      </c>
      <c r="U26" s="20">
        <v>0.27</v>
      </c>
      <c r="V26" s="20">
        <f t="shared" si="1"/>
        <v>0.81</v>
      </c>
      <c r="W26" s="20"/>
      <c r="X26" s="20"/>
      <c r="Y26" s="20">
        <f t="shared" si="2"/>
        <v>0</v>
      </c>
      <c r="Z26" s="21">
        <f t="shared" si="3"/>
        <v>-278.58333333333331</v>
      </c>
      <c r="AA26" s="20"/>
      <c r="AB26" s="20"/>
      <c r="AC26" s="20"/>
      <c r="AD26" s="20">
        <f t="shared" si="4"/>
        <v>0</v>
      </c>
      <c r="AE26" s="20"/>
      <c r="AF26" s="20"/>
      <c r="AG26" s="20"/>
      <c r="AH26" s="20"/>
      <c r="AI26" s="20">
        <f t="shared" si="6"/>
        <v>0</v>
      </c>
      <c r="AJ26" s="20"/>
    </row>
    <row r="27" spans="2:36">
      <c r="B27" s="11" t="s">
        <v>109</v>
      </c>
      <c r="C27" s="12" t="s">
        <v>110</v>
      </c>
      <c r="D27" s="12" t="s">
        <v>38</v>
      </c>
      <c r="E27" s="13" t="s">
        <v>39</v>
      </c>
      <c r="F27" s="14" t="str">
        <f>_xlfn.XLOOKUP(B27,'[1]Synthese suivi modernisation'!A:A,'[1]Synthese suivi modernisation'!S:S)</f>
        <v>SEDHIOU</v>
      </c>
      <c r="G27" s="14" t="str">
        <f>_xlfn.XLOOKUP(B27,'[1]Synthese suivi modernisation'!A:A,'[1]Synthese suivi modernisation'!T:T)</f>
        <v>ZIGUINCHOR</v>
      </c>
      <c r="H27" s="20" t="s">
        <v>40</v>
      </c>
      <c r="I27" s="14" t="s">
        <v>41</v>
      </c>
      <c r="J27" s="16" t="s">
        <v>40</v>
      </c>
      <c r="K27" s="24">
        <v>2250</v>
      </c>
      <c r="L27" s="14">
        <v>3</v>
      </c>
      <c r="M27" s="17" t="s">
        <v>42</v>
      </c>
      <c r="N27" s="16" t="s">
        <v>111</v>
      </c>
      <c r="O27" s="16">
        <v>22</v>
      </c>
      <c r="P27" s="18">
        <v>322.16666666666669</v>
      </c>
      <c r="Q27" s="20"/>
      <c r="R27" s="20"/>
      <c r="S27" s="19">
        <v>0.8</v>
      </c>
      <c r="T27" s="20">
        <f t="shared" si="0"/>
        <v>17.045454545454543</v>
      </c>
      <c r="U27" s="20">
        <v>0.27</v>
      </c>
      <c r="V27" s="20">
        <f t="shared" si="1"/>
        <v>0.81</v>
      </c>
      <c r="W27" s="20"/>
      <c r="X27" s="20"/>
      <c r="Y27" s="20">
        <f t="shared" si="2"/>
        <v>0</v>
      </c>
      <c r="Z27" s="21">
        <f t="shared" si="3"/>
        <v>-322.16666666666669</v>
      </c>
      <c r="AA27" s="20"/>
      <c r="AB27" s="20"/>
      <c r="AC27" s="20"/>
      <c r="AD27" s="20">
        <f t="shared" si="4"/>
        <v>0</v>
      </c>
      <c r="AE27" s="20"/>
      <c r="AF27" s="20"/>
      <c r="AG27" s="20"/>
      <c r="AH27" s="20"/>
      <c r="AI27" s="20">
        <f t="shared" si="6"/>
        <v>0</v>
      </c>
      <c r="AJ27" s="20"/>
    </row>
    <row r="28" spans="2:36">
      <c r="B28" s="11" t="s">
        <v>112</v>
      </c>
      <c r="C28" s="12" t="s">
        <v>113</v>
      </c>
      <c r="D28" s="12" t="s">
        <v>38</v>
      </c>
      <c r="E28" s="13" t="s">
        <v>39</v>
      </c>
      <c r="F28" s="14" t="str">
        <f>_xlfn.XLOOKUP(B28,'[1]Synthese suivi modernisation'!A:A,'[1]Synthese suivi modernisation'!S:S)</f>
        <v>SEDHIOU</v>
      </c>
      <c r="G28" s="14" t="str">
        <f>_xlfn.XLOOKUP(B28,'[1]Synthese suivi modernisation'!A:A,'[1]Synthese suivi modernisation'!T:T)</f>
        <v>ZIGUINCHOR</v>
      </c>
      <c r="H28" s="20" t="s">
        <v>40</v>
      </c>
      <c r="I28" s="14" t="s">
        <v>41</v>
      </c>
      <c r="J28" s="16" t="s">
        <v>40</v>
      </c>
      <c r="K28" s="24">
        <v>4500</v>
      </c>
      <c r="L28" s="14">
        <v>3</v>
      </c>
      <c r="M28" s="17" t="s">
        <v>42</v>
      </c>
      <c r="N28" s="16" t="s">
        <v>51</v>
      </c>
      <c r="O28" s="16">
        <v>22</v>
      </c>
      <c r="P28" s="18">
        <v>322.16666666666669</v>
      </c>
      <c r="Q28" s="20"/>
      <c r="R28" s="20"/>
      <c r="S28" s="19">
        <v>0.8</v>
      </c>
      <c r="T28" s="20">
        <f t="shared" si="0"/>
        <v>17.045454545454543</v>
      </c>
      <c r="U28" s="20">
        <v>0.27</v>
      </c>
      <c r="V28" s="20">
        <f t="shared" si="1"/>
        <v>0.81</v>
      </c>
      <c r="W28" s="20"/>
      <c r="X28" s="20"/>
      <c r="Y28" s="20">
        <f t="shared" si="2"/>
        <v>0</v>
      </c>
      <c r="Z28" s="21">
        <f t="shared" si="3"/>
        <v>-322.16666666666669</v>
      </c>
      <c r="AA28" s="20"/>
      <c r="AB28" s="20"/>
      <c r="AC28" s="20"/>
      <c r="AD28" s="20">
        <f t="shared" si="4"/>
        <v>0</v>
      </c>
      <c r="AE28" s="20"/>
      <c r="AF28" s="20"/>
      <c r="AG28" s="20"/>
      <c r="AH28" s="20"/>
      <c r="AI28" s="20">
        <f t="shared" si="6"/>
        <v>0</v>
      </c>
      <c r="AJ28" s="20"/>
    </row>
    <row r="29" spans="2:36">
      <c r="B29" s="11" t="s">
        <v>114</v>
      </c>
      <c r="C29" s="12" t="s">
        <v>115</v>
      </c>
      <c r="D29" s="12" t="s">
        <v>38</v>
      </c>
      <c r="E29" s="13" t="s">
        <v>39</v>
      </c>
      <c r="F29" s="14" t="str">
        <f>_xlfn.XLOOKUP(B29,'[1]Synthese suivi modernisation'!A:A,'[1]Synthese suivi modernisation'!S:S)</f>
        <v>ZIGUINCHOR</v>
      </c>
      <c r="G29" s="14" t="str">
        <f>_xlfn.XLOOKUP(B29,'[1]Synthese suivi modernisation'!A:A,'[1]Synthese suivi modernisation'!T:T)</f>
        <v>ZIGUINCHOR</v>
      </c>
      <c r="H29" s="20" t="s">
        <v>70</v>
      </c>
      <c r="I29" s="20" t="s">
        <v>71</v>
      </c>
      <c r="J29" s="16" t="s">
        <v>70</v>
      </c>
      <c r="K29" s="24">
        <v>8000</v>
      </c>
      <c r="L29" s="14">
        <v>9</v>
      </c>
      <c r="M29" s="17" t="s">
        <v>73</v>
      </c>
      <c r="N29" s="16" t="s">
        <v>116</v>
      </c>
      <c r="O29" s="16">
        <v>66</v>
      </c>
      <c r="P29" s="18">
        <v>46.5</v>
      </c>
      <c r="Q29" s="20"/>
      <c r="R29" s="20"/>
      <c r="S29" s="19">
        <v>0.8</v>
      </c>
      <c r="T29" s="20">
        <f t="shared" si="0"/>
        <v>17.045454545454543</v>
      </c>
      <c r="U29" s="20">
        <v>0.27</v>
      </c>
      <c r="V29" s="20">
        <f t="shared" si="1"/>
        <v>2.4300000000000002</v>
      </c>
      <c r="W29" s="20"/>
      <c r="X29" s="20"/>
      <c r="Y29" s="20">
        <f t="shared" si="2"/>
        <v>0</v>
      </c>
      <c r="Z29" s="21">
        <f t="shared" si="3"/>
        <v>-46.5</v>
      </c>
      <c r="AA29" s="20"/>
      <c r="AB29" s="20"/>
      <c r="AC29" s="20"/>
      <c r="AD29" s="20">
        <f t="shared" si="4"/>
        <v>0</v>
      </c>
      <c r="AE29" s="20"/>
      <c r="AF29" s="20"/>
      <c r="AG29" s="20"/>
      <c r="AH29" s="20"/>
      <c r="AI29" s="20">
        <f t="shared" si="6"/>
        <v>0</v>
      </c>
      <c r="AJ29" s="20"/>
    </row>
    <row r="30" spans="2:36">
      <c r="B30" s="11" t="s">
        <v>117</v>
      </c>
      <c r="C30" s="12" t="s">
        <v>118</v>
      </c>
      <c r="D30" s="12" t="s">
        <v>38</v>
      </c>
      <c r="E30" s="13" t="s">
        <v>39</v>
      </c>
      <c r="F30" s="14" t="str">
        <f>_xlfn.XLOOKUP(B30,'[1]Synthese suivi modernisation'!A:A,'[1]Synthese suivi modernisation'!S:S)</f>
        <v>SAINT-LOUIS</v>
      </c>
      <c r="G30" s="14" t="str">
        <f>_xlfn.XLOOKUP(B30,'[1]Synthese suivi modernisation'!A:A,'[1]Synthese suivi modernisation'!T:T)</f>
        <v>SAINT-LOUIS</v>
      </c>
      <c r="H30" s="20" t="s">
        <v>40</v>
      </c>
      <c r="I30" s="14" t="s">
        <v>41</v>
      </c>
      <c r="J30" s="23" t="s">
        <v>40</v>
      </c>
      <c r="K30" s="24">
        <v>2250</v>
      </c>
      <c r="L30" s="14">
        <v>4</v>
      </c>
      <c r="M30" s="17" t="s">
        <v>42</v>
      </c>
      <c r="N30" s="16" t="s">
        <v>67</v>
      </c>
      <c r="O30" s="16">
        <v>50</v>
      </c>
      <c r="P30" s="18">
        <v>305.16666666666669</v>
      </c>
      <c r="Q30" s="20"/>
      <c r="R30" s="20"/>
      <c r="S30" s="19">
        <v>0.8</v>
      </c>
      <c r="T30" s="20">
        <f t="shared" si="0"/>
        <v>10</v>
      </c>
      <c r="U30" s="20">
        <v>0.27</v>
      </c>
      <c r="V30" s="20">
        <f t="shared" si="1"/>
        <v>1.08</v>
      </c>
      <c r="W30" s="20"/>
      <c r="X30" s="20"/>
      <c r="Y30" s="20">
        <f t="shared" si="2"/>
        <v>0</v>
      </c>
      <c r="Z30" s="21">
        <f t="shared" si="3"/>
        <v>-305.16666666666669</v>
      </c>
      <c r="AA30" s="20"/>
      <c r="AB30" s="20"/>
      <c r="AC30" s="20"/>
      <c r="AD30" s="20">
        <f t="shared" si="4"/>
        <v>0</v>
      </c>
      <c r="AE30" s="20"/>
      <c r="AF30" s="20"/>
      <c r="AG30" s="20"/>
      <c r="AH30" s="20"/>
      <c r="AI30" s="20">
        <f t="shared" si="6"/>
        <v>0</v>
      </c>
      <c r="AJ30" s="20"/>
    </row>
    <row r="31" spans="2:36">
      <c r="B31" s="11" t="s">
        <v>119</v>
      </c>
      <c r="C31" s="12" t="s">
        <v>120</v>
      </c>
      <c r="D31" s="12" t="s">
        <v>38</v>
      </c>
      <c r="E31" s="13" t="s">
        <v>39</v>
      </c>
      <c r="F31" s="14" t="str">
        <f>_xlfn.XLOOKUP(B31,'[1]Synthese suivi modernisation'!A:A,'[1]Synthese suivi modernisation'!S:S)</f>
        <v>MATAM</v>
      </c>
      <c r="G31" s="14" t="str">
        <f>_xlfn.XLOOKUP(B31,'[1]Synthese suivi modernisation'!A:A,'[1]Synthese suivi modernisation'!T:T)</f>
        <v>SAINT-LOUIS</v>
      </c>
      <c r="H31" s="20" t="s">
        <v>40</v>
      </c>
      <c r="I31" s="14" t="s">
        <v>41</v>
      </c>
      <c r="J31" s="16" t="s">
        <v>40</v>
      </c>
      <c r="K31" s="24">
        <v>4000</v>
      </c>
      <c r="L31" s="14">
        <v>5</v>
      </c>
      <c r="M31" s="17" t="s">
        <v>42</v>
      </c>
      <c r="N31" s="16" t="s">
        <v>63</v>
      </c>
      <c r="O31" s="16">
        <v>30</v>
      </c>
      <c r="P31" s="18">
        <v>441.91666666666669</v>
      </c>
      <c r="Q31" s="20"/>
      <c r="R31" s="20"/>
      <c r="S31" s="19">
        <v>0.8</v>
      </c>
      <c r="T31" s="20">
        <f t="shared" si="0"/>
        <v>20.833333333333336</v>
      </c>
      <c r="U31" s="20">
        <v>0.27</v>
      </c>
      <c r="V31" s="20">
        <f t="shared" si="1"/>
        <v>1.35</v>
      </c>
      <c r="W31" s="20"/>
      <c r="X31" s="20"/>
      <c r="Y31" s="20">
        <f t="shared" si="2"/>
        <v>0</v>
      </c>
      <c r="Z31" s="21">
        <f t="shared" si="3"/>
        <v>-441.91666666666669</v>
      </c>
      <c r="AA31" s="20"/>
      <c r="AB31" s="20"/>
      <c r="AC31" s="20"/>
      <c r="AD31" s="20">
        <f t="shared" si="4"/>
        <v>0</v>
      </c>
      <c r="AE31" s="20"/>
      <c r="AF31" s="20"/>
      <c r="AG31" s="20"/>
      <c r="AH31" s="20"/>
      <c r="AI31" s="20">
        <f t="shared" si="6"/>
        <v>0</v>
      </c>
      <c r="AJ31" s="20"/>
    </row>
    <row r="32" spans="2:36">
      <c r="B32" s="11" t="s">
        <v>121</v>
      </c>
      <c r="C32" s="12" t="s">
        <v>122</v>
      </c>
      <c r="D32" s="12" t="s">
        <v>38</v>
      </c>
      <c r="E32" s="13" t="s">
        <v>39</v>
      </c>
      <c r="F32" s="14" t="str">
        <f>_xlfn.XLOOKUP(B32,'[1]Synthese suivi modernisation'!A:A,'[1]Synthese suivi modernisation'!S:S)</f>
        <v>MATAM</v>
      </c>
      <c r="G32" s="14" t="str">
        <f>_xlfn.XLOOKUP(B32,'[1]Synthese suivi modernisation'!A:A,'[1]Synthese suivi modernisation'!T:T)</f>
        <v>SAINT-LOUIS</v>
      </c>
      <c r="H32" s="20" t="s">
        <v>70</v>
      </c>
      <c r="I32" s="20" t="s">
        <v>71</v>
      </c>
      <c r="J32" s="16" t="s">
        <v>70</v>
      </c>
      <c r="K32" s="24">
        <v>8000</v>
      </c>
      <c r="L32" s="14">
        <v>8</v>
      </c>
      <c r="M32" s="17" t="s">
        <v>73</v>
      </c>
      <c r="N32" s="16" t="s">
        <v>123</v>
      </c>
      <c r="O32" s="16">
        <v>22</v>
      </c>
      <c r="P32" s="18">
        <v>29.583333333333332</v>
      </c>
      <c r="Q32" s="20"/>
      <c r="R32" s="20"/>
      <c r="S32" s="19">
        <v>0.8</v>
      </c>
      <c r="T32" s="20">
        <f t="shared" si="0"/>
        <v>45.454545454545453</v>
      </c>
      <c r="U32" s="20">
        <v>0.27</v>
      </c>
      <c r="V32" s="20">
        <f t="shared" si="1"/>
        <v>2.16</v>
      </c>
      <c r="W32" s="20"/>
      <c r="X32" s="20"/>
      <c r="Y32" s="20">
        <f t="shared" si="2"/>
        <v>0</v>
      </c>
      <c r="Z32" s="21">
        <f t="shared" si="3"/>
        <v>-29.583333333333332</v>
      </c>
      <c r="AA32" s="20"/>
      <c r="AB32" s="20"/>
      <c r="AC32" s="20"/>
      <c r="AD32" s="20">
        <f t="shared" si="4"/>
        <v>0</v>
      </c>
      <c r="AE32" s="20"/>
      <c r="AF32" s="20"/>
      <c r="AG32" s="20"/>
      <c r="AH32" s="20"/>
      <c r="AI32" s="20">
        <f t="shared" si="6"/>
        <v>0</v>
      </c>
      <c r="AJ32" s="20"/>
    </row>
    <row r="33" spans="2:36">
      <c r="B33" s="11" t="s">
        <v>124</v>
      </c>
      <c r="C33" s="12" t="s">
        <v>125</v>
      </c>
      <c r="D33" s="12" t="s">
        <v>38</v>
      </c>
      <c r="E33" s="13" t="s">
        <v>39</v>
      </c>
      <c r="F33" s="14" t="str">
        <f>_xlfn.XLOOKUP(B33,'[1]Synthese suivi modernisation'!A:A,'[1]Synthese suivi modernisation'!S:S)</f>
        <v>ZIGUINCHOR</v>
      </c>
      <c r="G33" s="14" t="str">
        <f>_xlfn.XLOOKUP(B33,'[1]Synthese suivi modernisation'!A:A,'[1]Synthese suivi modernisation'!T:T)</f>
        <v>ZIGUINCHOR</v>
      </c>
      <c r="H33" s="20" t="s">
        <v>40</v>
      </c>
      <c r="I33" s="14" t="s">
        <v>41</v>
      </c>
      <c r="J33" s="23" t="s">
        <v>40</v>
      </c>
      <c r="K33" s="24">
        <v>2000</v>
      </c>
      <c r="L33" s="14">
        <v>4.5</v>
      </c>
      <c r="M33" s="17" t="s">
        <v>42</v>
      </c>
      <c r="N33" s="16" t="s">
        <v>48</v>
      </c>
      <c r="O33" s="16">
        <v>22</v>
      </c>
      <c r="P33" s="18">
        <v>660.25</v>
      </c>
      <c r="Q33" s="20"/>
      <c r="R33" s="20"/>
      <c r="S33" s="19">
        <v>0.8</v>
      </c>
      <c r="T33" s="20">
        <f t="shared" si="0"/>
        <v>25.568181818181817</v>
      </c>
      <c r="U33" s="20">
        <v>0.27</v>
      </c>
      <c r="V33" s="20">
        <f t="shared" si="1"/>
        <v>1.2150000000000001</v>
      </c>
      <c r="W33" s="20"/>
      <c r="X33" s="20"/>
      <c r="Y33" s="20">
        <f t="shared" si="2"/>
        <v>0</v>
      </c>
      <c r="Z33" s="21">
        <f t="shared" si="3"/>
        <v>-660.25</v>
      </c>
      <c r="AA33" s="20"/>
      <c r="AB33" s="20"/>
      <c r="AC33" s="20"/>
      <c r="AD33" s="20">
        <f t="shared" si="4"/>
        <v>0</v>
      </c>
      <c r="AE33" s="20"/>
      <c r="AF33" s="20"/>
      <c r="AG33" s="20"/>
      <c r="AH33" s="20"/>
      <c r="AI33" s="20">
        <f t="shared" si="6"/>
        <v>0</v>
      </c>
      <c r="AJ33" s="20"/>
    </row>
    <row r="34" spans="2:36">
      <c r="B34" s="11" t="s">
        <v>126</v>
      </c>
      <c r="C34" s="12" t="s">
        <v>127</v>
      </c>
      <c r="D34" s="12" t="s">
        <v>38</v>
      </c>
      <c r="E34" s="13" t="s">
        <v>39</v>
      </c>
      <c r="F34" s="14" t="str">
        <f>_xlfn.XLOOKUP(B34,'[1]Synthese suivi modernisation'!A:A,'[1]Synthese suivi modernisation'!S:S)</f>
        <v>LOUGA</v>
      </c>
      <c r="G34" s="14" t="str">
        <f>_xlfn.XLOOKUP(B34,'[1]Synthese suivi modernisation'!A:A,'[1]Synthese suivi modernisation'!T:T)</f>
        <v>SAINT-LOUIS</v>
      </c>
      <c r="H34" s="20" t="s">
        <v>40</v>
      </c>
      <c r="I34" s="14" t="s">
        <v>41</v>
      </c>
      <c r="J34" s="16" t="s">
        <v>40</v>
      </c>
      <c r="K34" s="24">
        <v>3000</v>
      </c>
      <c r="L34" s="14">
        <v>4</v>
      </c>
      <c r="M34" s="17" t="s">
        <v>42</v>
      </c>
      <c r="N34" s="16" t="s">
        <v>67</v>
      </c>
      <c r="O34" s="16">
        <v>50</v>
      </c>
      <c r="P34" s="18">
        <v>305.16666666666669</v>
      </c>
      <c r="Q34" s="20"/>
      <c r="R34" s="20"/>
      <c r="S34" s="19">
        <v>0.8</v>
      </c>
      <c r="T34" s="20">
        <f t="shared" si="0"/>
        <v>10</v>
      </c>
      <c r="U34" s="20">
        <v>0.27</v>
      </c>
      <c r="V34" s="20">
        <f t="shared" si="1"/>
        <v>1.08</v>
      </c>
      <c r="W34" s="20"/>
      <c r="X34" s="20"/>
      <c r="Y34" s="20">
        <f t="shared" si="2"/>
        <v>0</v>
      </c>
      <c r="Z34" s="21">
        <f t="shared" si="3"/>
        <v>-305.16666666666669</v>
      </c>
      <c r="AA34" s="20"/>
      <c r="AB34" s="20"/>
      <c r="AC34" s="20"/>
      <c r="AD34" s="20">
        <f t="shared" si="4"/>
        <v>0</v>
      </c>
      <c r="AE34" s="20"/>
      <c r="AF34" s="20"/>
      <c r="AG34" s="20"/>
      <c r="AH34" s="20"/>
      <c r="AI34" s="20">
        <f t="shared" si="6"/>
        <v>0</v>
      </c>
      <c r="AJ34" s="20"/>
    </row>
    <row r="35" spans="2:36">
      <c r="B35" s="11" t="s">
        <v>128</v>
      </c>
      <c r="C35" s="12" t="s">
        <v>129</v>
      </c>
      <c r="D35" s="12" t="s">
        <v>38</v>
      </c>
      <c r="E35" s="13" t="s">
        <v>39</v>
      </c>
      <c r="F35" s="14" t="str">
        <f>_xlfn.XLOOKUP(B35,'[1]Synthese suivi modernisation'!A:A,'[1]Synthese suivi modernisation'!S:S)</f>
        <v>SEDHIOU</v>
      </c>
      <c r="G35" s="14" t="str">
        <f>_xlfn.XLOOKUP(B35,'[1]Synthese suivi modernisation'!A:A,'[1]Synthese suivi modernisation'!T:T)</f>
        <v>ZIGUINCHOR</v>
      </c>
      <c r="H35" s="20" t="s">
        <v>70</v>
      </c>
      <c r="I35" s="20" t="s">
        <v>71</v>
      </c>
      <c r="J35" s="16" t="s">
        <v>70</v>
      </c>
      <c r="K35" s="24">
        <v>7000</v>
      </c>
      <c r="L35" s="14">
        <v>17</v>
      </c>
      <c r="M35" s="17" t="s">
        <v>73</v>
      </c>
      <c r="N35" s="16" t="s">
        <v>85</v>
      </c>
      <c r="O35" s="16">
        <v>33</v>
      </c>
      <c r="P35" s="18">
        <v>97.583333333333329</v>
      </c>
      <c r="Q35" s="20"/>
      <c r="R35" s="20"/>
      <c r="S35" s="19">
        <v>0.8</v>
      </c>
      <c r="T35" s="20">
        <f t="shared" si="0"/>
        <v>64.393939393939391</v>
      </c>
      <c r="U35" s="20">
        <v>0.27</v>
      </c>
      <c r="V35" s="20">
        <f t="shared" si="1"/>
        <v>4.59</v>
      </c>
      <c r="W35" s="20"/>
      <c r="X35" s="20"/>
      <c r="Y35" s="20">
        <f t="shared" si="2"/>
        <v>0</v>
      </c>
      <c r="Z35" s="21">
        <f t="shared" si="3"/>
        <v>-97.583333333333329</v>
      </c>
      <c r="AA35" s="20"/>
      <c r="AB35" s="20"/>
      <c r="AC35" s="20"/>
      <c r="AD35" s="20">
        <f t="shared" si="4"/>
        <v>0</v>
      </c>
      <c r="AE35" s="20"/>
      <c r="AF35" s="20"/>
      <c r="AG35" s="20"/>
      <c r="AH35" s="20"/>
      <c r="AI35" s="20">
        <f t="shared" si="6"/>
        <v>0</v>
      </c>
      <c r="AJ35" s="20"/>
    </row>
    <row r="36" spans="2:36">
      <c r="B36" s="11" t="s">
        <v>130</v>
      </c>
      <c r="C36" s="12" t="s">
        <v>131</v>
      </c>
      <c r="D36" s="12" t="s">
        <v>38</v>
      </c>
      <c r="E36" s="13" t="s">
        <v>39</v>
      </c>
      <c r="F36" s="14" t="str">
        <f>_xlfn.XLOOKUP(B36,'[1]Synthese suivi modernisation'!A:A,'[1]Synthese suivi modernisation'!S:S)</f>
        <v>LOUGA</v>
      </c>
      <c r="G36" s="14" t="str">
        <f>_xlfn.XLOOKUP(B36,'[1]Synthese suivi modernisation'!A:A,'[1]Synthese suivi modernisation'!T:T)</f>
        <v>SAINT-LOUIS</v>
      </c>
      <c r="H36" s="20" t="s">
        <v>54</v>
      </c>
      <c r="I36" s="14" t="s">
        <v>41</v>
      </c>
      <c r="J36" s="23" t="s">
        <v>40</v>
      </c>
      <c r="K36" s="24">
        <v>1750</v>
      </c>
      <c r="L36" s="14">
        <v>3.5</v>
      </c>
      <c r="M36" s="17" t="s">
        <v>42</v>
      </c>
      <c r="N36" s="16" t="s">
        <v>55</v>
      </c>
      <c r="O36" s="16">
        <v>33</v>
      </c>
      <c r="P36" s="18">
        <v>205.41666666666666</v>
      </c>
      <c r="Q36" s="20"/>
      <c r="R36" s="20"/>
      <c r="S36" s="19">
        <v>0.8</v>
      </c>
      <c r="T36" s="20">
        <f t="shared" si="0"/>
        <v>13.257575757575758</v>
      </c>
      <c r="U36" s="20">
        <v>0.27</v>
      </c>
      <c r="V36" s="20">
        <f t="shared" si="1"/>
        <v>0.94500000000000006</v>
      </c>
      <c r="W36" s="20"/>
      <c r="X36" s="20"/>
      <c r="Y36" s="20">
        <f t="shared" si="2"/>
        <v>0</v>
      </c>
      <c r="Z36" s="21">
        <f t="shared" si="3"/>
        <v>-205.41666666666666</v>
      </c>
      <c r="AA36" s="20"/>
      <c r="AB36" s="20"/>
      <c r="AC36" s="20"/>
      <c r="AD36" s="20">
        <f t="shared" si="4"/>
        <v>0</v>
      </c>
      <c r="AE36" s="20"/>
      <c r="AF36" s="20"/>
      <c r="AG36" s="20"/>
      <c r="AH36" s="20"/>
      <c r="AI36" s="20">
        <f t="shared" si="6"/>
        <v>0</v>
      </c>
      <c r="AJ36" s="20"/>
    </row>
    <row r="37" spans="2:36">
      <c r="B37" s="11" t="s">
        <v>132</v>
      </c>
      <c r="C37" s="12" t="s">
        <v>133</v>
      </c>
      <c r="D37" s="12" t="s">
        <v>38</v>
      </c>
      <c r="E37" s="13" t="s">
        <v>39</v>
      </c>
      <c r="F37" s="14" t="str">
        <f>_xlfn.XLOOKUP(B37,'[1]Synthese suivi modernisation'!A:A,'[1]Synthese suivi modernisation'!S:S)</f>
        <v>KEDOUGOU</v>
      </c>
      <c r="G37" s="14" t="str">
        <f>_xlfn.XLOOKUP(B37,'[1]Synthese suivi modernisation'!A:A,'[1]Synthese suivi modernisation'!T:T)</f>
        <v>TAMBACOUNDA</v>
      </c>
      <c r="H37" s="20" t="s">
        <v>134</v>
      </c>
      <c r="I37" s="14" t="s">
        <v>41</v>
      </c>
      <c r="J37" s="16" t="s">
        <v>134</v>
      </c>
      <c r="K37" s="24">
        <v>2250</v>
      </c>
      <c r="L37" s="14">
        <v>3</v>
      </c>
      <c r="M37" s="17" t="s">
        <v>42</v>
      </c>
      <c r="N37" s="16" t="s">
        <v>63</v>
      </c>
      <c r="O37" s="16">
        <v>30</v>
      </c>
      <c r="P37" s="18">
        <v>369.25</v>
      </c>
      <c r="Q37" s="20"/>
      <c r="R37" s="20"/>
      <c r="S37" s="19">
        <v>0.8</v>
      </c>
      <c r="T37" s="20">
        <f t="shared" si="0"/>
        <v>12.5</v>
      </c>
      <c r="U37" s="20">
        <v>0.27</v>
      </c>
      <c r="V37" s="20">
        <f t="shared" si="1"/>
        <v>0.81</v>
      </c>
      <c r="W37" s="20"/>
      <c r="X37" s="20"/>
      <c r="Y37" s="20">
        <f t="shared" si="2"/>
        <v>0</v>
      </c>
      <c r="Z37" s="21">
        <f t="shared" si="3"/>
        <v>-369.25</v>
      </c>
      <c r="AA37" s="20"/>
      <c r="AB37" s="20"/>
      <c r="AC37" s="20"/>
      <c r="AD37" s="20">
        <f t="shared" si="4"/>
        <v>0</v>
      </c>
      <c r="AE37" s="20"/>
      <c r="AF37" s="20"/>
      <c r="AG37" s="20"/>
      <c r="AH37" s="20"/>
      <c r="AI37" s="20">
        <f t="shared" si="6"/>
        <v>0</v>
      </c>
      <c r="AJ37" s="20"/>
    </row>
    <row r="38" spans="2:36">
      <c r="B38" s="11" t="s">
        <v>135</v>
      </c>
      <c r="C38" s="12" t="s">
        <v>136</v>
      </c>
      <c r="D38" s="12" t="s">
        <v>38</v>
      </c>
      <c r="E38" s="13" t="s">
        <v>39</v>
      </c>
      <c r="F38" s="14" t="str">
        <f>_xlfn.XLOOKUP(B38,'[1]Synthese suivi modernisation'!A:A,'[1]Synthese suivi modernisation'!S:S)</f>
        <v>ZIGUINCHOR</v>
      </c>
      <c r="G38" s="14" t="str">
        <f>_xlfn.XLOOKUP(B38,'[1]Synthese suivi modernisation'!A:A,'[1]Synthese suivi modernisation'!T:T)</f>
        <v>ZIGUINCHOR</v>
      </c>
      <c r="H38" s="20" t="s">
        <v>70</v>
      </c>
      <c r="I38" s="20" t="s">
        <v>71</v>
      </c>
      <c r="J38" s="16" t="s">
        <v>70</v>
      </c>
      <c r="K38" s="24">
        <v>12000</v>
      </c>
      <c r="L38" s="14">
        <v>14</v>
      </c>
      <c r="M38" s="17" t="s">
        <v>73</v>
      </c>
      <c r="N38" s="16" t="s">
        <v>43</v>
      </c>
      <c r="O38" s="16">
        <v>30</v>
      </c>
      <c r="P38" s="18">
        <v>87.75</v>
      </c>
      <c r="Q38" s="20"/>
      <c r="R38" s="20"/>
      <c r="S38" s="19">
        <v>0.8</v>
      </c>
      <c r="T38" s="20">
        <f t="shared" si="0"/>
        <v>58.333333333333336</v>
      </c>
      <c r="U38" s="20">
        <v>0.27</v>
      </c>
      <c r="V38" s="20">
        <f t="shared" si="1"/>
        <v>3.7800000000000002</v>
      </c>
      <c r="W38" s="20"/>
      <c r="X38" s="20"/>
      <c r="Y38" s="20">
        <f t="shared" si="2"/>
        <v>0</v>
      </c>
      <c r="Z38" s="21">
        <f t="shared" si="3"/>
        <v>-87.75</v>
      </c>
      <c r="AA38" s="20"/>
      <c r="AB38" s="20"/>
      <c r="AC38" s="20"/>
      <c r="AD38" s="20">
        <f t="shared" si="4"/>
        <v>0</v>
      </c>
      <c r="AE38" s="20"/>
      <c r="AF38" s="20"/>
      <c r="AG38" s="20"/>
      <c r="AH38" s="20"/>
      <c r="AI38" s="20">
        <f t="shared" si="6"/>
        <v>0</v>
      </c>
      <c r="AJ38" s="20"/>
    </row>
    <row r="39" spans="2:36">
      <c r="B39" s="11" t="s">
        <v>137</v>
      </c>
      <c r="C39" s="12" t="s">
        <v>138</v>
      </c>
      <c r="D39" s="12" t="s">
        <v>38</v>
      </c>
      <c r="E39" s="13" t="s">
        <v>39</v>
      </c>
      <c r="F39" s="14" t="str">
        <f>_xlfn.XLOOKUP(B39,'[1]Synthese suivi modernisation'!A:A,'[1]Synthese suivi modernisation'!S:S)</f>
        <v>KOUNGHEUL</v>
      </c>
      <c r="G39" s="14" t="str">
        <f>_xlfn.XLOOKUP(B39,'[1]Synthese suivi modernisation'!A:A,'[1]Synthese suivi modernisation'!T:T)</f>
        <v>TAMBACOUNDA</v>
      </c>
      <c r="H39" s="20" t="s">
        <v>40</v>
      </c>
      <c r="I39" s="14" t="s">
        <v>41</v>
      </c>
      <c r="J39" s="16" t="s">
        <v>40</v>
      </c>
      <c r="K39" s="24">
        <v>3500</v>
      </c>
      <c r="L39" s="14">
        <v>3.5</v>
      </c>
      <c r="M39" s="17" t="s">
        <v>42</v>
      </c>
      <c r="N39" s="16" t="s">
        <v>139</v>
      </c>
      <c r="O39" s="16">
        <v>18</v>
      </c>
      <c r="P39" s="18">
        <v>225.91666666666666</v>
      </c>
      <c r="Q39" s="20"/>
      <c r="R39" s="20"/>
      <c r="S39" s="19">
        <v>0.8</v>
      </c>
      <c r="T39" s="20">
        <f t="shared" si="0"/>
        <v>24.305555555555554</v>
      </c>
      <c r="U39" s="20">
        <v>0.27</v>
      </c>
      <c r="V39" s="20">
        <f t="shared" si="1"/>
        <v>0.94500000000000006</v>
      </c>
      <c r="W39" s="20"/>
      <c r="X39" s="20"/>
      <c r="Y39" s="20">
        <f t="shared" si="2"/>
        <v>0</v>
      </c>
      <c r="Z39" s="21">
        <f t="shared" si="3"/>
        <v>-225.91666666666666</v>
      </c>
      <c r="AA39" s="20"/>
      <c r="AB39" s="20"/>
      <c r="AC39" s="20"/>
      <c r="AD39" s="20">
        <f t="shared" si="4"/>
        <v>0</v>
      </c>
      <c r="AE39" s="20"/>
      <c r="AF39" s="20"/>
      <c r="AG39" s="20"/>
      <c r="AH39" s="20"/>
      <c r="AI39" s="20">
        <f t="shared" si="6"/>
        <v>0</v>
      </c>
      <c r="AJ39" s="20"/>
    </row>
    <row r="40" spans="2:36">
      <c r="B40" s="11" t="s">
        <v>140</v>
      </c>
      <c r="C40" s="12" t="s">
        <v>141</v>
      </c>
      <c r="D40" s="12" t="s">
        <v>38</v>
      </c>
      <c r="E40" s="13" t="s">
        <v>39</v>
      </c>
      <c r="F40" s="14" t="str">
        <f>_xlfn.XLOOKUP(B40,'[1]Synthese suivi modernisation'!A:A,'[1]Synthese suivi modernisation'!S:S)</f>
        <v>RUFISQUE</v>
      </c>
      <c r="G40" s="14" t="str">
        <f>_xlfn.XLOOKUP(B40,'[1]Synthese suivi modernisation'!A:A,'[1]Synthese suivi modernisation'!T:T)</f>
        <v>DAKAR</v>
      </c>
      <c r="H40" s="20" t="s">
        <v>142</v>
      </c>
      <c r="I40" s="20" t="s">
        <v>143</v>
      </c>
      <c r="J40" s="23" t="s">
        <v>142</v>
      </c>
      <c r="K40" s="24">
        <v>24000</v>
      </c>
      <c r="L40" s="14">
        <v>24</v>
      </c>
      <c r="M40" s="17" t="s">
        <v>73</v>
      </c>
      <c r="N40" s="16" t="s">
        <v>144</v>
      </c>
      <c r="O40" s="16">
        <v>110</v>
      </c>
      <c r="P40" s="18">
        <v>108.41666666666667</v>
      </c>
      <c r="Q40" s="20"/>
      <c r="R40" s="20"/>
      <c r="S40" s="19">
        <v>0.8</v>
      </c>
      <c r="T40" s="20">
        <f t="shared" si="0"/>
        <v>27.27272727272727</v>
      </c>
      <c r="U40" s="20">
        <v>0.27</v>
      </c>
      <c r="V40" s="20">
        <f t="shared" si="1"/>
        <v>6.48</v>
      </c>
      <c r="W40" s="20"/>
      <c r="X40" s="20"/>
      <c r="Y40" s="20">
        <f t="shared" si="2"/>
        <v>0</v>
      </c>
      <c r="Z40" s="21">
        <f t="shared" si="3"/>
        <v>-108.41666666666667</v>
      </c>
      <c r="AA40" s="20"/>
      <c r="AB40" s="20"/>
      <c r="AC40" s="20"/>
      <c r="AD40" s="20">
        <f t="shared" si="4"/>
        <v>0</v>
      </c>
      <c r="AE40" s="20"/>
      <c r="AF40" s="20"/>
      <c r="AG40" s="20"/>
      <c r="AH40" s="20"/>
      <c r="AI40" s="20">
        <f t="shared" si="6"/>
        <v>0</v>
      </c>
      <c r="AJ40" s="20"/>
    </row>
    <row r="41" spans="2:36">
      <c r="B41" s="11" t="s">
        <v>145</v>
      </c>
      <c r="C41" s="12" t="s">
        <v>146</v>
      </c>
      <c r="D41" s="12" t="s">
        <v>38</v>
      </c>
      <c r="E41" s="13" t="s">
        <v>39</v>
      </c>
      <c r="F41" s="14" t="str">
        <f>_xlfn.XLOOKUP(B41,'[1]Synthese suivi modernisation'!A:A,'[1]Synthese suivi modernisation'!S:S)</f>
        <v>VELINGARA</v>
      </c>
      <c r="G41" s="14" t="str">
        <f>_xlfn.XLOOKUP(B41,'[1]Synthese suivi modernisation'!A:A,'[1]Synthese suivi modernisation'!T:T)</f>
        <v>ZIGUINCHOR</v>
      </c>
      <c r="H41" s="20" t="s">
        <v>147</v>
      </c>
      <c r="I41" s="14" t="s">
        <v>41</v>
      </c>
      <c r="J41" s="16" t="s">
        <v>147</v>
      </c>
      <c r="K41" s="24">
        <v>2000</v>
      </c>
      <c r="L41" s="14">
        <v>2</v>
      </c>
      <c r="M41" s="17" t="s">
        <v>42</v>
      </c>
      <c r="N41" s="16" t="s">
        <v>51</v>
      </c>
      <c r="O41" s="16">
        <v>22</v>
      </c>
      <c r="P41" s="18">
        <v>153.58333333333334</v>
      </c>
      <c r="Q41" s="20"/>
      <c r="R41" s="20"/>
      <c r="S41" s="19">
        <v>0.8</v>
      </c>
      <c r="T41" s="20">
        <f t="shared" si="0"/>
        <v>11.363636363636363</v>
      </c>
      <c r="U41" s="20">
        <v>0.27</v>
      </c>
      <c r="V41" s="20">
        <f t="shared" si="1"/>
        <v>0.54</v>
      </c>
      <c r="W41" s="20"/>
      <c r="X41" s="20"/>
      <c r="Y41" s="20">
        <f t="shared" si="2"/>
        <v>0</v>
      </c>
      <c r="Z41" s="21">
        <f t="shared" si="3"/>
        <v>-153.58333333333334</v>
      </c>
      <c r="AA41" s="20"/>
      <c r="AB41" s="20"/>
      <c r="AC41" s="20"/>
      <c r="AD41" s="20">
        <f t="shared" si="4"/>
        <v>0</v>
      </c>
      <c r="AE41" s="20"/>
      <c r="AF41" s="20"/>
      <c r="AG41" s="20"/>
      <c r="AH41" s="20"/>
      <c r="AI41" s="20">
        <f t="shared" si="6"/>
        <v>0</v>
      </c>
      <c r="AJ41" s="20"/>
    </row>
    <row r="42" spans="2:36">
      <c r="B42" s="11" t="s">
        <v>148</v>
      </c>
      <c r="C42" s="12" t="s">
        <v>149</v>
      </c>
      <c r="D42" s="12" t="s">
        <v>38</v>
      </c>
      <c r="E42" s="13" t="s">
        <v>39</v>
      </c>
      <c r="F42" s="14" t="str">
        <f>_xlfn.XLOOKUP(B42,'[1]Synthese suivi modernisation'!A:A,'[1]Synthese suivi modernisation'!S:S)</f>
        <v>KAOLACK</v>
      </c>
      <c r="G42" s="14" t="str">
        <f>_xlfn.XLOOKUP(B42,'[1]Synthese suivi modernisation'!A:A,'[1]Synthese suivi modernisation'!T:T)</f>
        <v>KAOLACK</v>
      </c>
      <c r="H42" s="20" t="s">
        <v>54</v>
      </c>
      <c r="I42" s="14" t="s">
        <v>41</v>
      </c>
      <c r="J42" s="23" t="s">
        <v>40</v>
      </c>
      <c r="K42" s="24">
        <v>2000</v>
      </c>
      <c r="L42" s="14">
        <v>3.5</v>
      </c>
      <c r="M42" s="17" t="s">
        <v>42</v>
      </c>
      <c r="N42" s="16" t="s">
        <v>55</v>
      </c>
      <c r="O42" s="16">
        <v>33</v>
      </c>
      <c r="P42" s="18">
        <v>206.91666666666666</v>
      </c>
      <c r="Q42" s="20"/>
      <c r="R42" s="20"/>
      <c r="S42" s="19">
        <v>0.8</v>
      </c>
      <c r="T42" s="20">
        <f t="shared" si="0"/>
        <v>13.257575757575758</v>
      </c>
      <c r="U42" s="20">
        <v>0.27</v>
      </c>
      <c r="V42" s="20">
        <f t="shared" si="1"/>
        <v>0.94500000000000006</v>
      </c>
      <c r="W42" s="20"/>
      <c r="X42" s="20"/>
      <c r="Y42" s="20">
        <f t="shared" si="2"/>
        <v>0</v>
      </c>
      <c r="Z42" s="21">
        <f t="shared" si="3"/>
        <v>-206.91666666666666</v>
      </c>
      <c r="AA42" s="20"/>
      <c r="AB42" s="20"/>
      <c r="AC42" s="20"/>
      <c r="AD42" s="20">
        <f t="shared" si="4"/>
        <v>0</v>
      </c>
      <c r="AE42" s="20"/>
      <c r="AF42" s="20"/>
      <c r="AG42" s="20"/>
      <c r="AH42" s="20"/>
      <c r="AI42" s="20">
        <f t="shared" si="6"/>
        <v>0</v>
      </c>
      <c r="AJ42" s="20"/>
    </row>
    <row r="43" spans="2:36">
      <c r="B43" s="11" t="s">
        <v>150</v>
      </c>
      <c r="C43" s="12" t="s">
        <v>151</v>
      </c>
      <c r="D43" s="12" t="s">
        <v>38</v>
      </c>
      <c r="E43" s="13" t="s">
        <v>39</v>
      </c>
      <c r="F43" s="14" t="str">
        <f>_xlfn.XLOOKUP(B43,'[1]Synthese suivi modernisation'!A:A,'[1]Synthese suivi modernisation'!S:S)</f>
        <v>SAINT-LOUIS</v>
      </c>
      <c r="G43" s="14" t="str">
        <f>_xlfn.XLOOKUP(B43,'[1]Synthese suivi modernisation'!A:A,'[1]Synthese suivi modernisation'!T:T)</f>
        <v>SAINT-LOUIS</v>
      </c>
      <c r="H43" s="20" t="s">
        <v>70</v>
      </c>
      <c r="I43" s="20" t="s">
        <v>71</v>
      </c>
      <c r="J43" s="16" t="s">
        <v>70</v>
      </c>
      <c r="K43" s="24">
        <v>14000</v>
      </c>
      <c r="L43" s="14">
        <v>14</v>
      </c>
      <c r="M43" s="17" t="s">
        <v>73</v>
      </c>
      <c r="N43" s="16" t="s">
        <v>116</v>
      </c>
      <c r="O43" s="16">
        <v>66</v>
      </c>
      <c r="P43" s="18">
        <v>160</v>
      </c>
      <c r="Q43" s="20"/>
      <c r="R43" s="20"/>
      <c r="S43" s="19">
        <v>0.8</v>
      </c>
      <c r="T43" s="20">
        <f t="shared" si="0"/>
        <v>26.515151515151516</v>
      </c>
      <c r="U43" s="20">
        <v>0.27</v>
      </c>
      <c r="V43" s="20">
        <f t="shared" si="1"/>
        <v>3.7800000000000002</v>
      </c>
      <c r="W43" s="20"/>
      <c r="X43" s="20"/>
      <c r="Y43" s="20">
        <f t="shared" si="2"/>
        <v>0</v>
      </c>
      <c r="Z43" s="21">
        <f t="shared" si="3"/>
        <v>-160</v>
      </c>
      <c r="AA43" s="20"/>
      <c r="AB43" s="20"/>
      <c r="AC43" s="20"/>
      <c r="AD43" s="20">
        <f t="shared" si="4"/>
        <v>0</v>
      </c>
      <c r="AE43" s="20"/>
      <c r="AF43" s="20"/>
      <c r="AG43" s="20"/>
      <c r="AH43" s="20"/>
      <c r="AI43" s="20">
        <f t="shared" si="6"/>
        <v>0</v>
      </c>
      <c r="AJ43" s="20"/>
    </row>
    <row r="44" spans="2:36">
      <c r="B44" s="11" t="s">
        <v>152</v>
      </c>
      <c r="C44" s="12" t="s">
        <v>153</v>
      </c>
      <c r="D44" s="12" t="s">
        <v>38</v>
      </c>
      <c r="E44" s="13" t="s">
        <v>39</v>
      </c>
      <c r="F44" s="14" t="str">
        <f>_xlfn.XLOOKUP(B44,'[1]Synthese suivi modernisation'!A:A,'[1]Synthese suivi modernisation'!S:S)</f>
        <v>LINGUERE</v>
      </c>
      <c r="G44" s="14" t="str">
        <f>_xlfn.XLOOKUP(B44,'[1]Synthese suivi modernisation'!A:A,'[1]Synthese suivi modernisation'!T:T)</f>
        <v>SAINT-LOUIS</v>
      </c>
      <c r="H44" s="20" t="s">
        <v>70</v>
      </c>
      <c r="I44" s="20" t="s">
        <v>71</v>
      </c>
      <c r="J44" s="16" t="s">
        <v>70</v>
      </c>
      <c r="K44" s="24">
        <v>16000</v>
      </c>
      <c r="L44" s="14">
        <v>23</v>
      </c>
      <c r="M44" s="17" t="s">
        <v>73</v>
      </c>
      <c r="N44" s="16" t="s">
        <v>154</v>
      </c>
      <c r="O44" s="16">
        <v>88</v>
      </c>
      <c r="P44" s="18">
        <v>135.58333333333334</v>
      </c>
      <c r="Q44" s="20"/>
      <c r="R44" s="20"/>
      <c r="S44" s="19">
        <v>0.8</v>
      </c>
      <c r="T44" s="20">
        <f t="shared" si="0"/>
        <v>32.67045454545454</v>
      </c>
      <c r="U44" s="20">
        <v>0.27</v>
      </c>
      <c r="V44" s="20">
        <f t="shared" si="1"/>
        <v>6.2100000000000009</v>
      </c>
      <c r="W44" s="20"/>
      <c r="X44" s="20"/>
      <c r="Y44" s="20">
        <f t="shared" si="2"/>
        <v>0</v>
      </c>
      <c r="Z44" s="21">
        <f t="shared" si="3"/>
        <v>-135.58333333333334</v>
      </c>
      <c r="AA44" s="20"/>
      <c r="AB44" s="20"/>
      <c r="AC44" s="20"/>
      <c r="AD44" s="20">
        <f t="shared" si="4"/>
        <v>0</v>
      </c>
      <c r="AE44" s="20"/>
      <c r="AF44" s="20"/>
      <c r="AG44" s="20"/>
      <c r="AH44" s="20"/>
      <c r="AI44" s="20">
        <f t="shared" si="6"/>
        <v>0</v>
      </c>
      <c r="AJ44" s="20"/>
    </row>
    <row r="45" spans="2:36">
      <c r="B45" s="11" t="s">
        <v>155</v>
      </c>
      <c r="C45" s="12" t="s">
        <v>156</v>
      </c>
      <c r="D45" s="12" t="s">
        <v>38</v>
      </c>
      <c r="E45" s="13" t="s">
        <v>39</v>
      </c>
      <c r="F45" s="14" t="str">
        <f>_xlfn.XLOOKUP(B45,'[1]Synthese suivi modernisation'!A:A,'[1]Synthese suivi modernisation'!S:S)</f>
        <v>KEDOUGOU</v>
      </c>
      <c r="G45" s="14" t="str">
        <f>_xlfn.XLOOKUP(B45,'[1]Synthese suivi modernisation'!A:A,'[1]Synthese suivi modernisation'!T:T)</f>
        <v>TAMBACOUNDA</v>
      </c>
      <c r="H45" s="20" t="s">
        <v>40</v>
      </c>
      <c r="I45" s="14" t="s">
        <v>41</v>
      </c>
      <c r="J45" s="16" t="s">
        <v>40</v>
      </c>
      <c r="K45" s="24">
        <v>4000</v>
      </c>
      <c r="L45" s="14">
        <v>4.5</v>
      </c>
      <c r="M45" s="17" t="s">
        <v>42</v>
      </c>
      <c r="N45" s="16" t="s">
        <v>63</v>
      </c>
      <c r="O45" s="16">
        <v>30</v>
      </c>
      <c r="P45" s="18">
        <v>574.58333333333337</v>
      </c>
      <c r="Q45" s="20"/>
      <c r="R45" s="20"/>
      <c r="S45" s="19">
        <v>0.8</v>
      </c>
      <c r="T45" s="20">
        <f t="shared" si="0"/>
        <v>18.75</v>
      </c>
      <c r="U45" s="20">
        <v>0.27</v>
      </c>
      <c r="V45" s="20">
        <f t="shared" si="1"/>
        <v>1.2150000000000001</v>
      </c>
      <c r="W45" s="20"/>
      <c r="X45" s="20"/>
      <c r="Y45" s="20">
        <f t="shared" si="2"/>
        <v>0</v>
      </c>
      <c r="Z45" s="21">
        <f t="shared" si="3"/>
        <v>-574.58333333333337</v>
      </c>
      <c r="AA45" s="20"/>
      <c r="AB45" s="20"/>
      <c r="AC45" s="20"/>
      <c r="AD45" s="20">
        <f t="shared" si="4"/>
        <v>0</v>
      </c>
      <c r="AE45" s="20"/>
      <c r="AF45" s="20"/>
      <c r="AG45" s="20"/>
      <c r="AH45" s="20"/>
      <c r="AI45" s="20">
        <f t="shared" si="6"/>
        <v>0</v>
      </c>
      <c r="AJ45" s="20"/>
    </row>
    <row r="46" spans="2:36">
      <c r="B46" s="11" t="s">
        <v>157</v>
      </c>
      <c r="C46" s="12" t="s">
        <v>158</v>
      </c>
      <c r="D46" s="12" t="s">
        <v>38</v>
      </c>
      <c r="E46" s="13" t="s">
        <v>39</v>
      </c>
      <c r="F46" s="14" t="str">
        <f>_xlfn.XLOOKUP(B46,'[1]Synthese suivi modernisation'!A:A,'[1]Synthese suivi modernisation'!S:S)</f>
        <v>KEDOUGOU</v>
      </c>
      <c r="G46" s="14" t="str">
        <f>_xlfn.XLOOKUP(B46,'[1]Synthese suivi modernisation'!A:A,'[1]Synthese suivi modernisation'!T:T)</f>
        <v>TAMBACOUNDA</v>
      </c>
      <c r="H46" s="20" t="s">
        <v>66</v>
      </c>
      <c r="I46" s="14" t="s">
        <v>41</v>
      </c>
      <c r="J46" s="16" t="s">
        <v>66</v>
      </c>
      <c r="K46" s="24">
        <v>3500</v>
      </c>
      <c r="L46" s="14">
        <v>8</v>
      </c>
      <c r="M46" s="17" t="s">
        <v>42</v>
      </c>
      <c r="N46" s="16" t="s">
        <v>67</v>
      </c>
      <c r="O46" s="16">
        <v>50</v>
      </c>
      <c r="P46" s="18">
        <v>1362.4166666666667</v>
      </c>
      <c r="Q46" s="20"/>
      <c r="R46" s="20"/>
      <c r="S46" s="19">
        <v>0.8</v>
      </c>
      <c r="T46" s="20">
        <f t="shared" si="0"/>
        <v>20</v>
      </c>
      <c r="U46" s="20">
        <v>0.27</v>
      </c>
      <c r="V46" s="20">
        <f t="shared" si="1"/>
        <v>2.16</v>
      </c>
      <c r="W46" s="20"/>
      <c r="X46" s="20"/>
      <c r="Y46" s="20">
        <f t="shared" si="2"/>
        <v>0</v>
      </c>
      <c r="Z46" s="21">
        <f t="shared" si="3"/>
        <v>-1362.4166666666667</v>
      </c>
      <c r="AA46" s="20"/>
      <c r="AB46" s="20"/>
      <c r="AC46" s="20"/>
      <c r="AD46" s="20">
        <f t="shared" si="4"/>
        <v>0</v>
      </c>
      <c r="AE46" s="20"/>
      <c r="AF46" s="20"/>
      <c r="AG46" s="20"/>
      <c r="AH46" s="20"/>
      <c r="AI46" s="20">
        <f t="shared" si="6"/>
        <v>0</v>
      </c>
      <c r="AJ46" s="20"/>
    </row>
    <row r="47" spans="2:36">
      <c r="B47" s="11" t="s">
        <v>159</v>
      </c>
      <c r="C47" s="12" t="s">
        <v>160</v>
      </c>
      <c r="D47" s="12" t="s">
        <v>38</v>
      </c>
      <c r="E47" s="13" t="s">
        <v>39</v>
      </c>
      <c r="F47" s="14" t="str">
        <f>_xlfn.XLOOKUP(B47,'[1]Synthese suivi modernisation'!A:A,'[1]Synthese suivi modernisation'!S:S)</f>
        <v>KEDOUGOU</v>
      </c>
      <c r="G47" s="14" t="str">
        <f>_xlfn.XLOOKUP(B47,'[1]Synthese suivi modernisation'!A:A,'[1]Synthese suivi modernisation'!T:T)</f>
        <v>TAMBACOUNDA</v>
      </c>
      <c r="H47" s="20" t="s">
        <v>40</v>
      </c>
      <c r="I47" s="14" t="s">
        <v>41</v>
      </c>
      <c r="J47" s="16" t="s">
        <v>40</v>
      </c>
      <c r="K47" s="24">
        <v>1250</v>
      </c>
      <c r="L47" s="14">
        <v>6.5</v>
      </c>
      <c r="M47" s="17" t="s">
        <v>42</v>
      </c>
      <c r="N47" s="16" t="s">
        <v>80</v>
      </c>
      <c r="O47" s="16">
        <v>33</v>
      </c>
      <c r="P47" s="18">
        <v>1023.9166666666666</v>
      </c>
      <c r="Q47" s="20"/>
      <c r="R47" s="20"/>
      <c r="S47" s="19">
        <v>0.8</v>
      </c>
      <c r="T47" s="20">
        <f t="shared" si="0"/>
        <v>24.621212121212118</v>
      </c>
      <c r="U47" s="20">
        <v>0.27</v>
      </c>
      <c r="V47" s="20">
        <f t="shared" si="1"/>
        <v>1.7550000000000001</v>
      </c>
      <c r="W47" s="20"/>
      <c r="X47" s="20"/>
      <c r="Y47" s="20">
        <f t="shared" si="2"/>
        <v>0</v>
      </c>
      <c r="Z47" s="21">
        <f t="shared" si="3"/>
        <v>-1023.9166666666666</v>
      </c>
      <c r="AA47" s="20"/>
      <c r="AB47" s="20"/>
      <c r="AC47" s="20"/>
      <c r="AD47" s="20">
        <f t="shared" si="4"/>
        <v>0</v>
      </c>
      <c r="AE47" s="20"/>
      <c r="AF47" s="20"/>
      <c r="AG47" s="20"/>
      <c r="AH47" s="20"/>
      <c r="AI47" s="20">
        <f t="shared" si="6"/>
        <v>0</v>
      </c>
      <c r="AJ47" s="20"/>
    </row>
    <row r="48" spans="2:36">
      <c r="B48" s="11" t="s">
        <v>161</v>
      </c>
      <c r="C48" s="12" t="s">
        <v>162</v>
      </c>
      <c r="D48" s="12" t="s">
        <v>38</v>
      </c>
      <c r="E48" s="13" t="s">
        <v>39</v>
      </c>
      <c r="F48" s="14" t="str">
        <f>_xlfn.XLOOKUP(B48,'[1]Synthese suivi modernisation'!A:A,'[1]Synthese suivi modernisation'!S:S)</f>
        <v>TOUBA02</v>
      </c>
      <c r="G48" s="14" t="str">
        <f>_xlfn.XLOOKUP(B48,'[1]Synthese suivi modernisation'!A:A,'[1]Synthese suivi modernisation'!T:T)</f>
        <v>THIES</v>
      </c>
      <c r="H48" s="20" t="s">
        <v>70</v>
      </c>
      <c r="I48" s="20" t="s">
        <v>71</v>
      </c>
      <c r="J48" s="16" t="s">
        <v>70</v>
      </c>
      <c r="K48" s="24">
        <v>5000</v>
      </c>
      <c r="L48" s="14">
        <v>6</v>
      </c>
      <c r="M48" s="17" t="s">
        <v>73</v>
      </c>
      <c r="N48" s="16" t="s">
        <v>163</v>
      </c>
      <c r="O48" s="16">
        <v>30</v>
      </c>
      <c r="P48" s="18">
        <v>29.416666666666668</v>
      </c>
      <c r="Q48" s="20"/>
      <c r="R48" s="20"/>
      <c r="S48" s="19">
        <v>0.8</v>
      </c>
      <c r="T48" s="20">
        <f t="shared" si="0"/>
        <v>25</v>
      </c>
      <c r="U48" s="20">
        <v>0.27</v>
      </c>
      <c r="V48" s="20">
        <f t="shared" si="1"/>
        <v>1.62</v>
      </c>
      <c r="W48" s="20"/>
      <c r="X48" s="20"/>
      <c r="Y48" s="20">
        <f t="shared" si="2"/>
        <v>0</v>
      </c>
      <c r="Z48" s="21">
        <f t="shared" si="3"/>
        <v>-29.416666666666668</v>
      </c>
      <c r="AA48" s="20"/>
      <c r="AB48" s="20"/>
      <c r="AC48" s="20"/>
      <c r="AD48" s="20">
        <f t="shared" si="4"/>
        <v>0</v>
      </c>
      <c r="AE48" s="20"/>
      <c r="AF48" s="20"/>
      <c r="AG48" s="20"/>
      <c r="AH48" s="20"/>
      <c r="AI48" s="20">
        <f t="shared" si="6"/>
        <v>0</v>
      </c>
      <c r="AJ48" s="20"/>
    </row>
    <row r="49" spans="2:36">
      <c r="B49" s="11" t="s">
        <v>164</v>
      </c>
      <c r="C49" s="12" t="s">
        <v>165</v>
      </c>
      <c r="D49" s="12" t="s">
        <v>38</v>
      </c>
      <c r="E49" s="13" t="s">
        <v>39</v>
      </c>
      <c r="F49" s="14" t="str">
        <f>_xlfn.XLOOKUP(B49,'[1]Synthese suivi modernisation'!A:A,'[1]Synthese suivi modernisation'!S:S)</f>
        <v>TAMBA</v>
      </c>
      <c r="G49" s="14" t="str">
        <f>_xlfn.XLOOKUP(B49,'[1]Synthese suivi modernisation'!A:A,'[1]Synthese suivi modernisation'!T:T)</f>
        <v>TAMBACOUNDA</v>
      </c>
      <c r="H49" s="20" t="s">
        <v>166</v>
      </c>
      <c r="I49" s="14" t="s">
        <v>41</v>
      </c>
      <c r="J49" s="16" t="s">
        <v>166</v>
      </c>
      <c r="K49" s="24">
        <v>4000</v>
      </c>
      <c r="L49" s="14">
        <v>6.5</v>
      </c>
      <c r="M49" s="17" t="s">
        <v>42</v>
      </c>
      <c r="N49" s="16" t="s">
        <v>67</v>
      </c>
      <c r="O49" s="16">
        <v>50</v>
      </c>
      <c r="P49" s="18">
        <v>1338.9166666666667</v>
      </c>
      <c r="Q49" s="20"/>
      <c r="R49" s="20"/>
      <c r="S49" s="19">
        <v>0.8</v>
      </c>
      <c r="T49" s="20">
        <f t="shared" si="0"/>
        <v>16.25</v>
      </c>
      <c r="U49" s="20">
        <v>0.27</v>
      </c>
      <c r="V49" s="20">
        <f t="shared" si="1"/>
        <v>1.7550000000000001</v>
      </c>
      <c r="W49" s="20"/>
      <c r="X49" s="20"/>
      <c r="Y49" s="20">
        <f t="shared" si="2"/>
        <v>0</v>
      </c>
      <c r="Z49" s="21">
        <f t="shared" si="3"/>
        <v>-1338.9166666666667</v>
      </c>
      <c r="AA49" s="20"/>
      <c r="AB49" s="20"/>
      <c r="AC49" s="20"/>
      <c r="AD49" s="20">
        <f t="shared" si="4"/>
        <v>0</v>
      </c>
      <c r="AE49" s="20"/>
      <c r="AF49" s="20"/>
      <c r="AG49" s="20"/>
      <c r="AH49" s="20"/>
      <c r="AI49" s="20">
        <f t="shared" si="6"/>
        <v>0</v>
      </c>
      <c r="AJ49" s="20"/>
    </row>
    <row r="50" spans="2:36">
      <c r="B50" s="11" t="s">
        <v>167</v>
      </c>
      <c r="C50" s="12" t="s">
        <v>168</v>
      </c>
      <c r="D50" s="12" t="s">
        <v>38</v>
      </c>
      <c r="E50" s="13" t="s">
        <v>39</v>
      </c>
      <c r="F50" s="14" t="str">
        <f>_xlfn.XLOOKUP(B50,'[1]Synthese suivi modernisation'!A:A,'[1]Synthese suivi modernisation'!S:S)</f>
        <v>TOUBA01</v>
      </c>
      <c r="G50" s="14" t="str">
        <f>_xlfn.XLOOKUP(B50,'[1]Synthese suivi modernisation'!A:A,'[1]Synthese suivi modernisation'!T:T)</f>
        <v>THIES</v>
      </c>
      <c r="H50" s="20" t="s">
        <v>66</v>
      </c>
      <c r="I50" s="14" t="s">
        <v>41</v>
      </c>
      <c r="J50" s="16" t="s">
        <v>66</v>
      </c>
      <c r="K50" s="24">
        <v>4500</v>
      </c>
      <c r="L50" s="14">
        <v>4</v>
      </c>
      <c r="M50" s="17" t="s">
        <v>42</v>
      </c>
      <c r="N50" s="16" t="s">
        <v>43</v>
      </c>
      <c r="O50" s="16">
        <v>33</v>
      </c>
      <c r="P50" s="18">
        <v>269.75</v>
      </c>
      <c r="Q50" s="20"/>
      <c r="R50" s="20"/>
      <c r="S50" s="19">
        <v>0.8</v>
      </c>
      <c r="T50" s="20">
        <f t="shared" si="0"/>
        <v>15.151515151515149</v>
      </c>
      <c r="U50" s="20">
        <v>0.27</v>
      </c>
      <c r="V50" s="20">
        <f t="shared" si="1"/>
        <v>1.08</v>
      </c>
      <c r="W50" s="20"/>
      <c r="X50" s="20"/>
      <c r="Y50" s="20">
        <f t="shared" si="2"/>
        <v>0</v>
      </c>
      <c r="Z50" s="21">
        <f t="shared" si="3"/>
        <v>-269.75</v>
      </c>
      <c r="AA50" s="20"/>
      <c r="AB50" s="20"/>
      <c r="AC50" s="20"/>
      <c r="AD50" s="20">
        <f t="shared" si="4"/>
        <v>0</v>
      </c>
      <c r="AE50" s="20"/>
      <c r="AF50" s="20"/>
      <c r="AG50" s="20"/>
      <c r="AH50" s="20"/>
      <c r="AI50" s="20">
        <f t="shared" si="6"/>
        <v>0</v>
      </c>
      <c r="AJ50" s="20"/>
    </row>
    <row r="51" spans="2:36">
      <c r="B51" s="11" t="s">
        <v>169</v>
      </c>
      <c r="C51" s="12" t="s">
        <v>170</v>
      </c>
      <c r="D51" s="12" t="s">
        <v>38</v>
      </c>
      <c r="E51" s="13" t="s">
        <v>39</v>
      </c>
      <c r="F51" s="14" t="str">
        <f>_xlfn.XLOOKUP(B51,'[1]Synthese suivi modernisation'!A:A,'[1]Synthese suivi modernisation'!S:S)</f>
        <v>SEDHIOU</v>
      </c>
      <c r="G51" s="14" t="str">
        <f>_xlfn.XLOOKUP(B51,'[1]Synthese suivi modernisation'!A:A,'[1]Synthese suivi modernisation'!T:T)</f>
        <v>ZIGUINCHOR</v>
      </c>
      <c r="H51" s="20" t="s">
        <v>54</v>
      </c>
      <c r="I51" s="14" t="s">
        <v>41</v>
      </c>
      <c r="J51" s="23" t="s">
        <v>40</v>
      </c>
      <c r="K51" s="24">
        <v>2500</v>
      </c>
      <c r="L51" s="14">
        <v>2.75</v>
      </c>
      <c r="M51" s="17" t="s">
        <v>42</v>
      </c>
      <c r="N51" s="16" t="s">
        <v>55</v>
      </c>
      <c r="O51" s="16">
        <v>33</v>
      </c>
      <c r="P51" s="18">
        <v>322.16666666666669</v>
      </c>
      <c r="Q51" s="20"/>
      <c r="R51" s="20"/>
      <c r="S51" s="19">
        <v>0.8</v>
      </c>
      <c r="T51" s="20">
        <f t="shared" si="0"/>
        <v>10.416666666666666</v>
      </c>
      <c r="U51" s="20">
        <v>0.27</v>
      </c>
      <c r="V51" s="20">
        <f t="shared" si="1"/>
        <v>0.74250000000000005</v>
      </c>
      <c r="W51" s="20"/>
      <c r="X51" s="20"/>
      <c r="Y51" s="20">
        <f t="shared" si="2"/>
        <v>0</v>
      </c>
      <c r="Z51" s="21">
        <f t="shared" si="3"/>
        <v>-322.16666666666669</v>
      </c>
      <c r="AA51" s="20"/>
      <c r="AB51" s="20"/>
      <c r="AC51" s="20"/>
      <c r="AD51" s="20">
        <f t="shared" si="4"/>
        <v>0</v>
      </c>
      <c r="AE51" s="20"/>
      <c r="AF51" s="20"/>
      <c r="AG51" s="20"/>
      <c r="AH51" s="20"/>
      <c r="AI51" s="20">
        <f t="shared" si="6"/>
        <v>0</v>
      </c>
      <c r="AJ51" s="20"/>
    </row>
    <row r="52" spans="2:36">
      <c r="B52" s="11" t="s">
        <v>171</v>
      </c>
      <c r="C52" s="12" t="s">
        <v>172</v>
      </c>
      <c r="D52" s="12" t="s">
        <v>38</v>
      </c>
      <c r="E52" s="13" t="s">
        <v>39</v>
      </c>
      <c r="F52" s="14" t="str">
        <f>_xlfn.XLOOKUP(B52,'[1]Synthese suivi modernisation'!A:A,'[1]Synthese suivi modernisation'!S:S)</f>
        <v>TAMBA</v>
      </c>
      <c r="G52" s="14" t="str">
        <f>_xlfn.XLOOKUP(B52,'[1]Synthese suivi modernisation'!A:A,'[1]Synthese suivi modernisation'!T:T)</f>
        <v>TAMBACOUNDA</v>
      </c>
      <c r="H52" s="20" t="s">
        <v>40</v>
      </c>
      <c r="I52" s="14" t="s">
        <v>41</v>
      </c>
      <c r="J52" s="16" t="s">
        <v>40</v>
      </c>
      <c r="K52" s="24">
        <v>4000</v>
      </c>
      <c r="L52" s="14">
        <v>4.5</v>
      </c>
      <c r="M52" s="17" t="s">
        <v>42</v>
      </c>
      <c r="N52" s="16" t="s">
        <v>173</v>
      </c>
      <c r="O52" s="16">
        <v>22</v>
      </c>
      <c r="P52" s="18">
        <v>627.66666666666663</v>
      </c>
      <c r="Q52" s="20"/>
      <c r="R52" s="20"/>
      <c r="S52" s="19">
        <v>0.8</v>
      </c>
      <c r="T52" s="20">
        <f t="shared" si="0"/>
        <v>25.568181818181817</v>
      </c>
      <c r="U52" s="20">
        <v>0.27</v>
      </c>
      <c r="V52" s="20">
        <f t="shared" si="1"/>
        <v>1.2150000000000001</v>
      </c>
      <c r="W52" s="20"/>
      <c r="X52" s="20"/>
      <c r="Y52" s="20">
        <f t="shared" si="2"/>
        <v>0</v>
      </c>
      <c r="Z52" s="21">
        <f t="shared" si="3"/>
        <v>-627.66666666666663</v>
      </c>
      <c r="AA52" s="20"/>
      <c r="AB52" s="20"/>
      <c r="AC52" s="20"/>
      <c r="AD52" s="20">
        <f t="shared" si="4"/>
        <v>0</v>
      </c>
      <c r="AE52" s="20"/>
      <c r="AF52" s="20"/>
      <c r="AG52" s="20"/>
      <c r="AH52" s="20"/>
      <c r="AI52" s="20">
        <f t="shared" si="6"/>
        <v>0</v>
      </c>
      <c r="AJ52" s="20"/>
    </row>
    <row r="53" spans="2:36">
      <c r="B53" s="11" t="s">
        <v>174</v>
      </c>
      <c r="C53" s="12" t="s">
        <v>175</v>
      </c>
      <c r="D53" s="12" t="s">
        <v>38</v>
      </c>
      <c r="E53" s="13" t="s">
        <v>39</v>
      </c>
      <c r="F53" s="14" t="str">
        <f>_xlfn.XLOOKUP(B53,'[1]Synthese suivi modernisation'!A:A,'[1]Synthese suivi modernisation'!S:S)</f>
        <v>TIVAOUANE</v>
      </c>
      <c r="G53" s="14" t="str">
        <f>_xlfn.XLOOKUP(B53,'[1]Synthese suivi modernisation'!A:A,'[1]Synthese suivi modernisation'!T:T)</f>
        <v>THIES</v>
      </c>
      <c r="H53" s="20" t="s">
        <v>40</v>
      </c>
      <c r="I53" s="14" t="s">
        <v>41</v>
      </c>
      <c r="J53" s="16" t="s">
        <v>40</v>
      </c>
      <c r="K53" s="24">
        <v>1250</v>
      </c>
      <c r="L53" s="14">
        <v>4</v>
      </c>
      <c r="M53" s="17" t="s">
        <v>42</v>
      </c>
      <c r="N53" s="16" t="s">
        <v>80</v>
      </c>
      <c r="O53" s="16">
        <v>33</v>
      </c>
      <c r="P53" s="18">
        <v>328.25</v>
      </c>
      <c r="Q53" s="20"/>
      <c r="R53" s="20"/>
      <c r="S53" s="19">
        <v>0.8</v>
      </c>
      <c r="T53" s="20">
        <f t="shared" si="0"/>
        <v>15.151515151515149</v>
      </c>
      <c r="U53" s="20">
        <v>0.27</v>
      </c>
      <c r="V53" s="20">
        <f t="shared" si="1"/>
        <v>1.08</v>
      </c>
      <c r="W53" s="20"/>
      <c r="X53" s="20"/>
      <c r="Y53" s="20">
        <f t="shared" si="2"/>
        <v>0</v>
      </c>
      <c r="Z53" s="21">
        <f t="shared" si="3"/>
        <v>-328.25</v>
      </c>
      <c r="AA53" s="20"/>
      <c r="AB53" s="20"/>
      <c r="AC53" s="20"/>
      <c r="AD53" s="20">
        <f t="shared" si="4"/>
        <v>0</v>
      </c>
      <c r="AE53" s="20"/>
      <c r="AF53" s="20"/>
      <c r="AG53" s="20"/>
      <c r="AH53" s="20"/>
      <c r="AI53" s="20">
        <f t="shared" si="6"/>
        <v>0</v>
      </c>
      <c r="AJ53" s="20"/>
    </row>
    <row r="54" spans="2:36">
      <c r="B54" s="11" t="s">
        <v>176</v>
      </c>
      <c r="C54" s="12" t="s">
        <v>177</v>
      </c>
      <c r="D54" s="12" t="s">
        <v>38</v>
      </c>
      <c r="E54" s="13" t="s">
        <v>39</v>
      </c>
      <c r="F54" s="14" t="str">
        <f>_xlfn.XLOOKUP(B54,'[1]Synthese suivi modernisation'!A:A,'[1]Synthese suivi modernisation'!S:S)</f>
        <v>SEDHIOU</v>
      </c>
      <c r="G54" s="14" t="str">
        <f>_xlfn.XLOOKUP(B54,'[1]Synthese suivi modernisation'!A:A,'[1]Synthese suivi modernisation'!T:T)</f>
        <v>ZIGUINCHOR</v>
      </c>
      <c r="H54" s="20" t="s">
        <v>40</v>
      </c>
      <c r="I54" s="14" t="s">
        <v>41</v>
      </c>
      <c r="J54" s="16" t="s">
        <v>40</v>
      </c>
      <c r="K54" s="24">
        <v>2250</v>
      </c>
      <c r="L54" s="14">
        <v>3</v>
      </c>
      <c r="M54" s="17" t="s">
        <v>42</v>
      </c>
      <c r="N54" s="16" t="s">
        <v>48</v>
      </c>
      <c r="O54" s="16">
        <v>22</v>
      </c>
      <c r="P54" s="18">
        <v>322.16666666666669</v>
      </c>
      <c r="Q54" s="20"/>
      <c r="R54" s="20"/>
      <c r="S54" s="19">
        <v>0.8</v>
      </c>
      <c r="T54" s="20">
        <f t="shared" si="0"/>
        <v>17.045454545454543</v>
      </c>
      <c r="U54" s="20">
        <v>0.27</v>
      </c>
      <c r="V54" s="20">
        <f t="shared" si="1"/>
        <v>0.81</v>
      </c>
      <c r="W54" s="20"/>
      <c r="X54" s="20"/>
      <c r="Y54" s="20">
        <f t="shared" si="2"/>
        <v>0</v>
      </c>
      <c r="Z54" s="21">
        <f t="shared" si="3"/>
        <v>-322.16666666666669</v>
      </c>
      <c r="AA54" s="20"/>
      <c r="AB54" s="20"/>
      <c r="AC54" s="20"/>
      <c r="AD54" s="20">
        <f t="shared" si="4"/>
        <v>0</v>
      </c>
      <c r="AE54" s="20"/>
      <c r="AF54" s="20"/>
      <c r="AG54" s="20"/>
      <c r="AH54" s="20"/>
      <c r="AI54" s="20">
        <f t="shared" si="6"/>
        <v>0</v>
      </c>
      <c r="AJ54" s="20"/>
    </row>
    <row r="55" spans="2:36">
      <c r="B55" s="11" t="s">
        <v>178</v>
      </c>
      <c r="C55" s="12" t="s">
        <v>179</v>
      </c>
      <c r="D55" s="12" t="s">
        <v>38</v>
      </c>
      <c r="E55" s="13" t="s">
        <v>39</v>
      </c>
      <c r="F55" s="14" t="str">
        <f>_xlfn.XLOOKUP(B55,'[1]Synthese suivi modernisation'!A:A,'[1]Synthese suivi modernisation'!S:S)</f>
        <v>RUFISQUE</v>
      </c>
      <c r="G55" s="14" t="str">
        <f>_xlfn.XLOOKUP(B55,'[1]Synthese suivi modernisation'!A:A,'[1]Synthese suivi modernisation'!T:T)</f>
        <v>DAKAR</v>
      </c>
      <c r="H55" s="20" t="s">
        <v>180</v>
      </c>
      <c r="I55" s="20" t="s">
        <v>71</v>
      </c>
      <c r="J55" s="16" t="s">
        <v>180</v>
      </c>
      <c r="K55" s="24">
        <v>4000</v>
      </c>
      <c r="L55" s="14">
        <v>8</v>
      </c>
      <c r="M55" s="17" t="s">
        <v>73</v>
      </c>
      <c r="N55" s="16" t="s">
        <v>116</v>
      </c>
      <c r="O55" s="16">
        <v>66</v>
      </c>
      <c r="P55" s="18">
        <v>28.75</v>
      </c>
      <c r="Q55" s="20"/>
      <c r="R55" s="20"/>
      <c r="S55" s="19">
        <v>0.8</v>
      </c>
      <c r="T55" s="20">
        <f t="shared" si="0"/>
        <v>15.151515151515149</v>
      </c>
      <c r="U55" s="20">
        <v>0.27</v>
      </c>
      <c r="V55" s="20">
        <f t="shared" si="1"/>
        <v>2.16</v>
      </c>
      <c r="W55" s="20"/>
      <c r="X55" s="20"/>
      <c r="Y55" s="20">
        <f t="shared" si="2"/>
        <v>0</v>
      </c>
      <c r="Z55" s="21">
        <f t="shared" si="3"/>
        <v>-28.75</v>
      </c>
      <c r="AA55" s="20"/>
      <c r="AB55" s="20"/>
      <c r="AC55" s="20"/>
      <c r="AD55" s="20">
        <f t="shared" si="4"/>
        <v>0</v>
      </c>
      <c r="AE55" s="20"/>
      <c r="AF55" s="20"/>
      <c r="AG55" s="20"/>
      <c r="AH55" s="20"/>
      <c r="AI55" s="20">
        <f t="shared" si="6"/>
        <v>0</v>
      </c>
      <c r="AJ55" s="20"/>
    </row>
    <row r="56" spans="2:36">
      <c r="B56" s="11" t="s">
        <v>181</v>
      </c>
      <c r="C56" s="12" t="s">
        <v>182</v>
      </c>
      <c r="D56" s="12" t="s">
        <v>38</v>
      </c>
      <c r="E56" s="13" t="s">
        <v>39</v>
      </c>
      <c r="F56" s="14" t="str">
        <f>_xlfn.XLOOKUP(B56,'[1]Synthese suivi modernisation'!A:A,'[1]Synthese suivi modernisation'!S:S)</f>
        <v>KAFFRINE</v>
      </c>
      <c r="G56" s="14" t="str">
        <f>_xlfn.XLOOKUP(B56,'[1]Synthese suivi modernisation'!A:A,'[1]Synthese suivi modernisation'!T:T)</f>
        <v>KAOLACK</v>
      </c>
      <c r="H56" s="20" t="s">
        <v>40</v>
      </c>
      <c r="I56" s="14" t="s">
        <v>41</v>
      </c>
      <c r="J56" s="16" t="s">
        <v>40</v>
      </c>
      <c r="K56" s="24">
        <v>4000</v>
      </c>
      <c r="L56" s="14">
        <v>4.5</v>
      </c>
      <c r="M56" s="17" t="s">
        <v>42</v>
      </c>
      <c r="N56" s="16" t="s">
        <v>67</v>
      </c>
      <c r="O56" s="16">
        <v>50</v>
      </c>
      <c r="P56" s="18">
        <v>724.83333333333337</v>
      </c>
      <c r="Q56" s="20"/>
      <c r="R56" s="20"/>
      <c r="S56" s="19">
        <v>0.8</v>
      </c>
      <c r="T56" s="20">
        <f t="shared" si="0"/>
        <v>11.25</v>
      </c>
      <c r="U56" s="20">
        <v>0.27</v>
      </c>
      <c r="V56" s="20">
        <f t="shared" si="1"/>
        <v>1.2150000000000001</v>
      </c>
      <c r="W56" s="20"/>
      <c r="X56" s="20"/>
      <c r="Y56" s="20">
        <f t="shared" si="2"/>
        <v>0</v>
      </c>
      <c r="Z56" s="21">
        <f t="shared" si="3"/>
        <v>-724.83333333333337</v>
      </c>
      <c r="AA56" s="20"/>
      <c r="AB56" s="20"/>
      <c r="AC56" s="20"/>
      <c r="AD56" s="20">
        <f t="shared" si="4"/>
        <v>0</v>
      </c>
      <c r="AE56" s="20"/>
      <c r="AF56" s="20"/>
      <c r="AG56" s="20"/>
      <c r="AH56" s="20"/>
      <c r="AI56" s="20">
        <f t="shared" si="6"/>
        <v>0</v>
      </c>
      <c r="AJ56" s="20"/>
    </row>
    <row r="57" spans="2:36">
      <c r="B57" s="11" t="s">
        <v>183</v>
      </c>
      <c r="C57" s="12" t="s">
        <v>184</v>
      </c>
      <c r="D57" s="12" t="s">
        <v>38</v>
      </c>
      <c r="E57" s="13" t="s">
        <v>39</v>
      </c>
      <c r="F57" s="14" t="str">
        <f>_xlfn.XLOOKUP(B57,'[1]Synthese suivi modernisation'!A:A,'[1]Synthese suivi modernisation'!S:S)</f>
        <v>KOLDA</v>
      </c>
      <c r="G57" s="14" t="str">
        <f>_xlfn.XLOOKUP(B57,'[1]Synthese suivi modernisation'!A:A,'[1]Synthese suivi modernisation'!T:T)</f>
        <v>ZIGUINCHOR</v>
      </c>
      <c r="H57" s="20" t="s">
        <v>70</v>
      </c>
      <c r="I57" s="20" t="s">
        <v>71</v>
      </c>
      <c r="J57" s="16" t="s">
        <v>70</v>
      </c>
      <c r="K57" s="24">
        <v>5000</v>
      </c>
      <c r="L57" s="14">
        <v>7</v>
      </c>
      <c r="M57" s="17" t="s">
        <v>73</v>
      </c>
      <c r="N57" s="16" t="s">
        <v>63</v>
      </c>
      <c r="O57" s="16">
        <v>30</v>
      </c>
      <c r="P57" s="18">
        <v>32.5</v>
      </c>
      <c r="Q57" s="20"/>
      <c r="R57" s="20"/>
      <c r="S57" s="19">
        <v>0.8</v>
      </c>
      <c r="T57" s="20">
        <f t="shared" si="0"/>
        <v>29.166666666666668</v>
      </c>
      <c r="U57" s="20">
        <v>0.27</v>
      </c>
      <c r="V57" s="20">
        <f t="shared" si="1"/>
        <v>1.8900000000000001</v>
      </c>
      <c r="W57" s="20"/>
      <c r="X57" s="20"/>
      <c r="Y57" s="20">
        <f t="shared" si="2"/>
        <v>0</v>
      </c>
      <c r="Z57" s="21">
        <f t="shared" si="3"/>
        <v>-32.5</v>
      </c>
      <c r="AA57" s="20"/>
      <c r="AB57" s="20"/>
      <c r="AC57" s="20"/>
      <c r="AD57" s="20">
        <f t="shared" si="4"/>
        <v>0</v>
      </c>
      <c r="AE57" s="20"/>
      <c r="AF57" s="20"/>
      <c r="AG57" s="20"/>
      <c r="AH57" s="20"/>
      <c r="AI57" s="20">
        <f t="shared" si="6"/>
        <v>0</v>
      </c>
      <c r="AJ57" s="20"/>
    </row>
    <row r="58" spans="2:36">
      <c r="B58" s="11" t="s">
        <v>185</v>
      </c>
      <c r="C58" s="12" t="s">
        <v>186</v>
      </c>
      <c r="D58" s="12" t="s">
        <v>38</v>
      </c>
      <c r="E58" s="13" t="s">
        <v>39</v>
      </c>
      <c r="F58" s="14" t="str">
        <f>_xlfn.XLOOKUP(B58,'[1]Synthese suivi modernisation'!A:A,'[1]Synthese suivi modernisation'!S:S)</f>
        <v>BAKEL</v>
      </c>
      <c r="G58" s="14" t="str">
        <f>_xlfn.XLOOKUP(B58,'[1]Synthese suivi modernisation'!A:A,'[1]Synthese suivi modernisation'!T:T)</f>
        <v>SAINT-LOUIS</v>
      </c>
      <c r="H58" s="20" t="s">
        <v>70</v>
      </c>
      <c r="I58" s="20" t="s">
        <v>71</v>
      </c>
      <c r="J58" s="16" t="s">
        <v>72</v>
      </c>
      <c r="K58" s="24">
        <v>6000</v>
      </c>
      <c r="L58" s="14">
        <v>6</v>
      </c>
      <c r="M58" s="17" t="s">
        <v>73</v>
      </c>
      <c r="N58" s="16" t="s">
        <v>74</v>
      </c>
      <c r="O58" s="16">
        <v>30</v>
      </c>
      <c r="P58" s="18">
        <v>0</v>
      </c>
      <c r="Q58" s="20"/>
      <c r="R58" s="20"/>
      <c r="S58" s="19">
        <v>0.8</v>
      </c>
      <c r="T58" s="20">
        <f t="shared" si="0"/>
        <v>25</v>
      </c>
      <c r="U58" s="20">
        <v>0.27</v>
      </c>
      <c r="V58" s="20">
        <f t="shared" si="1"/>
        <v>1.62</v>
      </c>
      <c r="W58" s="20"/>
      <c r="X58" s="20"/>
      <c r="Y58" s="20">
        <f t="shared" si="2"/>
        <v>0</v>
      </c>
      <c r="Z58" s="21">
        <f t="shared" si="3"/>
        <v>0</v>
      </c>
      <c r="AA58" s="20"/>
      <c r="AB58" s="20"/>
      <c r="AC58" s="20"/>
      <c r="AD58" s="20">
        <f t="shared" si="4"/>
        <v>0</v>
      </c>
      <c r="AE58" s="20"/>
      <c r="AF58" s="20"/>
      <c r="AG58" s="20"/>
      <c r="AH58" s="20"/>
      <c r="AI58" s="20">
        <f t="shared" si="6"/>
        <v>0</v>
      </c>
      <c r="AJ58" s="20"/>
    </row>
    <row r="59" spans="2:36">
      <c r="B59" s="11" t="s">
        <v>187</v>
      </c>
      <c r="C59" s="12" t="s">
        <v>188</v>
      </c>
      <c r="D59" s="12" t="s">
        <v>38</v>
      </c>
      <c r="E59" s="13" t="s">
        <v>39</v>
      </c>
      <c r="F59" s="14" t="str">
        <f>_xlfn.XLOOKUP(B59,'[1]Synthese suivi modernisation'!A:A,'[1]Synthese suivi modernisation'!S:S)</f>
        <v>TAMBA</v>
      </c>
      <c r="G59" s="14" t="str">
        <f>_xlfn.XLOOKUP(B59,'[1]Synthese suivi modernisation'!A:A,'[1]Synthese suivi modernisation'!T:T)</f>
        <v>TAMBACOUNDA</v>
      </c>
      <c r="H59" s="20" t="s">
        <v>40</v>
      </c>
      <c r="I59" s="14" t="s">
        <v>41</v>
      </c>
      <c r="J59" s="16" t="s">
        <v>40</v>
      </c>
      <c r="K59" s="24">
        <v>3500</v>
      </c>
      <c r="L59" s="14">
        <v>5.5</v>
      </c>
      <c r="M59" s="17" t="s">
        <v>42</v>
      </c>
      <c r="N59" s="16" t="s">
        <v>48</v>
      </c>
      <c r="O59" s="16">
        <v>22</v>
      </c>
      <c r="P59" s="18">
        <v>1137.5</v>
      </c>
      <c r="Q59" s="20"/>
      <c r="R59" s="20"/>
      <c r="S59" s="19">
        <v>0.8</v>
      </c>
      <c r="T59" s="20">
        <f t="shared" si="0"/>
        <v>31.25</v>
      </c>
      <c r="U59" s="20">
        <v>0.27</v>
      </c>
      <c r="V59" s="20">
        <f t="shared" si="1"/>
        <v>1.4850000000000001</v>
      </c>
      <c r="W59" s="20"/>
      <c r="X59" s="20"/>
      <c r="Y59" s="20">
        <f t="shared" si="2"/>
        <v>0</v>
      </c>
      <c r="Z59" s="21">
        <f t="shared" si="3"/>
        <v>-1137.5</v>
      </c>
      <c r="AA59" s="20"/>
      <c r="AB59" s="20"/>
      <c r="AC59" s="20"/>
      <c r="AD59" s="20">
        <f t="shared" si="4"/>
        <v>0</v>
      </c>
      <c r="AE59" s="20"/>
      <c r="AF59" s="20"/>
      <c r="AG59" s="20"/>
      <c r="AH59" s="20"/>
      <c r="AI59" s="20">
        <f t="shared" si="6"/>
        <v>0</v>
      </c>
      <c r="AJ59" s="20"/>
    </row>
    <row r="60" spans="2:36">
      <c r="B60" s="11" t="s">
        <v>189</v>
      </c>
      <c r="C60" s="12" t="s">
        <v>190</v>
      </c>
      <c r="D60" s="12" t="s">
        <v>38</v>
      </c>
      <c r="E60" s="13" t="s">
        <v>39</v>
      </c>
      <c r="F60" s="14" t="str">
        <f>_xlfn.XLOOKUP(B60,'[1]Synthese suivi modernisation'!A:A,'[1]Synthese suivi modernisation'!S:S)</f>
        <v>TAMBA</v>
      </c>
      <c r="G60" s="14" t="str">
        <f>_xlfn.XLOOKUP(B60,'[1]Synthese suivi modernisation'!A:A,'[1]Synthese suivi modernisation'!T:T)</f>
        <v>TAMBACOUNDA</v>
      </c>
      <c r="H60" s="20" t="s">
        <v>191</v>
      </c>
      <c r="I60" s="14" t="s">
        <v>41</v>
      </c>
      <c r="J60" s="16" t="s">
        <v>192</v>
      </c>
      <c r="K60" s="24">
        <v>2500</v>
      </c>
      <c r="L60" s="14">
        <v>1.5</v>
      </c>
      <c r="M60" s="17" t="s">
        <v>42</v>
      </c>
      <c r="N60" s="16" t="s">
        <v>193</v>
      </c>
      <c r="O60" s="16">
        <v>22</v>
      </c>
      <c r="P60" s="18">
        <v>112.08333333333333</v>
      </c>
      <c r="Q60" s="20"/>
      <c r="R60" s="20"/>
      <c r="S60" s="19">
        <v>0.8</v>
      </c>
      <c r="T60" s="20">
        <f t="shared" si="0"/>
        <v>8.5227272727272716</v>
      </c>
      <c r="U60" s="20">
        <v>0.27</v>
      </c>
      <c r="V60" s="20">
        <f t="shared" si="1"/>
        <v>0.40500000000000003</v>
      </c>
      <c r="W60" s="20"/>
      <c r="X60" s="20"/>
      <c r="Y60" s="20">
        <f t="shared" si="2"/>
        <v>0</v>
      </c>
      <c r="Z60" s="21">
        <f t="shared" si="3"/>
        <v>-112.08333333333333</v>
      </c>
      <c r="AA60" s="20"/>
      <c r="AB60" s="20"/>
      <c r="AC60" s="20"/>
      <c r="AD60" s="20">
        <f t="shared" si="4"/>
        <v>0</v>
      </c>
      <c r="AE60" s="20"/>
      <c r="AF60" s="20"/>
      <c r="AG60" s="20"/>
      <c r="AH60" s="20"/>
      <c r="AI60" s="20">
        <f t="shared" si="6"/>
        <v>0</v>
      </c>
      <c r="AJ60" s="20"/>
    </row>
    <row r="61" spans="2:36">
      <c r="B61" s="11" t="s">
        <v>194</v>
      </c>
      <c r="C61" s="12" t="s">
        <v>195</v>
      </c>
      <c r="D61" s="12" t="s">
        <v>38</v>
      </c>
      <c r="E61" s="13" t="s">
        <v>39</v>
      </c>
      <c r="F61" s="14" t="str">
        <f>_xlfn.XLOOKUP(B61,'[1]Synthese suivi modernisation'!A:A,'[1]Synthese suivi modernisation'!S:S)</f>
        <v>SEDHIOU</v>
      </c>
      <c r="G61" s="14" t="str">
        <f>_xlfn.XLOOKUP(B61,'[1]Synthese suivi modernisation'!A:A,'[1]Synthese suivi modernisation'!T:T)</f>
        <v>ZIGUINCHOR</v>
      </c>
      <c r="H61" s="20" t="s">
        <v>180</v>
      </c>
      <c r="I61" s="20" t="s">
        <v>71</v>
      </c>
      <c r="J61" s="16" t="s">
        <v>180</v>
      </c>
      <c r="K61" s="24">
        <v>4000</v>
      </c>
      <c r="L61" s="14">
        <v>6</v>
      </c>
      <c r="M61" s="17" t="s">
        <v>73</v>
      </c>
      <c r="N61" s="16" t="s">
        <v>196</v>
      </c>
      <c r="O61" s="16">
        <v>66</v>
      </c>
      <c r="P61" s="18">
        <v>43.833333333333336</v>
      </c>
      <c r="Q61" s="20"/>
      <c r="R61" s="20"/>
      <c r="S61" s="19">
        <v>0.8</v>
      </c>
      <c r="T61" s="20">
        <f t="shared" si="0"/>
        <v>11.363636363636363</v>
      </c>
      <c r="U61" s="20">
        <v>0.27</v>
      </c>
      <c r="V61" s="20">
        <f t="shared" si="1"/>
        <v>1.62</v>
      </c>
      <c r="W61" s="20"/>
      <c r="X61" s="20"/>
      <c r="Y61" s="20">
        <f t="shared" si="2"/>
        <v>0</v>
      </c>
      <c r="Z61" s="21">
        <f t="shared" si="3"/>
        <v>-43.833333333333336</v>
      </c>
      <c r="AA61" s="20"/>
      <c r="AB61" s="20"/>
      <c r="AC61" s="20"/>
      <c r="AD61" s="20">
        <f t="shared" si="4"/>
        <v>0</v>
      </c>
      <c r="AE61" s="20"/>
      <c r="AF61" s="20"/>
      <c r="AG61" s="20"/>
      <c r="AH61" s="20"/>
      <c r="AI61" s="20">
        <f t="shared" si="6"/>
        <v>0</v>
      </c>
      <c r="AJ61" s="20"/>
    </row>
    <row r="62" spans="2:36">
      <c r="B62" s="11" t="s">
        <v>197</v>
      </c>
      <c r="C62" s="12" t="s">
        <v>198</v>
      </c>
      <c r="D62" s="12" t="s">
        <v>38</v>
      </c>
      <c r="E62" s="13" t="s">
        <v>39</v>
      </c>
      <c r="F62" s="14" t="str">
        <f>_xlfn.XLOOKUP(B62,'[1]Synthese suivi modernisation'!A:A,'[1]Synthese suivi modernisation'!S:S)</f>
        <v>FATICK</v>
      </c>
      <c r="G62" s="14" t="str">
        <f>_xlfn.XLOOKUP(B62,'[1]Synthese suivi modernisation'!A:A,'[1]Synthese suivi modernisation'!T:T)</f>
        <v>KAOLACK</v>
      </c>
      <c r="H62" s="20" t="s">
        <v>70</v>
      </c>
      <c r="I62" s="20" t="s">
        <v>71</v>
      </c>
      <c r="J62" s="16" t="s">
        <v>70</v>
      </c>
      <c r="K62" s="24">
        <v>8000</v>
      </c>
      <c r="L62" s="14">
        <v>13</v>
      </c>
      <c r="M62" s="17" t="s">
        <v>73</v>
      </c>
      <c r="N62" s="16" t="s">
        <v>43</v>
      </c>
      <c r="O62" s="16">
        <v>33</v>
      </c>
      <c r="P62" s="18">
        <v>45</v>
      </c>
      <c r="Q62" s="20"/>
      <c r="R62" s="20"/>
      <c r="S62" s="19">
        <v>0.8</v>
      </c>
      <c r="T62" s="20">
        <f t="shared" si="0"/>
        <v>49.242424242424235</v>
      </c>
      <c r="U62" s="20">
        <v>0.27</v>
      </c>
      <c r="V62" s="20">
        <f t="shared" si="1"/>
        <v>3.5100000000000002</v>
      </c>
      <c r="W62" s="20"/>
      <c r="X62" s="20"/>
      <c r="Y62" s="20">
        <f t="shared" si="2"/>
        <v>0</v>
      </c>
      <c r="Z62" s="21">
        <f t="shared" si="3"/>
        <v>-45</v>
      </c>
      <c r="AA62" s="20"/>
      <c r="AB62" s="20"/>
      <c r="AC62" s="20"/>
      <c r="AD62" s="20">
        <f t="shared" si="4"/>
        <v>0</v>
      </c>
      <c r="AE62" s="20"/>
      <c r="AF62" s="20"/>
      <c r="AG62" s="20"/>
      <c r="AH62" s="20"/>
      <c r="AI62" s="20">
        <f t="shared" si="6"/>
        <v>0</v>
      </c>
      <c r="AJ62" s="20"/>
    </row>
    <row r="63" spans="2:36">
      <c r="B63" s="11" t="s">
        <v>199</v>
      </c>
      <c r="C63" s="12" t="s">
        <v>200</v>
      </c>
      <c r="D63" s="12" t="s">
        <v>38</v>
      </c>
      <c r="E63" s="13" t="s">
        <v>39</v>
      </c>
      <c r="F63" s="14" t="str">
        <f>_xlfn.XLOOKUP(B63,'[1]Synthese suivi modernisation'!A:A,'[1]Synthese suivi modernisation'!S:S)</f>
        <v>FATICK</v>
      </c>
      <c r="G63" s="14" t="str">
        <f>_xlfn.XLOOKUP(B63,'[1]Synthese suivi modernisation'!A:A,'[1]Synthese suivi modernisation'!T:T)</f>
        <v>KAOLACK</v>
      </c>
      <c r="H63" s="20" t="s">
        <v>40</v>
      </c>
      <c r="I63" s="14" t="s">
        <v>41</v>
      </c>
      <c r="J63" s="16" t="s">
        <v>40</v>
      </c>
      <c r="K63" s="24">
        <v>4000</v>
      </c>
      <c r="L63" s="14">
        <v>4</v>
      </c>
      <c r="M63" s="17" t="s">
        <v>42</v>
      </c>
      <c r="N63" s="16" t="s">
        <v>80</v>
      </c>
      <c r="O63" s="16">
        <v>33</v>
      </c>
      <c r="P63" s="18">
        <v>328.25</v>
      </c>
      <c r="Q63" s="20"/>
      <c r="R63" s="20"/>
      <c r="S63" s="19">
        <v>0.8</v>
      </c>
      <c r="T63" s="20">
        <f t="shared" si="0"/>
        <v>15.151515151515149</v>
      </c>
      <c r="U63" s="20">
        <v>0.27</v>
      </c>
      <c r="V63" s="20">
        <f t="shared" si="1"/>
        <v>1.08</v>
      </c>
      <c r="W63" s="20"/>
      <c r="X63" s="20"/>
      <c r="Y63" s="20">
        <f t="shared" si="2"/>
        <v>0</v>
      </c>
      <c r="Z63" s="21">
        <f t="shared" si="3"/>
        <v>-328.25</v>
      </c>
      <c r="AA63" s="20"/>
      <c r="AB63" s="20"/>
      <c r="AC63" s="20"/>
      <c r="AD63" s="20">
        <f t="shared" si="4"/>
        <v>0</v>
      </c>
      <c r="AE63" s="20"/>
      <c r="AF63" s="20"/>
      <c r="AG63" s="20"/>
      <c r="AH63" s="20"/>
      <c r="AI63" s="20">
        <f t="shared" si="6"/>
        <v>0</v>
      </c>
      <c r="AJ63" s="20"/>
    </row>
    <row r="64" spans="2:36">
      <c r="B64" s="11" t="s">
        <v>201</v>
      </c>
      <c r="C64" s="12" t="s">
        <v>202</v>
      </c>
      <c r="D64" s="12" t="s">
        <v>38</v>
      </c>
      <c r="E64" s="13" t="s">
        <v>39</v>
      </c>
      <c r="F64" s="14" t="str">
        <f>_xlfn.XLOOKUP(B64,'[1]Synthese suivi modernisation'!A:A,'[1]Synthese suivi modernisation'!S:S)</f>
        <v>KAFFRINE</v>
      </c>
      <c r="G64" s="14" t="str">
        <f>_xlfn.XLOOKUP(B64,'[1]Synthese suivi modernisation'!A:A,'[1]Synthese suivi modernisation'!T:T)</f>
        <v>KAOLACK</v>
      </c>
      <c r="H64" s="20" t="s">
        <v>40</v>
      </c>
      <c r="I64" s="14" t="s">
        <v>41</v>
      </c>
      <c r="J64" s="16" t="s">
        <v>40</v>
      </c>
      <c r="K64" s="24">
        <v>3500</v>
      </c>
      <c r="L64" s="14">
        <v>3.5</v>
      </c>
      <c r="M64" s="17" t="s">
        <v>42</v>
      </c>
      <c r="N64" s="16" t="s">
        <v>67</v>
      </c>
      <c r="O64" s="16">
        <v>50</v>
      </c>
      <c r="P64" s="18">
        <v>194.83333333333334</v>
      </c>
      <c r="Q64" s="20"/>
      <c r="R64" s="20"/>
      <c r="S64" s="19">
        <v>0.8</v>
      </c>
      <c r="T64" s="20">
        <f t="shared" si="0"/>
        <v>8.75</v>
      </c>
      <c r="U64" s="20">
        <v>0.27</v>
      </c>
      <c r="V64" s="20">
        <f t="shared" si="1"/>
        <v>0.94500000000000006</v>
      </c>
      <c r="W64" s="20"/>
      <c r="X64" s="20"/>
      <c r="Y64" s="20">
        <f t="shared" si="2"/>
        <v>0</v>
      </c>
      <c r="Z64" s="21">
        <f t="shared" si="3"/>
        <v>-194.83333333333334</v>
      </c>
      <c r="AA64" s="20"/>
      <c r="AB64" s="20"/>
      <c r="AC64" s="20"/>
      <c r="AD64" s="20">
        <f t="shared" si="4"/>
        <v>0</v>
      </c>
      <c r="AE64" s="20"/>
      <c r="AF64" s="20"/>
      <c r="AG64" s="20"/>
      <c r="AH64" s="20"/>
      <c r="AI64" s="20">
        <f t="shared" si="6"/>
        <v>0</v>
      </c>
      <c r="AJ64" s="20"/>
    </row>
    <row r="65" spans="2:36">
      <c r="B65" s="11" t="s">
        <v>203</v>
      </c>
      <c r="C65" s="12" t="s">
        <v>204</v>
      </c>
      <c r="D65" s="12" t="s">
        <v>38</v>
      </c>
      <c r="E65" s="13" t="s">
        <v>39</v>
      </c>
      <c r="F65" s="14" t="str">
        <f>_xlfn.XLOOKUP(B65,'[1]Synthese suivi modernisation'!A:A,'[1]Synthese suivi modernisation'!S:S)</f>
        <v>FATICK</v>
      </c>
      <c r="G65" s="14" t="str">
        <f>_xlfn.XLOOKUP(B65,'[1]Synthese suivi modernisation'!A:A,'[1]Synthese suivi modernisation'!T:T)</f>
        <v>KAOLACK</v>
      </c>
      <c r="H65" s="20" t="s">
        <v>205</v>
      </c>
      <c r="I65" s="14" t="s">
        <v>41</v>
      </c>
      <c r="J65" s="16" t="s">
        <v>205</v>
      </c>
      <c r="K65" s="24">
        <v>7000</v>
      </c>
      <c r="L65" s="14">
        <v>6.5</v>
      </c>
      <c r="M65" s="17" t="s">
        <v>42</v>
      </c>
      <c r="N65" s="16" t="s">
        <v>206</v>
      </c>
      <c r="O65" s="16">
        <v>50</v>
      </c>
      <c r="P65" s="18">
        <v>1114.4166666666667</v>
      </c>
      <c r="Q65" s="20"/>
      <c r="R65" s="20"/>
      <c r="S65" s="19">
        <v>0.8</v>
      </c>
      <c r="T65" s="20">
        <f t="shared" si="0"/>
        <v>16.25</v>
      </c>
      <c r="U65" s="20">
        <v>0.27</v>
      </c>
      <c r="V65" s="20">
        <f t="shared" si="1"/>
        <v>1.7550000000000001</v>
      </c>
      <c r="W65" s="20"/>
      <c r="X65" s="20"/>
      <c r="Y65" s="20">
        <f t="shared" si="2"/>
        <v>0</v>
      </c>
      <c r="Z65" s="21">
        <f t="shared" si="3"/>
        <v>-1114.4166666666667</v>
      </c>
      <c r="AA65" s="20"/>
      <c r="AB65" s="20"/>
      <c r="AC65" s="20"/>
      <c r="AD65" s="20">
        <f t="shared" si="4"/>
        <v>0</v>
      </c>
      <c r="AE65" s="20"/>
      <c r="AF65" s="20"/>
      <c r="AG65" s="20"/>
      <c r="AH65" s="20"/>
      <c r="AI65" s="20">
        <f t="shared" si="6"/>
        <v>0</v>
      </c>
      <c r="AJ65" s="20"/>
    </row>
    <row r="66" spans="2:36">
      <c r="B66" s="11" t="s">
        <v>207</v>
      </c>
      <c r="C66" s="12" t="s">
        <v>208</v>
      </c>
      <c r="D66" s="12" t="s">
        <v>38</v>
      </c>
      <c r="E66" s="13" t="s">
        <v>39</v>
      </c>
      <c r="F66" s="14" t="str">
        <f>_xlfn.XLOOKUP(B66,'[1]Synthese suivi modernisation'!A:A,'[1]Synthese suivi modernisation'!S:S)</f>
        <v>ZIGUINCHOR</v>
      </c>
      <c r="G66" s="14" t="str">
        <f>_xlfn.XLOOKUP(B66,'[1]Synthese suivi modernisation'!A:A,'[1]Synthese suivi modernisation'!T:T)</f>
        <v>ZIGUINCHOR</v>
      </c>
      <c r="H66" s="20" t="s">
        <v>209</v>
      </c>
      <c r="I66" s="14" t="s">
        <v>41</v>
      </c>
      <c r="J66" s="16" t="s">
        <v>209</v>
      </c>
      <c r="K66" s="24">
        <v>3000</v>
      </c>
      <c r="L66" s="14">
        <v>3</v>
      </c>
      <c r="M66" s="17" t="s">
        <v>42</v>
      </c>
      <c r="N66" s="16" t="s">
        <v>43</v>
      </c>
      <c r="O66" s="16">
        <v>30</v>
      </c>
      <c r="P66" s="18">
        <v>340.66666666666669</v>
      </c>
      <c r="Q66" s="20"/>
      <c r="R66" s="20"/>
      <c r="S66" s="19">
        <v>0.8</v>
      </c>
      <c r="T66" s="20">
        <f t="shared" si="0"/>
        <v>12.5</v>
      </c>
      <c r="U66" s="20">
        <v>0.27</v>
      </c>
      <c r="V66" s="20">
        <f t="shared" si="1"/>
        <v>0.81</v>
      </c>
      <c r="W66" s="20"/>
      <c r="X66" s="20"/>
      <c r="Y66" s="20">
        <f t="shared" si="2"/>
        <v>0</v>
      </c>
      <c r="Z66" s="21">
        <f t="shared" si="3"/>
        <v>-340.66666666666669</v>
      </c>
      <c r="AA66" s="20"/>
      <c r="AB66" s="20"/>
      <c r="AC66" s="20"/>
      <c r="AD66" s="20">
        <f t="shared" si="4"/>
        <v>0</v>
      </c>
      <c r="AE66" s="20"/>
      <c r="AF66" s="20"/>
      <c r="AG66" s="20"/>
      <c r="AH66" s="20"/>
      <c r="AI66" s="20">
        <f t="shared" si="6"/>
        <v>0</v>
      </c>
      <c r="AJ66" s="20"/>
    </row>
    <row r="67" spans="2:36">
      <c r="B67" s="11" t="s">
        <v>210</v>
      </c>
      <c r="C67" s="12" t="s">
        <v>211</v>
      </c>
      <c r="D67" s="12" t="s">
        <v>38</v>
      </c>
      <c r="E67" s="13" t="s">
        <v>39</v>
      </c>
      <c r="F67" s="14" t="str">
        <f>_xlfn.XLOOKUP(B67,'[1]Synthese suivi modernisation'!A:A,'[1]Synthese suivi modernisation'!S:S)</f>
        <v>NDIOUM</v>
      </c>
      <c r="G67" s="14" t="str">
        <f>_xlfn.XLOOKUP(B67,'[1]Synthese suivi modernisation'!A:A,'[1]Synthese suivi modernisation'!T:T)</f>
        <v>SAINT-LOUIS</v>
      </c>
      <c r="H67" s="20" t="s">
        <v>70</v>
      </c>
      <c r="I67" s="20" t="s">
        <v>71</v>
      </c>
      <c r="J67" s="16" t="s">
        <v>72</v>
      </c>
      <c r="K67" s="24">
        <v>7000</v>
      </c>
      <c r="L67" s="14">
        <v>8</v>
      </c>
      <c r="M67" s="17" t="s">
        <v>73</v>
      </c>
      <c r="N67" s="16" t="s">
        <v>74</v>
      </c>
      <c r="O67" s="16">
        <v>30</v>
      </c>
      <c r="P67" s="18">
        <v>0</v>
      </c>
      <c r="Q67" s="20"/>
      <c r="R67" s="20"/>
      <c r="S67" s="19">
        <v>0.8</v>
      </c>
      <c r="T67" s="20">
        <f t="shared" si="0"/>
        <v>33.333333333333329</v>
      </c>
      <c r="U67" s="20">
        <v>0.27</v>
      </c>
      <c r="V67" s="20">
        <f t="shared" si="1"/>
        <v>2.16</v>
      </c>
      <c r="W67" s="20"/>
      <c r="X67" s="20"/>
      <c r="Y67" s="20">
        <f t="shared" si="2"/>
        <v>0</v>
      </c>
      <c r="Z67" s="21">
        <f t="shared" si="3"/>
        <v>0</v>
      </c>
      <c r="AA67" s="20"/>
      <c r="AB67" s="20"/>
      <c r="AC67" s="20"/>
      <c r="AD67" s="20">
        <f t="shared" si="4"/>
        <v>0</v>
      </c>
      <c r="AE67" s="20"/>
      <c r="AF67" s="20"/>
      <c r="AG67" s="20"/>
      <c r="AH67" s="20"/>
      <c r="AI67" s="20">
        <f t="shared" si="6"/>
        <v>0</v>
      </c>
      <c r="AJ67" s="20"/>
    </row>
    <row r="68" spans="2:36">
      <c r="B68" s="11" t="s">
        <v>212</v>
      </c>
      <c r="C68" s="12" t="s">
        <v>213</v>
      </c>
      <c r="D68" s="12" t="s">
        <v>38</v>
      </c>
      <c r="E68" s="13" t="s">
        <v>39</v>
      </c>
      <c r="F68" s="14" t="str">
        <f>_xlfn.XLOOKUP(B68,'[1]Synthese suivi modernisation'!A:A,'[1]Synthese suivi modernisation'!S:S)</f>
        <v>VELINGARA</v>
      </c>
      <c r="G68" s="14" t="str">
        <f>_xlfn.XLOOKUP(B68,'[1]Synthese suivi modernisation'!A:A,'[1]Synthese suivi modernisation'!T:T)</f>
        <v>ZIGUINCHOR</v>
      </c>
      <c r="H68" s="20" t="s">
        <v>209</v>
      </c>
      <c r="I68" s="14" t="s">
        <v>41</v>
      </c>
      <c r="J68" s="16" t="s">
        <v>209</v>
      </c>
      <c r="K68" s="24">
        <v>3000</v>
      </c>
      <c r="L68" s="14">
        <v>3.5</v>
      </c>
      <c r="M68" s="17" t="s">
        <v>42</v>
      </c>
      <c r="N68" s="16" t="s">
        <v>48</v>
      </c>
      <c r="O68" s="16">
        <v>22</v>
      </c>
      <c r="P68" s="18">
        <v>256.66666666666669</v>
      </c>
      <c r="Q68" s="20"/>
      <c r="R68" s="20"/>
      <c r="S68" s="19">
        <v>0.8</v>
      </c>
      <c r="T68" s="20">
        <f t="shared" si="0"/>
        <v>19.886363636363637</v>
      </c>
      <c r="U68" s="20">
        <v>0.27</v>
      </c>
      <c r="V68" s="20">
        <f t="shared" si="1"/>
        <v>0.94500000000000006</v>
      </c>
      <c r="W68" s="20"/>
      <c r="X68" s="20"/>
      <c r="Y68" s="20">
        <f t="shared" si="2"/>
        <v>0</v>
      </c>
      <c r="Z68" s="21">
        <f t="shared" si="3"/>
        <v>-256.66666666666669</v>
      </c>
      <c r="AA68" s="20"/>
      <c r="AB68" s="20"/>
      <c r="AC68" s="20"/>
      <c r="AD68" s="20">
        <f t="shared" si="4"/>
        <v>0</v>
      </c>
      <c r="AE68" s="20"/>
      <c r="AF68" s="20"/>
      <c r="AG68" s="20"/>
      <c r="AH68" s="20"/>
      <c r="AI68" s="20">
        <f t="shared" si="6"/>
        <v>0</v>
      </c>
      <c r="AJ68" s="20"/>
    </row>
    <row r="69" spans="2:36">
      <c r="B69" s="11" t="s">
        <v>214</v>
      </c>
      <c r="C69" s="12" t="s">
        <v>215</v>
      </c>
      <c r="D69" s="12" t="s">
        <v>38</v>
      </c>
      <c r="E69" s="13" t="s">
        <v>39</v>
      </c>
      <c r="F69" s="14" t="str">
        <f>_xlfn.XLOOKUP(B69,'[1]Synthese suivi modernisation'!A:A,'[1]Synthese suivi modernisation'!S:S)</f>
        <v>GOUDIRY</v>
      </c>
      <c r="G69" s="14" t="str">
        <f>_xlfn.XLOOKUP(B69,'[1]Synthese suivi modernisation'!A:A,'[1]Synthese suivi modernisation'!T:T)</f>
        <v>TAMBACOUNDA</v>
      </c>
      <c r="H69" s="20" t="s">
        <v>40</v>
      </c>
      <c r="I69" s="14" t="s">
        <v>41</v>
      </c>
      <c r="J69" s="16" t="s">
        <v>40</v>
      </c>
      <c r="K69" s="24">
        <v>2750</v>
      </c>
      <c r="L69" s="14">
        <v>2.5</v>
      </c>
      <c r="M69" s="17" t="s">
        <v>42</v>
      </c>
      <c r="N69" s="16" t="s">
        <v>80</v>
      </c>
      <c r="O69" s="16">
        <v>33</v>
      </c>
      <c r="P69" s="18">
        <v>109.33333333333333</v>
      </c>
      <c r="Q69" s="20"/>
      <c r="R69" s="20"/>
      <c r="S69" s="19">
        <v>0.8</v>
      </c>
      <c r="T69" s="20">
        <f t="shared" si="0"/>
        <v>9.4696969696969688</v>
      </c>
      <c r="U69" s="20">
        <v>0.27</v>
      </c>
      <c r="V69" s="20">
        <f t="shared" si="1"/>
        <v>0.67500000000000004</v>
      </c>
      <c r="W69" s="20"/>
      <c r="X69" s="20"/>
      <c r="Y69" s="20">
        <f t="shared" si="2"/>
        <v>0</v>
      </c>
      <c r="Z69" s="21">
        <f t="shared" si="3"/>
        <v>-109.33333333333333</v>
      </c>
      <c r="AA69" s="20"/>
      <c r="AB69" s="20"/>
      <c r="AC69" s="20"/>
      <c r="AD69" s="20">
        <f t="shared" si="4"/>
        <v>0</v>
      </c>
      <c r="AE69" s="20"/>
      <c r="AF69" s="20"/>
      <c r="AG69" s="20"/>
      <c r="AH69" s="20"/>
      <c r="AI69" s="20">
        <f t="shared" si="6"/>
        <v>0</v>
      </c>
      <c r="AJ69" s="20"/>
    </row>
    <row r="70" spans="2:36">
      <c r="B70" s="11" t="s">
        <v>216</v>
      </c>
      <c r="C70" s="12" t="s">
        <v>217</v>
      </c>
      <c r="D70" s="12" t="s">
        <v>38</v>
      </c>
      <c r="E70" s="13" t="s">
        <v>39</v>
      </c>
      <c r="F70" s="14" t="str">
        <f>_xlfn.XLOOKUP(B70,'[1]Synthese suivi modernisation'!A:A,'[1]Synthese suivi modernisation'!S:S)</f>
        <v>KEDOUGOU</v>
      </c>
      <c r="G70" s="14" t="str">
        <f>_xlfn.XLOOKUP(B70,'[1]Synthese suivi modernisation'!A:A,'[1]Synthese suivi modernisation'!T:T)</f>
        <v>TAMBACOUNDA</v>
      </c>
      <c r="H70" s="20" t="s">
        <v>209</v>
      </c>
      <c r="I70" s="14" t="s">
        <v>41</v>
      </c>
      <c r="J70" s="16" t="s">
        <v>209</v>
      </c>
      <c r="K70" s="24">
        <v>3000</v>
      </c>
      <c r="L70" s="14">
        <v>7.5</v>
      </c>
      <c r="M70" s="17" t="s">
        <v>42</v>
      </c>
      <c r="N70" s="16" t="s">
        <v>67</v>
      </c>
      <c r="O70" s="16">
        <v>50</v>
      </c>
      <c r="P70" s="18">
        <v>1510.6666666666667</v>
      </c>
      <c r="Q70" s="20"/>
      <c r="R70" s="20"/>
      <c r="S70" s="19">
        <v>0.8</v>
      </c>
      <c r="T70" s="20">
        <f t="shared" ref="T70:T133" si="7">(((Q70*R70)/(1000*S70)+L70)/(O70*0.8))*100</f>
        <v>18.75</v>
      </c>
      <c r="U70" s="20">
        <v>0.27</v>
      </c>
      <c r="V70" s="20">
        <f t="shared" ref="V70:V133" si="8">(((Q70*R70)/(1000*S70)+L70))*U70</f>
        <v>2.0250000000000004</v>
      </c>
      <c r="W70" s="20"/>
      <c r="X70" s="20"/>
      <c r="Y70" s="20">
        <f t="shared" ref="Y70:Y133" si="9">+X70*V70</f>
        <v>0</v>
      </c>
      <c r="Z70" s="21">
        <f t="shared" ref="Z70:Z133" si="10">Y70-P70</f>
        <v>-1510.6666666666667</v>
      </c>
      <c r="AA70" s="20"/>
      <c r="AB70" s="20"/>
      <c r="AC70" s="20"/>
      <c r="AD70" s="20">
        <f t="shared" ref="AD70:AD133" si="11">AC70-Y70</f>
        <v>0</v>
      </c>
      <c r="AE70" s="20"/>
      <c r="AF70" s="20"/>
      <c r="AG70" s="20"/>
      <c r="AH70" s="20"/>
      <c r="AI70" s="20">
        <f t="shared" ref="AI70:AI133" si="12">AG70-AH70</f>
        <v>0</v>
      </c>
      <c r="AJ70" s="20"/>
    </row>
    <row r="71" spans="2:36">
      <c r="B71" s="11" t="s">
        <v>218</v>
      </c>
      <c r="C71" s="12" t="s">
        <v>219</v>
      </c>
      <c r="D71" s="12" t="s">
        <v>38</v>
      </c>
      <c r="E71" s="13" t="s">
        <v>39</v>
      </c>
      <c r="F71" s="14" t="str">
        <f>_xlfn.XLOOKUP(B71,'[1]Synthese suivi modernisation'!A:A,'[1]Synthese suivi modernisation'!S:S)</f>
        <v>KEDOUGOU</v>
      </c>
      <c r="G71" s="14" t="str">
        <f>_xlfn.XLOOKUP(B71,'[1]Synthese suivi modernisation'!A:A,'[1]Synthese suivi modernisation'!T:T)</f>
        <v>TAMBACOUNDA</v>
      </c>
      <c r="H71" s="20" t="s">
        <v>54</v>
      </c>
      <c r="I71" s="14" t="s">
        <v>41</v>
      </c>
      <c r="J71" s="23" t="s">
        <v>40</v>
      </c>
      <c r="K71" s="24">
        <v>2000</v>
      </c>
      <c r="L71" s="14">
        <v>2.75</v>
      </c>
      <c r="M71" s="17" t="s">
        <v>42</v>
      </c>
      <c r="N71" s="16" t="s">
        <v>55</v>
      </c>
      <c r="O71" s="16">
        <v>33</v>
      </c>
      <c r="P71" s="18">
        <v>240.41666666666666</v>
      </c>
      <c r="Q71" s="20"/>
      <c r="R71" s="20"/>
      <c r="S71" s="19">
        <v>0.8</v>
      </c>
      <c r="T71" s="20">
        <f t="shared" si="7"/>
        <v>10.416666666666666</v>
      </c>
      <c r="U71" s="20">
        <v>0.27</v>
      </c>
      <c r="V71" s="20">
        <f t="shared" si="8"/>
        <v>0.74250000000000005</v>
      </c>
      <c r="W71" s="20"/>
      <c r="X71" s="20"/>
      <c r="Y71" s="20">
        <f t="shared" si="9"/>
        <v>0</v>
      </c>
      <c r="Z71" s="21">
        <f t="shared" si="10"/>
        <v>-240.41666666666666</v>
      </c>
      <c r="AA71" s="20"/>
      <c r="AB71" s="20"/>
      <c r="AC71" s="20"/>
      <c r="AD71" s="20">
        <f t="shared" si="11"/>
        <v>0</v>
      </c>
      <c r="AE71" s="20"/>
      <c r="AF71" s="20"/>
      <c r="AG71" s="20"/>
      <c r="AH71" s="20"/>
      <c r="AI71" s="20">
        <f t="shared" si="12"/>
        <v>0</v>
      </c>
      <c r="AJ71" s="20"/>
    </row>
    <row r="72" spans="2:36">
      <c r="B72" s="11" t="s">
        <v>220</v>
      </c>
      <c r="C72" s="12" t="s">
        <v>221</v>
      </c>
      <c r="D72" s="12" t="s">
        <v>38</v>
      </c>
      <c r="E72" s="13" t="s">
        <v>39</v>
      </c>
      <c r="F72" s="14" t="str">
        <f>_xlfn.XLOOKUP(B72,'[1]Synthese suivi modernisation'!A:A,'[1]Synthese suivi modernisation'!S:S)</f>
        <v>NDIOUM</v>
      </c>
      <c r="G72" s="14" t="str">
        <f>_xlfn.XLOOKUP(B72,'[1]Synthese suivi modernisation'!A:A,'[1]Synthese suivi modernisation'!T:T)</f>
        <v>SAINT-LOUIS</v>
      </c>
      <c r="H72" s="20" t="s">
        <v>70</v>
      </c>
      <c r="I72" s="20" t="s">
        <v>71</v>
      </c>
      <c r="J72" s="16" t="s">
        <v>72</v>
      </c>
      <c r="K72" s="24">
        <v>7000</v>
      </c>
      <c r="L72" s="14">
        <v>11</v>
      </c>
      <c r="M72" s="17" t="s">
        <v>73</v>
      </c>
      <c r="N72" s="16" t="s">
        <v>222</v>
      </c>
      <c r="O72" s="16">
        <v>66</v>
      </c>
      <c r="P72" s="18">
        <v>0</v>
      </c>
      <c r="Q72" s="20"/>
      <c r="R72" s="20"/>
      <c r="S72" s="19">
        <v>0.8</v>
      </c>
      <c r="T72" s="20">
        <f t="shared" si="7"/>
        <v>20.833333333333332</v>
      </c>
      <c r="U72" s="20">
        <v>0.27</v>
      </c>
      <c r="V72" s="20">
        <f t="shared" si="8"/>
        <v>2.97</v>
      </c>
      <c r="W72" s="20"/>
      <c r="X72" s="20"/>
      <c r="Y72" s="20">
        <f t="shared" si="9"/>
        <v>0</v>
      </c>
      <c r="Z72" s="21">
        <f t="shared" si="10"/>
        <v>0</v>
      </c>
      <c r="AA72" s="20"/>
      <c r="AB72" s="20"/>
      <c r="AC72" s="20"/>
      <c r="AD72" s="20">
        <f t="shared" si="11"/>
        <v>0</v>
      </c>
      <c r="AE72" s="20"/>
      <c r="AF72" s="20"/>
      <c r="AG72" s="20"/>
      <c r="AH72" s="20"/>
      <c r="AI72" s="20">
        <f t="shared" si="12"/>
        <v>0</v>
      </c>
      <c r="AJ72" s="20"/>
    </row>
    <row r="73" spans="2:36">
      <c r="B73" s="11" t="s">
        <v>223</v>
      </c>
      <c r="C73" s="12" t="s">
        <v>224</v>
      </c>
      <c r="D73" s="12" t="s">
        <v>38</v>
      </c>
      <c r="E73" s="13" t="s">
        <v>39</v>
      </c>
      <c r="F73" s="14" t="str">
        <f>_xlfn.XLOOKUP(B73,'[1]Synthese suivi modernisation'!A:A,'[1]Synthese suivi modernisation'!S:S)</f>
        <v>KOUNGHEUL</v>
      </c>
      <c r="G73" s="14" t="str">
        <f>_xlfn.XLOOKUP(B73,'[1]Synthese suivi modernisation'!A:A,'[1]Synthese suivi modernisation'!T:T)</f>
        <v>TAMBACOUNDA</v>
      </c>
      <c r="H73" s="20" t="s">
        <v>134</v>
      </c>
      <c r="I73" s="14" t="s">
        <v>41</v>
      </c>
      <c r="J73" s="16" t="s">
        <v>134</v>
      </c>
      <c r="K73" s="24">
        <v>1750</v>
      </c>
      <c r="L73" s="14">
        <v>2</v>
      </c>
      <c r="M73" s="17" t="s">
        <v>42</v>
      </c>
      <c r="N73" s="16" t="s">
        <v>48</v>
      </c>
      <c r="O73" s="16">
        <v>22</v>
      </c>
      <c r="P73" s="18">
        <v>112.08333333333333</v>
      </c>
      <c r="Q73" s="20"/>
      <c r="R73" s="20"/>
      <c r="S73" s="19">
        <v>0.8</v>
      </c>
      <c r="T73" s="20">
        <f t="shared" si="7"/>
        <v>11.363636363636363</v>
      </c>
      <c r="U73" s="20">
        <v>0.27</v>
      </c>
      <c r="V73" s="20">
        <f t="shared" si="8"/>
        <v>0.54</v>
      </c>
      <c r="W73" s="20"/>
      <c r="X73" s="20"/>
      <c r="Y73" s="20">
        <f t="shared" si="9"/>
        <v>0</v>
      </c>
      <c r="Z73" s="21">
        <f t="shared" si="10"/>
        <v>-112.08333333333333</v>
      </c>
      <c r="AA73" s="20"/>
      <c r="AB73" s="20"/>
      <c r="AC73" s="20"/>
      <c r="AD73" s="20">
        <f t="shared" si="11"/>
        <v>0</v>
      </c>
      <c r="AE73" s="20"/>
      <c r="AF73" s="20"/>
      <c r="AG73" s="20"/>
      <c r="AH73" s="20"/>
      <c r="AI73" s="20">
        <f t="shared" si="12"/>
        <v>0</v>
      </c>
      <c r="AJ73" s="20"/>
    </row>
    <row r="74" spans="2:36">
      <c r="B74" s="11" t="s">
        <v>225</v>
      </c>
      <c r="C74" s="12" t="s">
        <v>226</v>
      </c>
      <c r="D74" s="12" t="s">
        <v>38</v>
      </c>
      <c r="E74" s="13" t="s">
        <v>39</v>
      </c>
      <c r="F74" s="14" t="str">
        <f>_xlfn.XLOOKUP(B74,'[1]Synthese suivi modernisation'!A:A,'[1]Synthese suivi modernisation'!S:S)</f>
        <v>KAFFRINE</v>
      </c>
      <c r="G74" s="14" t="str">
        <f>_xlfn.XLOOKUP(B74,'[1]Synthese suivi modernisation'!A:A,'[1]Synthese suivi modernisation'!T:T)</f>
        <v>KAOLACK</v>
      </c>
      <c r="H74" s="20" t="s">
        <v>166</v>
      </c>
      <c r="I74" s="14" t="s">
        <v>41</v>
      </c>
      <c r="J74" s="16" t="s">
        <v>166</v>
      </c>
      <c r="K74" s="24">
        <v>5500</v>
      </c>
      <c r="L74" s="14">
        <v>5</v>
      </c>
      <c r="M74" s="17" t="s">
        <v>42</v>
      </c>
      <c r="N74" s="16" t="s">
        <v>227</v>
      </c>
      <c r="O74" s="16">
        <v>33</v>
      </c>
      <c r="P74" s="18">
        <v>388.16666666666669</v>
      </c>
      <c r="Q74" s="20"/>
      <c r="R74" s="20"/>
      <c r="S74" s="19">
        <v>0.8</v>
      </c>
      <c r="T74" s="20">
        <f t="shared" si="7"/>
        <v>18.939393939393938</v>
      </c>
      <c r="U74" s="20">
        <v>0.27</v>
      </c>
      <c r="V74" s="20">
        <f t="shared" si="8"/>
        <v>1.35</v>
      </c>
      <c r="W74" s="20"/>
      <c r="X74" s="20"/>
      <c r="Y74" s="20">
        <f t="shared" si="9"/>
        <v>0</v>
      </c>
      <c r="Z74" s="21">
        <f t="shared" si="10"/>
        <v>-388.16666666666669</v>
      </c>
      <c r="AA74" s="20"/>
      <c r="AB74" s="20"/>
      <c r="AC74" s="20"/>
      <c r="AD74" s="20">
        <f t="shared" si="11"/>
        <v>0</v>
      </c>
      <c r="AE74" s="20"/>
      <c r="AF74" s="20"/>
      <c r="AG74" s="20"/>
      <c r="AH74" s="20"/>
      <c r="AI74" s="20">
        <f t="shared" si="12"/>
        <v>0</v>
      </c>
      <c r="AJ74" s="20"/>
    </row>
    <row r="75" spans="2:36">
      <c r="B75" s="11" t="s">
        <v>228</v>
      </c>
      <c r="C75" s="12" t="s">
        <v>229</v>
      </c>
      <c r="D75" s="12" t="s">
        <v>38</v>
      </c>
      <c r="E75" s="13" t="s">
        <v>39</v>
      </c>
      <c r="F75" s="14" t="str">
        <f>_xlfn.XLOOKUP(B75,'[1]Synthese suivi modernisation'!A:A,'[1]Synthese suivi modernisation'!S:S)</f>
        <v>MATAM</v>
      </c>
      <c r="G75" s="14" t="str">
        <f>_xlfn.XLOOKUP(B75,'[1]Synthese suivi modernisation'!A:A,'[1]Synthese suivi modernisation'!T:T)</f>
        <v>SAINT-LOUIS</v>
      </c>
      <c r="H75" s="20" t="s">
        <v>70</v>
      </c>
      <c r="I75" s="20" t="s">
        <v>71</v>
      </c>
      <c r="J75" s="16" t="s">
        <v>70</v>
      </c>
      <c r="K75" s="24">
        <v>7000</v>
      </c>
      <c r="L75" s="14">
        <v>8</v>
      </c>
      <c r="M75" s="17" t="s">
        <v>73</v>
      </c>
      <c r="N75" s="16" t="s">
        <v>63</v>
      </c>
      <c r="O75" s="16">
        <v>30</v>
      </c>
      <c r="P75" s="18">
        <v>30.416666666666668</v>
      </c>
      <c r="Q75" s="20"/>
      <c r="R75" s="20"/>
      <c r="S75" s="19">
        <v>0.8</v>
      </c>
      <c r="T75" s="20">
        <f t="shared" si="7"/>
        <v>33.333333333333329</v>
      </c>
      <c r="U75" s="20">
        <v>0.27</v>
      </c>
      <c r="V75" s="20">
        <f t="shared" si="8"/>
        <v>2.16</v>
      </c>
      <c r="W75" s="20"/>
      <c r="X75" s="20"/>
      <c r="Y75" s="20">
        <f t="shared" si="9"/>
        <v>0</v>
      </c>
      <c r="Z75" s="21">
        <f t="shared" si="10"/>
        <v>-30.416666666666668</v>
      </c>
      <c r="AA75" s="20"/>
      <c r="AB75" s="20"/>
      <c r="AC75" s="20"/>
      <c r="AD75" s="20">
        <f t="shared" si="11"/>
        <v>0</v>
      </c>
      <c r="AE75" s="20"/>
      <c r="AF75" s="20"/>
      <c r="AG75" s="20"/>
      <c r="AH75" s="20"/>
      <c r="AI75" s="20">
        <f t="shared" si="12"/>
        <v>0</v>
      </c>
      <c r="AJ75" s="20"/>
    </row>
    <row r="76" spans="2:36">
      <c r="B76" s="11" t="s">
        <v>230</v>
      </c>
      <c r="C76" s="12" t="s">
        <v>231</v>
      </c>
      <c r="D76" s="12" t="s">
        <v>38</v>
      </c>
      <c r="E76" s="13" t="s">
        <v>39</v>
      </c>
      <c r="F76" s="14" t="str">
        <f>_xlfn.XLOOKUP(B76,'[1]Synthese suivi modernisation'!A:A,'[1]Synthese suivi modernisation'!S:S)</f>
        <v>FATICK</v>
      </c>
      <c r="G76" s="14" t="str">
        <f>_xlfn.XLOOKUP(B76,'[1]Synthese suivi modernisation'!A:A,'[1]Synthese suivi modernisation'!T:T)</f>
        <v>KAOLACK</v>
      </c>
      <c r="H76" s="20" t="s">
        <v>40</v>
      </c>
      <c r="I76" s="14" t="s">
        <v>41</v>
      </c>
      <c r="J76" s="16" t="s">
        <v>40</v>
      </c>
      <c r="K76" s="24">
        <v>3000</v>
      </c>
      <c r="L76" s="14">
        <v>4</v>
      </c>
      <c r="M76" s="17" t="s">
        <v>42</v>
      </c>
      <c r="N76" s="16" t="s">
        <v>111</v>
      </c>
      <c r="O76" s="16">
        <v>22</v>
      </c>
      <c r="P76" s="18">
        <v>366.41666666666669</v>
      </c>
      <c r="Q76" s="20"/>
      <c r="R76" s="20"/>
      <c r="S76" s="19">
        <v>0.8</v>
      </c>
      <c r="T76" s="20">
        <f t="shared" si="7"/>
        <v>22.727272727272727</v>
      </c>
      <c r="U76" s="20">
        <v>0.27</v>
      </c>
      <c r="V76" s="20">
        <f t="shared" si="8"/>
        <v>1.08</v>
      </c>
      <c r="W76" s="20"/>
      <c r="X76" s="20"/>
      <c r="Y76" s="20">
        <f t="shared" si="9"/>
        <v>0</v>
      </c>
      <c r="Z76" s="21">
        <f t="shared" si="10"/>
        <v>-366.41666666666669</v>
      </c>
      <c r="AA76" s="20"/>
      <c r="AB76" s="20"/>
      <c r="AC76" s="20"/>
      <c r="AD76" s="20">
        <f t="shared" si="11"/>
        <v>0</v>
      </c>
      <c r="AE76" s="20"/>
      <c r="AF76" s="20"/>
      <c r="AG76" s="20"/>
      <c r="AH76" s="20"/>
      <c r="AI76" s="20">
        <f t="shared" si="12"/>
        <v>0</v>
      </c>
      <c r="AJ76" s="20"/>
    </row>
    <row r="77" spans="2:36">
      <c r="B77" s="11" t="s">
        <v>232</v>
      </c>
      <c r="C77" s="12" t="s">
        <v>233</v>
      </c>
      <c r="D77" s="12" t="s">
        <v>38</v>
      </c>
      <c r="E77" s="13" t="s">
        <v>39</v>
      </c>
      <c r="F77" s="14" t="str">
        <f>_xlfn.XLOOKUP(B77,'[1]Synthese suivi modernisation'!A:A,'[1]Synthese suivi modernisation'!S:S)</f>
        <v>KAFFRINE</v>
      </c>
      <c r="G77" s="14" t="str">
        <f>_xlfn.XLOOKUP(B77,'[1]Synthese suivi modernisation'!A:A,'[1]Synthese suivi modernisation'!T:T)</f>
        <v>KAOLACK</v>
      </c>
      <c r="H77" s="20" t="s">
        <v>40</v>
      </c>
      <c r="I77" s="14" t="s">
        <v>41</v>
      </c>
      <c r="J77" s="16" t="s">
        <v>40</v>
      </c>
      <c r="K77" s="24">
        <v>2000</v>
      </c>
      <c r="L77" s="14">
        <v>3</v>
      </c>
      <c r="M77" s="17" t="s">
        <v>42</v>
      </c>
      <c r="N77" s="16" t="s">
        <v>80</v>
      </c>
      <c r="O77" s="16">
        <v>33</v>
      </c>
      <c r="P77" s="18">
        <v>240.41666666666666</v>
      </c>
      <c r="Q77" s="20"/>
      <c r="R77" s="20"/>
      <c r="S77" s="19">
        <v>0.8</v>
      </c>
      <c r="T77" s="20">
        <f t="shared" si="7"/>
        <v>11.363636363636363</v>
      </c>
      <c r="U77" s="20">
        <v>0.27</v>
      </c>
      <c r="V77" s="20">
        <f t="shared" si="8"/>
        <v>0.81</v>
      </c>
      <c r="W77" s="20"/>
      <c r="X77" s="20"/>
      <c r="Y77" s="20">
        <f t="shared" si="9"/>
        <v>0</v>
      </c>
      <c r="Z77" s="21">
        <f t="shared" si="10"/>
        <v>-240.41666666666666</v>
      </c>
      <c r="AA77" s="20"/>
      <c r="AB77" s="20"/>
      <c r="AC77" s="20"/>
      <c r="AD77" s="20">
        <f t="shared" si="11"/>
        <v>0</v>
      </c>
      <c r="AE77" s="20"/>
      <c r="AF77" s="20"/>
      <c r="AG77" s="20"/>
      <c r="AH77" s="20"/>
      <c r="AI77" s="20">
        <f t="shared" si="12"/>
        <v>0</v>
      </c>
      <c r="AJ77" s="20"/>
    </row>
    <row r="78" spans="2:36">
      <c r="B78" s="11" t="s">
        <v>234</v>
      </c>
      <c r="C78" s="12" t="s">
        <v>235</v>
      </c>
      <c r="D78" s="12" t="s">
        <v>38</v>
      </c>
      <c r="E78" s="13" t="s">
        <v>39</v>
      </c>
      <c r="F78" s="14" t="str">
        <f>_xlfn.XLOOKUP(B78,'[1]Synthese suivi modernisation'!A:A,'[1]Synthese suivi modernisation'!S:S)</f>
        <v>FATICK</v>
      </c>
      <c r="G78" s="14" t="str">
        <f>_xlfn.XLOOKUP(B78,'[1]Synthese suivi modernisation'!A:A,'[1]Synthese suivi modernisation'!T:T)</f>
        <v>KAOLACK</v>
      </c>
      <c r="H78" s="20" t="s">
        <v>70</v>
      </c>
      <c r="I78" s="20" t="s">
        <v>71</v>
      </c>
      <c r="J78" s="16" t="s">
        <v>70</v>
      </c>
      <c r="K78" s="24">
        <v>7000</v>
      </c>
      <c r="L78" s="14">
        <v>9</v>
      </c>
      <c r="M78" s="17" t="s">
        <v>73</v>
      </c>
      <c r="N78" s="16" t="s">
        <v>63</v>
      </c>
      <c r="O78" s="16">
        <v>30</v>
      </c>
      <c r="P78" s="18">
        <v>28.916666666666668</v>
      </c>
      <c r="Q78" s="20"/>
      <c r="R78" s="20"/>
      <c r="S78" s="19">
        <v>0.8</v>
      </c>
      <c r="T78" s="20">
        <f t="shared" si="7"/>
        <v>37.5</v>
      </c>
      <c r="U78" s="20">
        <v>0.27</v>
      </c>
      <c r="V78" s="20">
        <f t="shared" si="8"/>
        <v>2.4300000000000002</v>
      </c>
      <c r="W78" s="20"/>
      <c r="X78" s="20"/>
      <c r="Y78" s="20">
        <f t="shared" si="9"/>
        <v>0</v>
      </c>
      <c r="Z78" s="21">
        <f t="shared" si="10"/>
        <v>-28.916666666666668</v>
      </c>
      <c r="AA78" s="20"/>
      <c r="AB78" s="20"/>
      <c r="AC78" s="20"/>
      <c r="AD78" s="20">
        <f t="shared" si="11"/>
        <v>0</v>
      </c>
      <c r="AE78" s="20"/>
      <c r="AF78" s="20"/>
      <c r="AG78" s="20"/>
      <c r="AH78" s="20"/>
      <c r="AI78" s="20">
        <f t="shared" si="12"/>
        <v>0</v>
      </c>
      <c r="AJ78" s="20"/>
    </row>
    <row r="79" spans="2:36">
      <c r="B79" s="11" t="s">
        <v>236</v>
      </c>
      <c r="C79" s="12" t="s">
        <v>237</v>
      </c>
      <c r="D79" s="12" t="s">
        <v>38</v>
      </c>
      <c r="E79" s="13" t="s">
        <v>39</v>
      </c>
      <c r="F79" s="14" t="str">
        <f>_xlfn.XLOOKUP(B79,'[1]Synthese suivi modernisation'!A:A,'[1]Synthese suivi modernisation'!S:S)</f>
        <v>BAKEL</v>
      </c>
      <c r="G79" s="14" t="str">
        <f>_xlfn.XLOOKUP(B79,'[1]Synthese suivi modernisation'!A:A,'[1]Synthese suivi modernisation'!T:T)</f>
        <v>SAINT-LOUIS</v>
      </c>
      <c r="H79" s="20" t="s">
        <v>40</v>
      </c>
      <c r="I79" s="14" t="s">
        <v>41</v>
      </c>
      <c r="J79" s="16" t="s">
        <v>40</v>
      </c>
      <c r="K79" s="24">
        <v>3500</v>
      </c>
      <c r="L79" s="14">
        <v>4.5</v>
      </c>
      <c r="M79" s="17" t="s">
        <v>42</v>
      </c>
      <c r="N79" s="16" t="s">
        <v>63</v>
      </c>
      <c r="O79" s="16">
        <v>30</v>
      </c>
      <c r="P79" s="18">
        <v>574.58333333333337</v>
      </c>
      <c r="Q79" s="20"/>
      <c r="R79" s="20"/>
      <c r="S79" s="19">
        <v>0.8</v>
      </c>
      <c r="T79" s="20">
        <f t="shared" si="7"/>
        <v>18.75</v>
      </c>
      <c r="U79" s="20">
        <v>0.27</v>
      </c>
      <c r="V79" s="20">
        <f t="shared" si="8"/>
        <v>1.2150000000000001</v>
      </c>
      <c r="W79" s="20"/>
      <c r="X79" s="20"/>
      <c r="Y79" s="20">
        <f t="shared" si="9"/>
        <v>0</v>
      </c>
      <c r="Z79" s="21">
        <f t="shared" si="10"/>
        <v>-574.58333333333337</v>
      </c>
      <c r="AA79" s="20"/>
      <c r="AB79" s="20"/>
      <c r="AC79" s="20"/>
      <c r="AD79" s="20">
        <f t="shared" si="11"/>
        <v>0</v>
      </c>
      <c r="AE79" s="20"/>
      <c r="AF79" s="20"/>
      <c r="AG79" s="20"/>
      <c r="AH79" s="20"/>
      <c r="AI79" s="20">
        <f t="shared" si="12"/>
        <v>0</v>
      </c>
      <c r="AJ79" s="20"/>
    </row>
    <row r="80" spans="2:36">
      <c r="B80" s="11" t="s">
        <v>238</v>
      </c>
      <c r="C80" s="12" t="s">
        <v>239</v>
      </c>
      <c r="D80" s="12" t="s">
        <v>38</v>
      </c>
      <c r="E80" s="13" t="s">
        <v>39</v>
      </c>
      <c r="F80" s="14" t="str">
        <f>_xlfn.XLOOKUP(B80,'[1]Synthese suivi modernisation'!A:A,'[1]Synthese suivi modernisation'!S:S)</f>
        <v>GOUDIRY</v>
      </c>
      <c r="G80" s="14" t="str">
        <f>_xlfn.XLOOKUP(B80,'[1]Synthese suivi modernisation'!A:A,'[1]Synthese suivi modernisation'!T:T)</f>
        <v>TAMBACOUNDA</v>
      </c>
      <c r="H80" s="20" t="s">
        <v>40</v>
      </c>
      <c r="I80" s="14" t="s">
        <v>41</v>
      </c>
      <c r="J80" s="16" t="s">
        <v>40</v>
      </c>
      <c r="K80" s="24">
        <v>2000</v>
      </c>
      <c r="L80" s="14">
        <v>2.5</v>
      </c>
      <c r="M80" s="17" t="s">
        <v>42</v>
      </c>
      <c r="N80" s="16" t="s">
        <v>85</v>
      </c>
      <c r="O80" s="16">
        <v>33</v>
      </c>
      <c r="P80" s="18">
        <v>109.33333333333333</v>
      </c>
      <c r="Q80" s="20"/>
      <c r="R80" s="20"/>
      <c r="S80" s="19">
        <v>0.8</v>
      </c>
      <c r="T80" s="20">
        <f t="shared" si="7"/>
        <v>9.4696969696969688</v>
      </c>
      <c r="U80" s="20">
        <v>0.27</v>
      </c>
      <c r="V80" s="20">
        <f t="shared" si="8"/>
        <v>0.67500000000000004</v>
      </c>
      <c r="W80" s="20"/>
      <c r="X80" s="20"/>
      <c r="Y80" s="20">
        <f t="shared" si="9"/>
        <v>0</v>
      </c>
      <c r="Z80" s="21">
        <f t="shared" si="10"/>
        <v>-109.33333333333333</v>
      </c>
      <c r="AA80" s="20"/>
      <c r="AB80" s="20"/>
      <c r="AC80" s="20"/>
      <c r="AD80" s="20">
        <f t="shared" si="11"/>
        <v>0</v>
      </c>
      <c r="AE80" s="20"/>
      <c r="AF80" s="20"/>
      <c r="AG80" s="20"/>
      <c r="AH80" s="20"/>
      <c r="AI80" s="20">
        <f t="shared" si="12"/>
        <v>0</v>
      </c>
      <c r="AJ80" s="20"/>
    </row>
    <row r="81" spans="2:36">
      <c r="B81" s="11" t="s">
        <v>240</v>
      </c>
      <c r="C81" s="12" t="s">
        <v>241</v>
      </c>
      <c r="D81" s="12" t="s">
        <v>38</v>
      </c>
      <c r="E81" s="13" t="s">
        <v>39</v>
      </c>
      <c r="F81" s="14" t="str">
        <f>_xlfn.XLOOKUP(B81,'[1]Synthese suivi modernisation'!A:A,'[1]Synthese suivi modernisation'!S:S)</f>
        <v>SACRE_COEUR</v>
      </c>
      <c r="G81" s="14" t="str">
        <f>_xlfn.XLOOKUP(B81,'[1]Synthese suivi modernisation'!A:A,'[1]Synthese suivi modernisation'!T:T)</f>
        <v>DAKAR</v>
      </c>
      <c r="H81" s="20" t="s">
        <v>242</v>
      </c>
      <c r="I81" s="20" t="s">
        <v>143</v>
      </c>
      <c r="J81" s="16" t="s">
        <v>242</v>
      </c>
      <c r="K81" s="24">
        <v>5000</v>
      </c>
      <c r="L81" s="14">
        <v>4</v>
      </c>
      <c r="M81" s="17" t="s">
        <v>73</v>
      </c>
      <c r="N81" s="16" t="s">
        <v>116</v>
      </c>
      <c r="O81" s="16">
        <v>60</v>
      </c>
      <c r="P81" s="18">
        <v>57.25</v>
      </c>
      <c r="Q81" s="20"/>
      <c r="R81" s="20"/>
      <c r="S81" s="19">
        <v>0.8</v>
      </c>
      <c r="T81" s="20">
        <f t="shared" si="7"/>
        <v>8.3333333333333321</v>
      </c>
      <c r="U81" s="20">
        <v>0.27</v>
      </c>
      <c r="V81" s="20">
        <f t="shared" si="8"/>
        <v>1.08</v>
      </c>
      <c r="W81" s="20"/>
      <c r="X81" s="20"/>
      <c r="Y81" s="20">
        <f t="shared" si="9"/>
        <v>0</v>
      </c>
      <c r="Z81" s="21">
        <f t="shared" si="10"/>
        <v>-57.25</v>
      </c>
      <c r="AA81" s="20"/>
      <c r="AB81" s="20"/>
      <c r="AC81" s="20"/>
      <c r="AD81" s="20">
        <f t="shared" si="11"/>
        <v>0</v>
      </c>
      <c r="AE81" s="20"/>
      <c r="AF81" s="20"/>
      <c r="AG81" s="20"/>
      <c r="AH81" s="20"/>
      <c r="AI81" s="20">
        <f t="shared" si="12"/>
        <v>0</v>
      </c>
      <c r="AJ81" s="20"/>
    </row>
    <row r="82" spans="2:36">
      <c r="B82" s="11" t="s">
        <v>243</v>
      </c>
      <c r="C82" s="12" t="s">
        <v>244</v>
      </c>
      <c r="D82" s="12" t="s">
        <v>38</v>
      </c>
      <c r="E82" s="13" t="s">
        <v>39</v>
      </c>
      <c r="F82" s="14" t="str">
        <f>_xlfn.XLOOKUP(B82,'[1]Synthese suivi modernisation'!A:A,'[1]Synthese suivi modernisation'!S:S)</f>
        <v>GUEDIAWAYE</v>
      </c>
      <c r="G82" s="14" t="str">
        <f>_xlfn.XLOOKUP(B82,'[1]Synthese suivi modernisation'!A:A,'[1]Synthese suivi modernisation'!T:T)</f>
        <v>DAKAR</v>
      </c>
      <c r="H82" s="20" t="s">
        <v>142</v>
      </c>
      <c r="I82" s="20" t="s">
        <v>143</v>
      </c>
      <c r="J82" s="23" t="s">
        <v>142</v>
      </c>
      <c r="K82" s="24">
        <v>23000</v>
      </c>
      <c r="L82" s="14">
        <v>32</v>
      </c>
      <c r="M82" s="17" t="s">
        <v>73</v>
      </c>
      <c r="N82" s="16" t="s">
        <v>245</v>
      </c>
      <c r="O82" s="16">
        <v>200</v>
      </c>
      <c r="P82" s="18">
        <v>128.33333333333334</v>
      </c>
      <c r="Q82" s="20"/>
      <c r="R82" s="20"/>
      <c r="S82" s="19">
        <v>0.8</v>
      </c>
      <c r="T82" s="20">
        <f t="shared" si="7"/>
        <v>20</v>
      </c>
      <c r="U82" s="20">
        <v>0.27</v>
      </c>
      <c r="V82" s="20">
        <f t="shared" si="8"/>
        <v>8.64</v>
      </c>
      <c r="W82" s="20"/>
      <c r="X82" s="20"/>
      <c r="Y82" s="20">
        <f t="shared" si="9"/>
        <v>0</v>
      </c>
      <c r="Z82" s="21">
        <f t="shared" si="10"/>
        <v>-128.33333333333334</v>
      </c>
      <c r="AA82" s="20"/>
      <c r="AB82" s="20"/>
      <c r="AC82" s="20"/>
      <c r="AD82" s="20">
        <f t="shared" si="11"/>
        <v>0</v>
      </c>
      <c r="AE82" s="20"/>
      <c r="AF82" s="20"/>
      <c r="AG82" s="20"/>
      <c r="AH82" s="20"/>
      <c r="AI82" s="20">
        <f t="shared" si="12"/>
        <v>0</v>
      </c>
      <c r="AJ82" s="20"/>
    </row>
    <row r="83" spans="2:36">
      <c r="B83" s="11" t="s">
        <v>246</v>
      </c>
      <c r="C83" s="12" t="s">
        <v>247</v>
      </c>
      <c r="D83" s="12" t="s">
        <v>38</v>
      </c>
      <c r="E83" s="13" t="s">
        <v>39</v>
      </c>
      <c r="F83" s="14" t="str">
        <f>_xlfn.XLOOKUP(B83,'[1]Synthese suivi modernisation'!A:A,'[1]Synthese suivi modernisation'!S:S)</f>
        <v>LOUGA</v>
      </c>
      <c r="G83" s="14" t="str">
        <f>_xlfn.XLOOKUP(B83,'[1]Synthese suivi modernisation'!A:A,'[1]Synthese suivi modernisation'!T:T)</f>
        <v>SAINT-LOUIS</v>
      </c>
      <c r="H83" s="20" t="s">
        <v>70</v>
      </c>
      <c r="I83" s="20" t="s">
        <v>71</v>
      </c>
      <c r="J83" s="16" t="s">
        <v>72</v>
      </c>
      <c r="K83" s="24">
        <v>6000</v>
      </c>
      <c r="L83" s="14">
        <v>8</v>
      </c>
      <c r="M83" s="17" t="s">
        <v>73</v>
      </c>
      <c r="N83" s="16" t="s">
        <v>74</v>
      </c>
      <c r="O83" s="16">
        <v>30</v>
      </c>
      <c r="P83" s="18">
        <v>0</v>
      </c>
      <c r="Q83" s="20"/>
      <c r="R83" s="20"/>
      <c r="S83" s="19">
        <v>0.8</v>
      </c>
      <c r="T83" s="20">
        <f t="shared" si="7"/>
        <v>33.333333333333329</v>
      </c>
      <c r="U83" s="20">
        <v>0.27</v>
      </c>
      <c r="V83" s="20">
        <f t="shared" si="8"/>
        <v>2.16</v>
      </c>
      <c r="W83" s="20"/>
      <c r="X83" s="20"/>
      <c r="Y83" s="20">
        <f t="shared" si="9"/>
        <v>0</v>
      </c>
      <c r="Z83" s="21">
        <f t="shared" si="10"/>
        <v>0</v>
      </c>
      <c r="AA83" s="20"/>
      <c r="AB83" s="20"/>
      <c r="AC83" s="20"/>
      <c r="AD83" s="20">
        <f t="shared" si="11"/>
        <v>0</v>
      </c>
      <c r="AE83" s="20"/>
      <c r="AF83" s="20"/>
      <c r="AG83" s="20"/>
      <c r="AH83" s="20"/>
      <c r="AI83" s="20">
        <f t="shared" si="12"/>
        <v>0</v>
      </c>
      <c r="AJ83" s="20"/>
    </row>
    <row r="84" spans="2:36">
      <c r="B84" s="11" t="s">
        <v>248</v>
      </c>
      <c r="C84" s="12" t="s">
        <v>249</v>
      </c>
      <c r="D84" s="12" t="s">
        <v>38</v>
      </c>
      <c r="E84" s="13" t="s">
        <v>39</v>
      </c>
      <c r="F84" s="14" t="str">
        <f>_xlfn.XLOOKUP(B84,'[1]Synthese suivi modernisation'!A:A,'[1]Synthese suivi modernisation'!S:S)</f>
        <v>BAKEL</v>
      </c>
      <c r="G84" s="14" t="str">
        <f>_xlfn.XLOOKUP(B84,'[1]Synthese suivi modernisation'!A:A,'[1]Synthese suivi modernisation'!T:T)</f>
        <v>SAINT-LOUIS</v>
      </c>
      <c r="H84" s="20" t="s">
        <v>70</v>
      </c>
      <c r="I84" s="20" t="s">
        <v>71</v>
      </c>
      <c r="J84" s="16" t="s">
        <v>72</v>
      </c>
      <c r="K84" s="24">
        <v>4000</v>
      </c>
      <c r="L84" s="14">
        <v>6</v>
      </c>
      <c r="M84" s="17" t="s">
        <v>73</v>
      </c>
      <c r="N84" s="16" t="s">
        <v>74</v>
      </c>
      <c r="O84" s="16">
        <v>30</v>
      </c>
      <c r="P84" s="18">
        <v>0</v>
      </c>
      <c r="Q84" s="20"/>
      <c r="R84" s="20"/>
      <c r="S84" s="19">
        <v>0.8</v>
      </c>
      <c r="T84" s="20">
        <f t="shared" si="7"/>
        <v>25</v>
      </c>
      <c r="U84" s="20">
        <v>0.27</v>
      </c>
      <c r="V84" s="20">
        <f t="shared" si="8"/>
        <v>1.62</v>
      </c>
      <c r="W84" s="20"/>
      <c r="X84" s="20"/>
      <c r="Y84" s="20">
        <f t="shared" si="9"/>
        <v>0</v>
      </c>
      <c r="Z84" s="21">
        <f t="shared" si="10"/>
        <v>0</v>
      </c>
      <c r="AA84" s="20"/>
      <c r="AB84" s="20"/>
      <c r="AC84" s="20"/>
      <c r="AD84" s="20">
        <f t="shared" si="11"/>
        <v>0</v>
      </c>
      <c r="AE84" s="20"/>
      <c r="AF84" s="20"/>
      <c r="AG84" s="20"/>
      <c r="AH84" s="20"/>
      <c r="AI84" s="20">
        <f t="shared" si="12"/>
        <v>0</v>
      </c>
      <c r="AJ84" s="20"/>
    </row>
    <row r="85" spans="2:36">
      <c r="B85" s="11" t="s">
        <v>250</v>
      </c>
      <c r="C85" s="12" t="s">
        <v>251</v>
      </c>
      <c r="D85" s="12" t="s">
        <v>38</v>
      </c>
      <c r="E85" s="13" t="s">
        <v>39</v>
      </c>
      <c r="F85" s="14" t="str">
        <f>_xlfn.XLOOKUP(B85,'[1]Synthese suivi modernisation'!A:A,'[1]Synthese suivi modernisation'!S:S)</f>
        <v>KAOLACK</v>
      </c>
      <c r="G85" s="14" t="str">
        <f>_xlfn.XLOOKUP(B85,'[1]Synthese suivi modernisation'!A:A,'[1]Synthese suivi modernisation'!T:T)</f>
        <v>KAOLACK</v>
      </c>
      <c r="H85" s="20" t="s">
        <v>70</v>
      </c>
      <c r="I85" s="20" t="s">
        <v>71</v>
      </c>
      <c r="J85" s="16" t="s">
        <v>70</v>
      </c>
      <c r="K85" s="24">
        <v>10000</v>
      </c>
      <c r="L85" s="14">
        <v>11</v>
      </c>
      <c r="M85" s="17" t="s">
        <v>73</v>
      </c>
      <c r="N85" s="16" t="s">
        <v>252</v>
      </c>
      <c r="O85" s="16">
        <v>50</v>
      </c>
      <c r="P85" s="18">
        <v>43.75</v>
      </c>
      <c r="Q85" s="20"/>
      <c r="R85" s="20"/>
      <c r="S85" s="19">
        <v>0.8</v>
      </c>
      <c r="T85" s="20">
        <f t="shared" si="7"/>
        <v>27.500000000000004</v>
      </c>
      <c r="U85" s="20">
        <v>0.27</v>
      </c>
      <c r="V85" s="20">
        <f t="shared" si="8"/>
        <v>2.97</v>
      </c>
      <c r="W85" s="20"/>
      <c r="X85" s="20"/>
      <c r="Y85" s="20">
        <f t="shared" si="9"/>
        <v>0</v>
      </c>
      <c r="Z85" s="21">
        <f t="shared" si="10"/>
        <v>-43.75</v>
      </c>
      <c r="AA85" s="20"/>
      <c r="AB85" s="20"/>
      <c r="AC85" s="20"/>
      <c r="AD85" s="20">
        <f t="shared" si="11"/>
        <v>0</v>
      </c>
      <c r="AE85" s="20"/>
      <c r="AF85" s="20"/>
      <c r="AG85" s="20"/>
      <c r="AH85" s="20"/>
      <c r="AI85" s="20">
        <f t="shared" si="12"/>
        <v>0</v>
      </c>
      <c r="AJ85" s="20"/>
    </row>
    <row r="86" spans="2:36">
      <c r="B86" s="11" t="s">
        <v>253</v>
      </c>
      <c r="C86" s="12" t="s">
        <v>254</v>
      </c>
      <c r="D86" s="12" t="s">
        <v>38</v>
      </c>
      <c r="E86" s="13" t="s">
        <v>39</v>
      </c>
      <c r="F86" s="14" t="str">
        <f>_xlfn.XLOOKUP(B86,'[1]Synthese suivi modernisation'!A:A,'[1]Synthese suivi modernisation'!S:S)</f>
        <v>GOUDIRY</v>
      </c>
      <c r="G86" s="14" t="str">
        <f>_xlfn.XLOOKUP(B86,'[1]Synthese suivi modernisation'!A:A,'[1]Synthese suivi modernisation'!T:T)</f>
        <v>TAMBACOUNDA</v>
      </c>
      <c r="H86" s="20" t="s">
        <v>70</v>
      </c>
      <c r="I86" s="20" t="s">
        <v>71</v>
      </c>
      <c r="J86" s="16" t="s">
        <v>70</v>
      </c>
      <c r="K86" s="24">
        <v>8000</v>
      </c>
      <c r="L86" s="14">
        <v>9</v>
      </c>
      <c r="M86" s="17" t="s">
        <v>73</v>
      </c>
      <c r="N86" s="16" t="s">
        <v>252</v>
      </c>
      <c r="O86" s="16">
        <v>50</v>
      </c>
      <c r="P86" s="18">
        <v>44</v>
      </c>
      <c r="Q86" s="20"/>
      <c r="R86" s="20"/>
      <c r="S86" s="19">
        <v>0.8</v>
      </c>
      <c r="T86" s="20">
        <f t="shared" si="7"/>
        <v>22.5</v>
      </c>
      <c r="U86" s="20">
        <v>0.27</v>
      </c>
      <c r="V86" s="20">
        <f t="shared" si="8"/>
        <v>2.4300000000000002</v>
      </c>
      <c r="W86" s="20"/>
      <c r="X86" s="20"/>
      <c r="Y86" s="20">
        <f t="shared" si="9"/>
        <v>0</v>
      </c>
      <c r="Z86" s="21">
        <f t="shared" si="10"/>
        <v>-44</v>
      </c>
      <c r="AA86" s="20"/>
      <c r="AB86" s="20"/>
      <c r="AC86" s="20"/>
      <c r="AD86" s="20">
        <f t="shared" si="11"/>
        <v>0</v>
      </c>
      <c r="AE86" s="20"/>
      <c r="AF86" s="20"/>
      <c r="AG86" s="20"/>
      <c r="AH86" s="20"/>
      <c r="AI86" s="20">
        <f t="shared" si="12"/>
        <v>0</v>
      </c>
      <c r="AJ86" s="20"/>
    </row>
    <row r="87" spans="2:36">
      <c r="B87" s="11" t="s">
        <v>255</v>
      </c>
      <c r="C87" s="12" t="s">
        <v>256</v>
      </c>
      <c r="D87" s="12" t="s">
        <v>38</v>
      </c>
      <c r="E87" s="13" t="s">
        <v>39</v>
      </c>
      <c r="F87" s="14" t="str">
        <f>_xlfn.XLOOKUP(B87,'[1]Synthese suivi modernisation'!A:A,'[1]Synthese suivi modernisation'!S:S)</f>
        <v>GOUDIRY</v>
      </c>
      <c r="G87" s="14" t="str">
        <f>_xlfn.XLOOKUP(B87,'[1]Synthese suivi modernisation'!A:A,'[1]Synthese suivi modernisation'!T:T)</f>
        <v>TAMBACOUNDA</v>
      </c>
      <c r="H87" s="20" t="s">
        <v>257</v>
      </c>
      <c r="I87" s="20" t="s">
        <v>143</v>
      </c>
      <c r="J87" s="23" t="s">
        <v>258</v>
      </c>
      <c r="K87" s="24">
        <v>6000</v>
      </c>
      <c r="L87" s="14">
        <v>5.5</v>
      </c>
      <c r="M87" s="17" t="s">
        <v>73</v>
      </c>
      <c r="N87" s="16" t="s">
        <v>259</v>
      </c>
      <c r="O87" s="16">
        <v>22</v>
      </c>
      <c r="P87" s="18">
        <v>47.166666666666664</v>
      </c>
      <c r="Q87" s="20"/>
      <c r="R87" s="20"/>
      <c r="S87" s="19">
        <v>0.8</v>
      </c>
      <c r="T87" s="20">
        <f t="shared" si="7"/>
        <v>31.25</v>
      </c>
      <c r="U87" s="20">
        <v>0.27</v>
      </c>
      <c r="V87" s="20">
        <f t="shared" si="8"/>
        <v>1.4850000000000001</v>
      </c>
      <c r="W87" s="20"/>
      <c r="X87" s="20"/>
      <c r="Y87" s="20">
        <f t="shared" si="9"/>
        <v>0</v>
      </c>
      <c r="Z87" s="21">
        <f t="shared" si="10"/>
        <v>-47.166666666666664</v>
      </c>
      <c r="AA87" s="20"/>
      <c r="AB87" s="20"/>
      <c r="AC87" s="20"/>
      <c r="AD87" s="20">
        <f t="shared" si="11"/>
        <v>0</v>
      </c>
      <c r="AE87" s="20"/>
      <c r="AF87" s="20"/>
      <c r="AG87" s="20"/>
      <c r="AH87" s="20"/>
      <c r="AI87" s="20">
        <f t="shared" si="12"/>
        <v>0</v>
      </c>
      <c r="AJ87" s="20"/>
    </row>
    <row r="88" spans="2:36">
      <c r="B88" s="11" t="s">
        <v>260</v>
      </c>
      <c r="C88" s="12" t="s">
        <v>261</v>
      </c>
      <c r="D88" s="12" t="s">
        <v>38</v>
      </c>
      <c r="E88" s="13" t="s">
        <v>39</v>
      </c>
      <c r="F88" s="14" t="str">
        <f>_xlfn.XLOOKUP(B88,'[1]Synthese suivi modernisation'!A:A,'[1]Synthese suivi modernisation'!S:S)</f>
        <v>ZIGUINCHOR</v>
      </c>
      <c r="G88" s="14" t="str">
        <f>_xlfn.XLOOKUP(B88,'[1]Synthese suivi modernisation'!A:A,'[1]Synthese suivi modernisation'!T:T)</f>
        <v>ZIGUINCHOR</v>
      </c>
      <c r="H88" s="20" t="s">
        <v>70</v>
      </c>
      <c r="I88" s="20" t="s">
        <v>71</v>
      </c>
      <c r="J88" s="16" t="s">
        <v>70</v>
      </c>
      <c r="K88" s="24">
        <v>8000</v>
      </c>
      <c r="L88" s="14">
        <v>9</v>
      </c>
      <c r="M88" s="17" t="s">
        <v>73</v>
      </c>
      <c r="N88" s="16" t="s">
        <v>252</v>
      </c>
      <c r="O88" s="16">
        <v>50</v>
      </c>
      <c r="P88" s="18">
        <v>46.5</v>
      </c>
      <c r="Q88" s="20"/>
      <c r="R88" s="20"/>
      <c r="S88" s="19">
        <v>0.8</v>
      </c>
      <c r="T88" s="20">
        <f t="shared" si="7"/>
        <v>22.5</v>
      </c>
      <c r="U88" s="20">
        <v>0.27</v>
      </c>
      <c r="V88" s="20">
        <f t="shared" si="8"/>
        <v>2.4300000000000002</v>
      </c>
      <c r="W88" s="20"/>
      <c r="X88" s="20"/>
      <c r="Y88" s="20">
        <f t="shared" si="9"/>
        <v>0</v>
      </c>
      <c r="Z88" s="21">
        <f t="shared" si="10"/>
        <v>-46.5</v>
      </c>
      <c r="AA88" s="20"/>
      <c r="AB88" s="20"/>
      <c r="AC88" s="20"/>
      <c r="AD88" s="20">
        <f t="shared" si="11"/>
        <v>0</v>
      </c>
      <c r="AE88" s="20"/>
      <c r="AF88" s="20"/>
      <c r="AG88" s="20"/>
      <c r="AH88" s="20"/>
      <c r="AI88" s="20">
        <f t="shared" si="12"/>
        <v>0</v>
      </c>
      <c r="AJ88" s="20"/>
    </row>
    <row r="89" spans="2:36">
      <c r="B89" s="11" t="s">
        <v>262</v>
      </c>
      <c r="C89" s="12" t="s">
        <v>263</v>
      </c>
      <c r="D89" s="12" t="s">
        <v>38</v>
      </c>
      <c r="E89" s="13" t="s">
        <v>39</v>
      </c>
      <c r="F89" s="14" t="str">
        <f>_xlfn.XLOOKUP(B89,'[1]Synthese suivi modernisation'!A:A,'[1]Synthese suivi modernisation'!S:S)</f>
        <v>MATAM</v>
      </c>
      <c r="G89" s="14" t="str">
        <f>_xlfn.XLOOKUP(B89,'[1]Synthese suivi modernisation'!A:A,'[1]Synthese suivi modernisation'!T:T)</f>
        <v>SAINT-LOUIS</v>
      </c>
      <c r="H89" s="20" t="s">
        <v>40</v>
      </c>
      <c r="I89" s="14" t="s">
        <v>41</v>
      </c>
      <c r="J89" s="16" t="s">
        <v>40</v>
      </c>
      <c r="K89" s="24">
        <v>3500</v>
      </c>
      <c r="L89" s="14">
        <v>3.5</v>
      </c>
      <c r="M89" s="17" t="s">
        <v>42</v>
      </c>
      <c r="N89" s="16" t="s">
        <v>85</v>
      </c>
      <c r="O89" s="16">
        <v>33</v>
      </c>
      <c r="P89" s="18">
        <v>221.5</v>
      </c>
      <c r="Q89" s="20"/>
      <c r="R89" s="20"/>
      <c r="S89" s="19">
        <v>0.8</v>
      </c>
      <c r="T89" s="20">
        <f t="shared" si="7"/>
        <v>13.257575757575758</v>
      </c>
      <c r="U89" s="20">
        <v>0.27</v>
      </c>
      <c r="V89" s="20">
        <f t="shared" si="8"/>
        <v>0.94500000000000006</v>
      </c>
      <c r="W89" s="20"/>
      <c r="X89" s="20"/>
      <c r="Y89" s="20">
        <f t="shared" si="9"/>
        <v>0</v>
      </c>
      <c r="Z89" s="21">
        <f t="shared" si="10"/>
        <v>-221.5</v>
      </c>
      <c r="AA89" s="20"/>
      <c r="AB89" s="20"/>
      <c r="AC89" s="20"/>
      <c r="AD89" s="20">
        <f t="shared" si="11"/>
        <v>0</v>
      </c>
      <c r="AE89" s="20"/>
      <c r="AF89" s="20"/>
      <c r="AG89" s="20"/>
      <c r="AH89" s="20"/>
      <c r="AI89" s="20">
        <f t="shared" si="12"/>
        <v>0</v>
      </c>
      <c r="AJ89" s="20"/>
    </row>
    <row r="90" spans="2:36">
      <c r="B90" s="11" t="s">
        <v>264</v>
      </c>
      <c r="C90" s="12" t="s">
        <v>265</v>
      </c>
      <c r="D90" s="12" t="s">
        <v>38</v>
      </c>
      <c r="E90" s="13" t="s">
        <v>39</v>
      </c>
      <c r="F90" s="14" t="str">
        <f>_xlfn.XLOOKUP(B90,'[1]Synthese suivi modernisation'!A:A,'[1]Synthese suivi modernisation'!S:S)</f>
        <v>LOUGA</v>
      </c>
      <c r="G90" s="14" t="str">
        <f>_xlfn.XLOOKUP(B90,'[1]Synthese suivi modernisation'!A:A,'[1]Synthese suivi modernisation'!T:T)</f>
        <v>SAINT-LOUIS</v>
      </c>
      <c r="H90" s="20" t="s">
        <v>70</v>
      </c>
      <c r="I90" s="20" t="s">
        <v>71</v>
      </c>
      <c r="J90" s="16" t="s">
        <v>72</v>
      </c>
      <c r="K90" s="24">
        <v>9000</v>
      </c>
      <c r="L90" s="14">
        <v>14</v>
      </c>
      <c r="M90" s="17" t="s">
        <v>73</v>
      </c>
      <c r="N90" s="16" t="s">
        <v>74</v>
      </c>
      <c r="O90" s="16">
        <v>30</v>
      </c>
      <c r="P90" s="18">
        <v>0</v>
      </c>
      <c r="Q90" s="20"/>
      <c r="R90" s="20"/>
      <c r="S90" s="19">
        <v>0.8</v>
      </c>
      <c r="T90" s="20">
        <f t="shared" si="7"/>
        <v>58.333333333333336</v>
      </c>
      <c r="U90" s="20">
        <v>0.27</v>
      </c>
      <c r="V90" s="20">
        <f t="shared" si="8"/>
        <v>3.7800000000000002</v>
      </c>
      <c r="W90" s="20"/>
      <c r="X90" s="20"/>
      <c r="Y90" s="20">
        <f t="shared" si="9"/>
        <v>0</v>
      </c>
      <c r="Z90" s="21">
        <f t="shared" si="10"/>
        <v>0</v>
      </c>
      <c r="AA90" s="20"/>
      <c r="AB90" s="20"/>
      <c r="AC90" s="20"/>
      <c r="AD90" s="20">
        <f t="shared" si="11"/>
        <v>0</v>
      </c>
      <c r="AE90" s="20"/>
      <c r="AF90" s="20"/>
      <c r="AG90" s="20"/>
      <c r="AH90" s="20"/>
      <c r="AI90" s="20">
        <f t="shared" si="12"/>
        <v>0</v>
      </c>
      <c r="AJ90" s="20"/>
    </row>
    <row r="91" spans="2:36">
      <c r="B91" s="11" t="s">
        <v>266</v>
      </c>
      <c r="C91" s="12" t="s">
        <v>267</v>
      </c>
      <c r="D91" s="12" t="s">
        <v>38</v>
      </c>
      <c r="E91" s="13" t="s">
        <v>39</v>
      </c>
      <c r="F91" s="14" t="str">
        <f>_xlfn.XLOOKUP(B91,'[1]Synthese suivi modernisation'!A:A,'[1]Synthese suivi modernisation'!S:S)</f>
        <v>KAOLACK</v>
      </c>
      <c r="G91" s="14" t="str">
        <f>_xlfn.XLOOKUP(B91,'[1]Synthese suivi modernisation'!A:A,'[1]Synthese suivi modernisation'!T:T)</f>
        <v>KAOLACK</v>
      </c>
      <c r="H91" s="20" t="s">
        <v>70</v>
      </c>
      <c r="I91" s="20" t="s">
        <v>71</v>
      </c>
      <c r="J91" s="16" t="s">
        <v>70</v>
      </c>
      <c r="K91" s="24">
        <v>9000</v>
      </c>
      <c r="L91" s="14">
        <v>9</v>
      </c>
      <c r="M91" s="17" t="s">
        <v>73</v>
      </c>
      <c r="N91" s="16" t="s">
        <v>252</v>
      </c>
      <c r="O91" s="16">
        <v>50</v>
      </c>
      <c r="P91" s="18">
        <v>37.25</v>
      </c>
      <c r="Q91" s="20"/>
      <c r="R91" s="20"/>
      <c r="S91" s="19">
        <v>0.8</v>
      </c>
      <c r="T91" s="20">
        <f t="shared" si="7"/>
        <v>22.5</v>
      </c>
      <c r="U91" s="20">
        <v>0.27</v>
      </c>
      <c r="V91" s="20">
        <f t="shared" si="8"/>
        <v>2.4300000000000002</v>
      </c>
      <c r="W91" s="20"/>
      <c r="X91" s="20"/>
      <c r="Y91" s="20">
        <f t="shared" si="9"/>
        <v>0</v>
      </c>
      <c r="Z91" s="21">
        <f t="shared" si="10"/>
        <v>-37.25</v>
      </c>
      <c r="AA91" s="20"/>
      <c r="AB91" s="20"/>
      <c r="AC91" s="20"/>
      <c r="AD91" s="20">
        <f t="shared" si="11"/>
        <v>0</v>
      </c>
      <c r="AE91" s="20"/>
      <c r="AF91" s="20"/>
      <c r="AG91" s="20"/>
      <c r="AH91" s="20"/>
      <c r="AI91" s="20">
        <f t="shared" si="12"/>
        <v>0</v>
      </c>
      <c r="AJ91" s="20"/>
    </row>
    <row r="92" spans="2:36">
      <c r="B92" s="11" t="s">
        <v>268</v>
      </c>
      <c r="C92" s="12" t="s">
        <v>269</v>
      </c>
      <c r="D92" s="12" t="s">
        <v>38</v>
      </c>
      <c r="E92" s="13" t="s">
        <v>39</v>
      </c>
      <c r="F92" s="14" t="str">
        <f>_xlfn.XLOOKUP(B92,'[1]Synthese suivi modernisation'!A:A,'[1]Synthese suivi modernisation'!S:S)</f>
        <v>TAMBA</v>
      </c>
      <c r="G92" s="14" t="str">
        <f>_xlfn.XLOOKUP(B92,'[1]Synthese suivi modernisation'!A:A,'[1]Synthese suivi modernisation'!T:T)</f>
        <v>TAMBACOUNDA</v>
      </c>
      <c r="H92" s="20" t="s">
        <v>40</v>
      </c>
      <c r="I92" s="14" t="s">
        <v>41</v>
      </c>
      <c r="J92" s="16" t="s">
        <v>40</v>
      </c>
      <c r="K92" s="24">
        <v>3500</v>
      </c>
      <c r="L92" s="14">
        <v>3</v>
      </c>
      <c r="M92" s="17" t="s">
        <v>42</v>
      </c>
      <c r="N92" s="16" t="s">
        <v>48</v>
      </c>
      <c r="O92" s="16">
        <v>22</v>
      </c>
      <c r="P92" s="18">
        <v>278.58333333333331</v>
      </c>
      <c r="Q92" s="20"/>
      <c r="R92" s="20"/>
      <c r="S92" s="19">
        <v>0.8</v>
      </c>
      <c r="T92" s="20">
        <f t="shared" si="7"/>
        <v>17.045454545454543</v>
      </c>
      <c r="U92" s="20">
        <v>0.27</v>
      </c>
      <c r="V92" s="20">
        <f t="shared" si="8"/>
        <v>0.81</v>
      </c>
      <c r="W92" s="20"/>
      <c r="X92" s="20"/>
      <c r="Y92" s="20">
        <f t="shared" si="9"/>
        <v>0</v>
      </c>
      <c r="Z92" s="21">
        <f t="shared" si="10"/>
        <v>-278.58333333333331</v>
      </c>
      <c r="AA92" s="20"/>
      <c r="AB92" s="20"/>
      <c r="AC92" s="20"/>
      <c r="AD92" s="20">
        <f t="shared" si="11"/>
        <v>0</v>
      </c>
      <c r="AE92" s="20"/>
      <c r="AF92" s="20"/>
      <c r="AG92" s="20"/>
      <c r="AH92" s="20"/>
      <c r="AI92" s="20">
        <f t="shared" si="12"/>
        <v>0</v>
      </c>
      <c r="AJ92" s="20"/>
    </row>
    <row r="93" spans="2:36">
      <c r="B93" s="11" t="s">
        <v>270</v>
      </c>
      <c r="C93" s="12" t="s">
        <v>271</v>
      </c>
      <c r="D93" s="12" t="s">
        <v>38</v>
      </c>
      <c r="E93" s="13" t="s">
        <v>39</v>
      </c>
      <c r="F93" s="14" t="str">
        <f>_xlfn.XLOOKUP(B93,'[1]Synthese suivi modernisation'!A:A,'[1]Synthese suivi modernisation'!S:S)</f>
        <v>KEDOUGOU</v>
      </c>
      <c r="G93" s="14" t="str">
        <f>_xlfn.XLOOKUP(B93,'[1]Synthese suivi modernisation'!A:A,'[1]Synthese suivi modernisation'!T:T)</f>
        <v>TAMBACOUNDA</v>
      </c>
      <c r="H93" s="20" t="s">
        <v>40</v>
      </c>
      <c r="I93" s="14" t="s">
        <v>41</v>
      </c>
      <c r="J93" s="16" t="s">
        <v>40</v>
      </c>
      <c r="K93" s="24">
        <v>2250</v>
      </c>
      <c r="L93" s="14">
        <v>3.5</v>
      </c>
      <c r="M93" s="17" t="s">
        <v>42</v>
      </c>
      <c r="N93" s="16" t="s">
        <v>80</v>
      </c>
      <c r="O93" s="16">
        <v>33</v>
      </c>
      <c r="P93" s="18">
        <v>221.5</v>
      </c>
      <c r="Q93" s="20"/>
      <c r="R93" s="20"/>
      <c r="S93" s="19">
        <v>0.8</v>
      </c>
      <c r="T93" s="20">
        <f t="shared" si="7"/>
        <v>13.257575757575758</v>
      </c>
      <c r="U93" s="20">
        <v>0.27</v>
      </c>
      <c r="V93" s="20">
        <f t="shared" si="8"/>
        <v>0.94500000000000006</v>
      </c>
      <c r="W93" s="20"/>
      <c r="X93" s="20"/>
      <c r="Y93" s="20">
        <f t="shared" si="9"/>
        <v>0</v>
      </c>
      <c r="Z93" s="21">
        <f t="shared" si="10"/>
        <v>-221.5</v>
      </c>
      <c r="AA93" s="20"/>
      <c r="AB93" s="20"/>
      <c r="AC93" s="20"/>
      <c r="AD93" s="20">
        <f t="shared" si="11"/>
        <v>0</v>
      </c>
      <c r="AE93" s="20"/>
      <c r="AF93" s="20"/>
      <c r="AG93" s="20"/>
      <c r="AH93" s="20"/>
      <c r="AI93" s="20">
        <f t="shared" si="12"/>
        <v>0</v>
      </c>
      <c r="AJ93" s="20"/>
    </row>
    <row r="94" spans="2:36">
      <c r="B94" s="11" t="s">
        <v>272</v>
      </c>
      <c r="C94" s="12" t="s">
        <v>273</v>
      </c>
      <c r="D94" s="12" t="s">
        <v>38</v>
      </c>
      <c r="E94" s="13" t="s">
        <v>39</v>
      </c>
      <c r="F94" s="14" t="str">
        <f>_xlfn.XLOOKUP(B94,'[1]Synthese suivi modernisation'!A:A,'[1]Synthese suivi modernisation'!S:S)</f>
        <v>MBOUR</v>
      </c>
      <c r="G94" s="14" t="str">
        <f>_xlfn.XLOOKUP(B94,'[1]Synthese suivi modernisation'!A:A,'[1]Synthese suivi modernisation'!T:T)</f>
        <v>THIES</v>
      </c>
      <c r="H94" s="20" t="s">
        <v>70</v>
      </c>
      <c r="I94" s="20" t="s">
        <v>71</v>
      </c>
      <c r="J94" s="16" t="s">
        <v>70</v>
      </c>
      <c r="K94" s="24">
        <v>12000</v>
      </c>
      <c r="L94" s="14">
        <v>12</v>
      </c>
      <c r="M94" s="17" t="s">
        <v>73</v>
      </c>
      <c r="N94" s="16" t="s">
        <v>196</v>
      </c>
      <c r="O94" s="16">
        <v>60</v>
      </c>
      <c r="P94" s="18">
        <v>71.583333333333329</v>
      </c>
      <c r="Q94" s="20"/>
      <c r="R94" s="20"/>
      <c r="S94" s="19">
        <v>0.8</v>
      </c>
      <c r="T94" s="20">
        <f t="shared" si="7"/>
        <v>25</v>
      </c>
      <c r="U94" s="20">
        <v>0.27</v>
      </c>
      <c r="V94" s="20">
        <f t="shared" si="8"/>
        <v>3.24</v>
      </c>
      <c r="W94" s="20"/>
      <c r="X94" s="20"/>
      <c r="Y94" s="20">
        <f t="shared" si="9"/>
        <v>0</v>
      </c>
      <c r="Z94" s="21">
        <f t="shared" si="10"/>
        <v>-71.583333333333329</v>
      </c>
      <c r="AA94" s="20"/>
      <c r="AB94" s="20"/>
      <c r="AC94" s="20"/>
      <c r="AD94" s="20">
        <f t="shared" si="11"/>
        <v>0</v>
      </c>
      <c r="AE94" s="20"/>
      <c r="AF94" s="20"/>
      <c r="AG94" s="20"/>
      <c r="AH94" s="20"/>
      <c r="AI94" s="20">
        <f t="shared" si="12"/>
        <v>0</v>
      </c>
      <c r="AJ94" s="20"/>
    </row>
    <row r="95" spans="2:36">
      <c r="B95" s="11" t="s">
        <v>274</v>
      </c>
      <c r="C95" s="12" t="s">
        <v>275</v>
      </c>
      <c r="D95" s="12" t="s">
        <v>38</v>
      </c>
      <c r="E95" s="13" t="s">
        <v>39</v>
      </c>
      <c r="F95" s="14" t="str">
        <f>_xlfn.XLOOKUP(B95,'[1]Synthese suivi modernisation'!A:A,'[1]Synthese suivi modernisation'!S:S)</f>
        <v>KAFFRINE</v>
      </c>
      <c r="G95" s="14" t="str">
        <f>_xlfn.XLOOKUP(B95,'[1]Synthese suivi modernisation'!A:A,'[1]Synthese suivi modernisation'!T:T)</f>
        <v>KAOLACK</v>
      </c>
      <c r="H95" s="20" t="s">
        <v>70</v>
      </c>
      <c r="I95" s="20" t="s">
        <v>71</v>
      </c>
      <c r="J95" s="16" t="s">
        <v>70</v>
      </c>
      <c r="K95" s="24">
        <v>15000</v>
      </c>
      <c r="L95" s="14">
        <v>8</v>
      </c>
      <c r="M95" s="17" t="s">
        <v>73</v>
      </c>
      <c r="N95" s="16" t="s">
        <v>67</v>
      </c>
      <c r="O95" s="16">
        <v>50</v>
      </c>
      <c r="P95" s="18">
        <v>36.916666666666664</v>
      </c>
      <c r="Q95" s="20"/>
      <c r="R95" s="20"/>
      <c r="S95" s="19">
        <v>0.8</v>
      </c>
      <c r="T95" s="20">
        <f t="shared" si="7"/>
        <v>20</v>
      </c>
      <c r="U95" s="20">
        <v>0.27</v>
      </c>
      <c r="V95" s="20">
        <f t="shared" si="8"/>
        <v>2.16</v>
      </c>
      <c r="W95" s="20"/>
      <c r="X95" s="20"/>
      <c r="Y95" s="20">
        <f t="shared" si="9"/>
        <v>0</v>
      </c>
      <c r="Z95" s="21">
        <f t="shared" si="10"/>
        <v>-36.916666666666664</v>
      </c>
      <c r="AA95" s="20"/>
      <c r="AB95" s="20"/>
      <c r="AC95" s="20"/>
      <c r="AD95" s="20">
        <f t="shared" si="11"/>
        <v>0</v>
      </c>
      <c r="AE95" s="20"/>
      <c r="AF95" s="20"/>
      <c r="AG95" s="20"/>
      <c r="AH95" s="20"/>
      <c r="AI95" s="20">
        <f t="shared" si="12"/>
        <v>0</v>
      </c>
      <c r="AJ95" s="20"/>
    </row>
    <row r="96" spans="2:36">
      <c r="B96" s="11" t="s">
        <v>276</v>
      </c>
      <c r="C96" s="12" t="s">
        <v>277</v>
      </c>
      <c r="D96" s="12" t="s">
        <v>38</v>
      </c>
      <c r="E96" s="13" t="s">
        <v>39</v>
      </c>
      <c r="F96" s="14" t="str">
        <f>_xlfn.XLOOKUP(B96,'[1]Synthese suivi modernisation'!A:A,'[1]Synthese suivi modernisation'!S:S)</f>
        <v>ZIGUINCHOR</v>
      </c>
      <c r="G96" s="14" t="str">
        <f>_xlfn.XLOOKUP(B96,'[1]Synthese suivi modernisation'!A:A,'[1]Synthese suivi modernisation'!T:T)</f>
        <v>ZIGUINCHOR</v>
      </c>
      <c r="H96" s="20" t="s">
        <v>166</v>
      </c>
      <c r="I96" s="14" t="s">
        <v>41</v>
      </c>
      <c r="J96" s="16" t="s">
        <v>166</v>
      </c>
      <c r="K96" s="24">
        <v>4500</v>
      </c>
      <c r="L96" s="14">
        <v>5</v>
      </c>
      <c r="M96" s="17" t="s">
        <v>42</v>
      </c>
      <c r="N96" s="16" t="s">
        <v>48</v>
      </c>
      <c r="O96" s="16">
        <v>22</v>
      </c>
      <c r="P96" s="18">
        <v>452.83333333333331</v>
      </c>
      <c r="Q96" s="20"/>
      <c r="R96" s="20"/>
      <c r="S96" s="19">
        <v>0.8</v>
      </c>
      <c r="T96" s="20">
        <f t="shared" si="7"/>
        <v>28.409090909090907</v>
      </c>
      <c r="U96" s="20">
        <v>0.27</v>
      </c>
      <c r="V96" s="20">
        <f t="shared" si="8"/>
        <v>1.35</v>
      </c>
      <c r="W96" s="20"/>
      <c r="X96" s="20"/>
      <c r="Y96" s="20">
        <f t="shared" si="9"/>
        <v>0</v>
      </c>
      <c r="Z96" s="21">
        <f t="shared" si="10"/>
        <v>-452.83333333333331</v>
      </c>
      <c r="AA96" s="20"/>
      <c r="AB96" s="20"/>
      <c r="AC96" s="20"/>
      <c r="AD96" s="20">
        <f t="shared" si="11"/>
        <v>0</v>
      </c>
      <c r="AE96" s="20"/>
      <c r="AF96" s="20"/>
      <c r="AG96" s="20"/>
      <c r="AH96" s="20"/>
      <c r="AI96" s="20">
        <f t="shared" si="12"/>
        <v>0</v>
      </c>
      <c r="AJ96" s="20"/>
    </row>
    <row r="97" spans="2:36">
      <c r="B97" s="11" t="s">
        <v>278</v>
      </c>
      <c r="C97" s="12" t="s">
        <v>279</v>
      </c>
      <c r="D97" s="12" t="s">
        <v>38</v>
      </c>
      <c r="E97" s="13" t="s">
        <v>39</v>
      </c>
      <c r="F97" s="14" t="str">
        <f>_xlfn.XLOOKUP(B97,'[1]Synthese suivi modernisation'!A:A,'[1]Synthese suivi modernisation'!S:S)</f>
        <v>THIES</v>
      </c>
      <c r="G97" s="14" t="str">
        <f>_xlfn.XLOOKUP(B97,'[1]Synthese suivi modernisation'!A:A,'[1]Synthese suivi modernisation'!T:T)</f>
        <v>THIES</v>
      </c>
      <c r="H97" s="20" t="s">
        <v>66</v>
      </c>
      <c r="I97" s="14" t="s">
        <v>41</v>
      </c>
      <c r="J97" s="16" t="s">
        <v>66</v>
      </c>
      <c r="K97" s="24">
        <v>5000</v>
      </c>
      <c r="L97" s="14">
        <v>8</v>
      </c>
      <c r="M97" s="17" t="s">
        <v>42</v>
      </c>
      <c r="N97" s="16" t="s">
        <v>67</v>
      </c>
      <c r="O97" s="16">
        <v>50</v>
      </c>
      <c r="P97" s="18">
        <v>1386.75</v>
      </c>
      <c r="Q97" s="20"/>
      <c r="R97" s="20"/>
      <c r="S97" s="19">
        <v>0.8</v>
      </c>
      <c r="T97" s="20">
        <f t="shared" si="7"/>
        <v>20</v>
      </c>
      <c r="U97" s="20">
        <v>0.27</v>
      </c>
      <c r="V97" s="20">
        <f t="shared" si="8"/>
        <v>2.16</v>
      </c>
      <c r="W97" s="20"/>
      <c r="X97" s="20"/>
      <c r="Y97" s="20">
        <f t="shared" si="9"/>
        <v>0</v>
      </c>
      <c r="Z97" s="21">
        <f t="shared" si="10"/>
        <v>-1386.75</v>
      </c>
      <c r="AA97" s="20"/>
      <c r="AB97" s="20"/>
      <c r="AC97" s="20"/>
      <c r="AD97" s="20">
        <f t="shared" si="11"/>
        <v>0</v>
      </c>
      <c r="AE97" s="20"/>
      <c r="AF97" s="20"/>
      <c r="AG97" s="20"/>
      <c r="AH97" s="20"/>
      <c r="AI97" s="20">
        <f t="shared" si="12"/>
        <v>0</v>
      </c>
      <c r="AJ97" s="20"/>
    </row>
    <row r="98" spans="2:36">
      <c r="B98" s="11" t="s">
        <v>280</v>
      </c>
      <c r="C98" s="12" t="s">
        <v>281</v>
      </c>
      <c r="D98" s="12" t="s">
        <v>38</v>
      </c>
      <c r="E98" s="13" t="s">
        <v>39</v>
      </c>
      <c r="F98" s="14" t="str">
        <f>_xlfn.XLOOKUP(B98,'[1]Synthese suivi modernisation'!A:A,'[1]Synthese suivi modernisation'!S:S)</f>
        <v>VELINGARA</v>
      </c>
      <c r="G98" s="14" t="str">
        <f>_xlfn.XLOOKUP(B98,'[1]Synthese suivi modernisation'!A:A,'[1]Synthese suivi modernisation'!T:T)</f>
        <v>ZIGUINCHOR</v>
      </c>
      <c r="H98" s="20" t="s">
        <v>40</v>
      </c>
      <c r="I98" s="14" t="s">
        <v>41</v>
      </c>
      <c r="J98" s="23" t="s">
        <v>40</v>
      </c>
      <c r="K98" s="24">
        <v>1250</v>
      </c>
      <c r="L98" s="14">
        <v>3.5</v>
      </c>
      <c r="M98" s="17" t="s">
        <v>42</v>
      </c>
      <c r="N98" s="16" t="s">
        <v>67</v>
      </c>
      <c r="O98" s="16">
        <v>50</v>
      </c>
      <c r="P98" s="18">
        <v>194.83333333333334</v>
      </c>
      <c r="Q98" s="20"/>
      <c r="R98" s="20"/>
      <c r="S98" s="19">
        <v>0.8</v>
      </c>
      <c r="T98" s="20">
        <f t="shared" si="7"/>
        <v>8.75</v>
      </c>
      <c r="U98" s="20">
        <v>0.27</v>
      </c>
      <c r="V98" s="20">
        <f t="shared" si="8"/>
        <v>0.94500000000000006</v>
      </c>
      <c r="W98" s="20"/>
      <c r="X98" s="20"/>
      <c r="Y98" s="20">
        <f t="shared" si="9"/>
        <v>0</v>
      </c>
      <c r="Z98" s="21">
        <f t="shared" si="10"/>
        <v>-194.83333333333334</v>
      </c>
      <c r="AA98" s="20"/>
      <c r="AB98" s="20"/>
      <c r="AC98" s="20"/>
      <c r="AD98" s="20">
        <f t="shared" si="11"/>
        <v>0</v>
      </c>
      <c r="AE98" s="20"/>
      <c r="AF98" s="20"/>
      <c r="AG98" s="20"/>
      <c r="AH98" s="20"/>
      <c r="AI98" s="20">
        <f t="shared" si="12"/>
        <v>0</v>
      </c>
      <c r="AJ98" s="20"/>
    </row>
    <row r="99" spans="2:36">
      <c r="B99" s="11" t="s">
        <v>282</v>
      </c>
      <c r="C99" s="12" t="s">
        <v>283</v>
      </c>
      <c r="D99" s="12" t="s">
        <v>38</v>
      </c>
      <c r="E99" s="13" t="s">
        <v>39</v>
      </c>
      <c r="F99" s="14" t="str">
        <f>_xlfn.XLOOKUP(B99,'[1]Synthese suivi modernisation'!A:A,'[1]Synthese suivi modernisation'!S:S)</f>
        <v>MATAM</v>
      </c>
      <c r="G99" s="14" t="str">
        <f>_xlfn.XLOOKUP(B99,'[1]Synthese suivi modernisation'!A:A,'[1]Synthese suivi modernisation'!T:T)</f>
        <v>SAINT-LOUIS</v>
      </c>
      <c r="H99" s="20" t="s">
        <v>142</v>
      </c>
      <c r="I99" s="20" t="s">
        <v>71</v>
      </c>
      <c r="J99" s="16" t="s">
        <v>72</v>
      </c>
      <c r="K99" s="24">
        <v>8000</v>
      </c>
      <c r="L99" s="14">
        <v>8</v>
      </c>
      <c r="M99" s="17" t="s">
        <v>73</v>
      </c>
      <c r="N99" s="16" t="s">
        <v>96</v>
      </c>
      <c r="O99" s="16">
        <v>22</v>
      </c>
      <c r="P99" s="18">
        <v>0</v>
      </c>
      <c r="Q99" s="20"/>
      <c r="R99" s="20"/>
      <c r="S99" s="19">
        <v>0.8</v>
      </c>
      <c r="T99" s="20">
        <f t="shared" si="7"/>
        <v>45.454545454545453</v>
      </c>
      <c r="U99" s="20">
        <v>0.27</v>
      </c>
      <c r="V99" s="20">
        <f t="shared" si="8"/>
        <v>2.16</v>
      </c>
      <c r="W99" s="20"/>
      <c r="X99" s="20"/>
      <c r="Y99" s="20">
        <f t="shared" si="9"/>
        <v>0</v>
      </c>
      <c r="Z99" s="21">
        <f t="shared" si="10"/>
        <v>0</v>
      </c>
      <c r="AA99" s="20"/>
      <c r="AB99" s="20"/>
      <c r="AC99" s="20"/>
      <c r="AD99" s="20">
        <f t="shared" si="11"/>
        <v>0</v>
      </c>
      <c r="AE99" s="20"/>
      <c r="AF99" s="20"/>
      <c r="AG99" s="20"/>
      <c r="AH99" s="20"/>
      <c r="AI99" s="20">
        <f t="shared" si="12"/>
        <v>0</v>
      </c>
      <c r="AJ99" s="20"/>
    </row>
    <row r="100" spans="2:36">
      <c r="B100" s="11" t="s">
        <v>284</v>
      </c>
      <c r="C100" s="12" t="s">
        <v>285</v>
      </c>
      <c r="D100" s="12" t="s">
        <v>38</v>
      </c>
      <c r="E100" s="13" t="s">
        <v>39</v>
      </c>
      <c r="F100" s="14" t="str">
        <f>_xlfn.XLOOKUP(B100,'[1]Synthese suivi modernisation'!A:A,'[1]Synthese suivi modernisation'!S:S)</f>
        <v>SOKONE</v>
      </c>
      <c r="G100" s="14" t="str">
        <f>_xlfn.XLOOKUP(B100,'[1]Synthese suivi modernisation'!A:A,'[1]Synthese suivi modernisation'!T:T)</f>
        <v>KAOLACK</v>
      </c>
      <c r="H100" s="20" t="s">
        <v>70</v>
      </c>
      <c r="I100" s="20" t="s">
        <v>71</v>
      </c>
      <c r="J100" s="16" t="s">
        <v>70</v>
      </c>
      <c r="K100" s="24">
        <v>9000</v>
      </c>
      <c r="L100" s="14">
        <v>14</v>
      </c>
      <c r="M100" s="17" t="s">
        <v>73</v>
      </c>
      <c r="N100" s="16" t="s">
        <v>63</v>
      </c>
      <c r="O100" s="16">
        <v>30</v>
      </c>
      <c r="P100" s="18">
        <v>87.75</v>
      </c>
      <c r="Q100" s="20"/>
      <c r="R100" s="20"/>
      <c r="S100" s="19">
        <v>0.8</v>
      </c>
      <c r="T100" s="20">
        <f t="shared" si="7"/>
        <v>58.333333333333336</v>
      </c>
      <c r="U100" s="20">
        <v>0.27</v>
      </c>
      <c r="V100" s="20">
        <f t="shared" si="8"/>
        <v>3.7800000000000002</v>
      </c>
      <c r="W100" s="20"/>
      <c r="X100" s="20"/>
      <c r="Y100" s="20">
        <f t="shared" si="9"/>
        <v>0</v>
      </c>
      <c r="Z100" s="21">
        <f t="shared" si="10"/>
        <v>-87.75</v>
      </c>
      <c r="AA100" s="20"/>
      <c r="AB100" s="20"/>
      <c r="AC100" s="20"/>
      <c r="AD100" s="20">
        <f t="shared" si="11"/>
        <v>0</v>
      </c>
      <c r="AE100" s="20"/>
      <c r="AF100" s="20"/>
      <c r="AG100" s="20"/>
      <c r="AH100" s="20"/>
      <c r="AI100" s="20">
        <f t="shared" si="12"/>
        <v>0</v>
      </c>
      <c r="AJ100" s="20"/>
    </row>
    <row r="101" spans="2:36">
      <c r="B101" s="11" t="s">
        <v>286</v>
      </c>
      <c r="C101" s="12" t="s">
        <v>287</v>
      </c>
      <c r="D101" s="12" t="s">
        <v>38</v>
      </c>
      <c r="E101" s="13" t="s">
        <v>39</v>
      </c>
      <c r="F101" s="14" t="str">
        <f>_xlfn.XLOOKUP(B101,'[1]Synthese suivi modernisation'!A:A,'[1]Synthese suivi modernisation'!S:S)</f>
        <v>KOLDA</v>
      </c>
      <c r="G101" s="14" t="str">
        <f>_xlfn.XLOOKUP(B101,'[1]Synthese suivi modernisation'!A:A,'[1]Synthese suivi modernisation'!T:T)</f>
        <v>ZIGUINCHOR</v>
      </c>
      <c r="H101" s="20" t="s">
        <v>40</v>
      </c>
      <c r="I101" s="14" t="s">
        <v>41</v>
      </c>
      <c r="J101" s="23" t="s">
        <v>40</v>
      </c>
      <c r="K101" s="24">
        <v>2000</v>
      </c>
      <c r="L101" s="14">
        <v>3.5</v>
      </c>
      <c r="M101" s="17" t="s">
        <v>42</v>
      </c>
      <c r="N101" s="16" t="s">
        <v>67</v>
      </c>
      <c r="O101" s="16">
        <v>50</v>
      </c>
      <c r="P101" s="18">
        <v>194.83333333333334</v>
      </c>
      <c r="Q101" s="20"/>
      <c r="R101" s="20"/>
      <c r="S101" s="19">
        <v>0.8</v>
      </c>
      <c r="T101" s="20">
        <f t="shared" si="7"/>
        <v>8.75</v>
      </c>
      <c r="U101" s="20">
        <v>0.27</v>
      </c>
      <c r="V101" s="20">
        <f t="shared" si="8"/>
        <v>0.94500000000000006</v>
      </c>
      <c r="W101" s="20"/>
      <c r="X101" s="20"/>
      <c r="Y101" s="20">
        <f t="shared" si="9"/>
        <v>0</v>
      </c>
      <c r="Z101" s="21">
        <f t="shared" si="10"/>
        <v>-194.83333333333334</v>
      </c>
      <c r="AA101" s="20"/>
      <c r="AB101" s="20"/>
      <c r="AC101" s="20"/>
      <c r="AD101" s="20">
        <f t="shared" si="11"/>
        <v>0</v>
      </c>
      <c r="AE101" s="20"/>
      <c r="AF101" s="20"/>
      <c r="AG101" s="20"/>
      <c r="AH101" s="20"/>
      <c r="AI101" s="20">
        <f t="shared" si="12"/>
        <v>0</v>
      </c>
      <c r="AJ101" s="20"/>
    </row>
    <row r="102" spans="2:36">
      <c r="B102" s="11" t="s">
        <v>288</v>
      </c>
      <c r="C102" s="12" t="s">
        <v>289</v>
      </c>
      <c r="D102" s="12" t="s">
        <v>38</v>
      </c>
      <c r="E102" s="13" t="s">
        <v>39</v>
      </c>
      <c r="F102" s="14" t="str">
        <f>_xlfn.XLOOKUP(B102,'[1]Synthese suivi modernisation'!A:A,'[1]Synthese suivi modernisation'!S:S)</f>
        <v>THIES</v>
      </c>
      <c r="G102" s="14" t="str">
        <f>_xlfn.XLOOKUP(B102,'[1]Synthese suivi modernisation'!A:A,'[1]Synthese suivi modernisation'!T:T)</f>
        <v>THIES</v>
      </c>
      <c r="H102" s="20" t="s">
        <v>70</v>
      </c>
      <c r="I102" s="20" t="s">
        <v>71</v>
      </c>
      <c r="J102" s="16" t="s">
        <v>70</v>
      </c>
      <c r="K102" s="24">
        <v>9000</v>
      </c>
      <c r="L102" s="14">
        <v>7</v>
      </c>
      <c r="M102" s="17" t="s">
        <v>73</v>
      </c>
      <c r="N102" s="16" t="s">
        <v>101</v>
      </c>
      <c r="O102" s="16">
        <v>50</v>
      </c>
      <c r="P102" s="18">
        <v>33</v>
      </c>
      <c r="Q102" s="20"/>
      <c r="R102" s="20"/>
      <c r="S102" s="19">
        <v>0.8</v>
      </c>
      <c r="T102" s="20">
        <f t="shared" si="7"/>
        <v>17.5</v>
      </c>
      <c r="U102" s="20">
        <v>0.27</v>
      </c>
      <c r="V102" s="20">
        <f t="shared" si="8"/>
        <v>1.8900000000000001</v>
      </c>
      <c r="W102" s="20"/>
      <c r="X102" s="20"/>
      <c r="Y102" s="20">
        <f t="shared" si="9"/>
        <v>0</v>
      </c>
      <c r="Z102" s="21">
        <f t="shared" si="10"/>
        <v>-33</v>
      </c>
      <c r="AA102" s="20"/>
      <c r="AB102" s="20"/>
      <c r="AC102" s="20"/>
      <c r="AD102" s="20">
        <f t="shared" si="11"/>
        <v>0</v>
      </c>
      <c r="AE102" s="20"/>
      <c r="AF102" s="20"/>
      <c r="AG102" s="20"/>
      <c r="AH102" s="20"/>
      <c r="AI102" s="20">
        <f t="shared" si="12"/>
        <v>0</v>
      </c>
      <c r="AJ102" s="20"/>
    </row>
    <row r="103" spans="2:36">
      <c r="B103" s="11" t="s">
        <v>290</v>
      </c>
      <c r="C103" s="12" t="s">
        <v>291</v>
      </c>
      <c r="D103" s="12" t="s">
        <v>38</v>
      </c>
      <c r="E103" s="13" t="s">
        <v>39</v>
      </c>
      <c r="F103" s="14" t="str">
        <f>_xlfn.XLOOKUP(B103,'[1]Synthese suivi modernisation'!A:A,'[1]Synthese suivi modernisation'!S:S)</f>
        <v>LOUGA</v>
      </c>
      <c r="G103" s="14" t="str">
        <f>_xlfn.XLOOKUP(B103,'[1]Synthese suivi modernisation'!A:A,'[1]Synthese suivi modernisation'!T:T)</f>
        <v>SAINT-LOUIS</v>
      </c>
      <c r="H103" s="20" t="s">
        <v>292</v>
      </c>
      <c r="I103" s="20" t="s">
        <v>71</v>
      </c>
      <c r="J103" s="16" t="s">
        <v>292</v>
      </c>
      <c r="K103" s="24">
        <v>6000</v>
      </c>
      <c r="L103" s="14">
        <v>10</v>
      </c>
      <c r="M103" s="17" t="s">
        <v>73</v>
      </c>
      <c r="N103" s="16" t="s">
        <v>43</v>
      </c>
      <c r="O103" s="16">
        <v>30</v>
      </c>
      <c r="P103" s="18">
        <v>77.666666666666671</v>
      </c>
      <c r="Q103" s="20"/>
      <c r="R103" s="20"/>
      <c r="S103" s="19">
        <v>0.8</v>
      </c>
      <c r="T103" s="20">
        <f t="shared" si="7"/>
        <v>41.666666666666671</v>
      </c>
      <c r="U103" s="20">
        <v>0.27</v>
      </c>
      <c r="V103" s="20">
        <f t="shared" si="8"/>
        <v>2.7</v>
      </c>
      <c r="W103" s="20"/>
      <c r="X103" s="20"/>
      <c r="Y103" s="20">
        <f t="shared" si="9"/>
        <v>0</v>
      </c>
      <c r="Z103" s="21">
        <f t="shared" si="10"/>
        <v>-77.666666666666671</v>
      </c>
      <c r="AA103" s="20"/>
      <c r="AB103" s="20"/>
      <c r="AC103" s="20"/>
      <c r="AD103" s="20">
        <f t="shared" si="11"/>
        <v>0</v>
      </c>
      <c r="AE103" s="20"/>
      <c r="AF103" s="20"/>
      <c r="AG103" s="20"/>
      <c r="AH103" s="20"/>
      <c r="AI103" s="20">
        <f t="shared" si="12"/>
        <v>0</v>
      </c>
      <c r="AJ103" s="20"/>
    </row>
    <row r="104" spans="2:36">
      <c r="B104" s="11" t="s">
        <v>293</v>
      </c>
      <c r="C104" s="12" t="s">
        <v>294</v>
      </c>
      <c r="D104" s="12" t="s">
        <v>38</v>
      </c>
      <c r="E104" s="13" t="s">
        <v>39</v>
      </c>
      <c r="F104" s="14" t="str">
        <f>_xlfn.XLOOKUP(B104,'[1]Synthese suivi modernisation'!A:A,'[1]Synthese suivi modernisation'!S:S)</f>
        <v>LOUGA</v>
      </c>
      <c r="G104" s="14" t="str">
        <f>_xlfn.XLOOKUP(B104,'[1]Synthese suivi modernisation'!A:A,'[1]Synthese suivi modernisation'!T:T)</f>
        <v>SAINT-LOUIS</v>
      </c>
      <c r="H104" s="20" t="s">
        <v>70</v>
      </c>
      <c r="I104" s="20" t="s">
        <v>71</v>
      </c>
      <c r="J104" s="16" t="s">
        <v>70</v>
      </c>
      <c r="K104" s="24">
        <v>11000</v>
      </c>
      <c r="L104" s="14">
        <v>12</v>
      </c>
      <c r="M104" s="17" t="s">
        <v>73</v>
      </c>
      <c r="N104" s="16" t="s">
        <v>67</v>
      </c>
      <c r="O104" s="16">
        <v>50</v>
      </c>
      <c r="P104" s="18">
        <v>81.75</v>
      </c>
      <c r="Q104" s="20"/>
      <c r="R104" s="20"/>
      <c r="S104" s="19">
        <v>0.8</v>
      </c>
      <c r="T104" s="20">
        <f t="shared" si="7"/>
        <v>30</v>
      </c>
      <c r="U104" s="20">
        <v>0.27</v>
      </c>
      <c r="V104" s="20">
        <f t="shared" si="8"/>
        <v>3.24</v>
      </c>
      <c r="W104" s="20"/>
      <c r="X104" s="20"/>
      <c r="Y104" s="20">
        <f t="shared" si="9"/>
        <v>0</v>
      </c>
      <c r="Z104" s="21">
        <f t="shared" si="10"/>
        <v>-81.75</v>
      </c>
      <c r="AA104" s="20"/>
      <c r="AB104" s="20"/>
      <c r="AC104" s="20"/>
      <c r="AD104" s="20">
        <f t="shared" si="11"/>
        <v>0</v>
      </c>
      <c r="AE104" s="20"/>
      <c r="AF104" s="20"/>
      <c r="AG104" s="20"/>
      <c r="AH104" s="20"/>
      <c r="AI104" s="20">
        <f t="shared" si="12"/>
        <v>0</v>
      </c>
      <c r="AJ104" s="20"/>
    </row>
    <row r="105" spans="2:36">
      <c r="B105" s="11" t="s">
        <v>295</v>
      </c>
      <c r="C105" s="12" t="s">
        <v>296</v>
      </c>
      <c r="D105" s="12" t="s">
        <v>38</v>
      </c>
      <c r="E105" s="13" t="s">
        <v>39</v>
      </c>
      <c r="F105" s="14" t="str">
        <f>_xlfn.XLOOKUP(B105,'[1]Synthese suivi modernisation'!A:A,'[1]Synthese suivi modernisation'!S:S)</f>
        <v>KEDOUGOU</v>
      </c>
      <c r="G105" s="14" t="str">
        <f>_xlfn.XLOOKUP(B105,'[1]Synthese suivi modernisation'!A:A,'[1]Synthese suivi modernisation'!T:T)</f>
        <v>TAMBACOUNDA</v>
      </c>
      <c r="H105" s="20" t="s">
        <v>70</v>
      </c>
      <c r="I105" s="20" t="s">
        <v>71</v>
      </c>
      <c r="J105" s="16" t="s">
        <v>70</v>
      </c>
      <c r="K105" s="24">
        <v>21000</v>
      </c>
      <c r="L105" s="14">
        <v>20</v>
      </c>
      <c r="M105" s="17" t="s">
        <v>73</v>
      </c>
      <c r="N105" s="16" t="s">
        <v>297</v>
      </c>
      <c r="O105" s="16">
        <v>110</v>
      </c>
      <c r="P105" s="18">
        <v>124.83333333333333</v>
      </c>
      <c r="Q105" s="20"/>
      <c r="R105" s="20"/>
      <c r="S105" s="19">
        <v>0.8</v>
      </c>
      <c r="T105" s="20">
        <f t="shared" si="7"/>
        <v>22.727272727272727</v>
      </c>
      <c r="U105" s="20">
        <v>0.27</v>
      </c>
      <c r="V105" s="20">
        <f t="shared" si="8"/>
        <v>5.4</v>
      </c>
      <c r="W105" s="20"/>
      <c r="X105" s="20"/>
      <c r="Y105" s="20">
        <f t="shared" si="9"/>
        <v>0</v>
      </c>
      <c r="Z105" s="21">
        <f t="shared" si="10"/>
        <v>-124.83333333333333</v>
      </c>
      <c r="AA105" s="20"/>
      <c r="AB105" s="20"/>
      <c r="AC105" s="20"/>
      <c r="AD105" s="20">
        <f t="shared" si="11"/>
        <v>0</v>
      </c>
      <c r="AE105" s="20"/>
      <c r="AF105" s="20"/>
      <c r="AG105" s="20"/>
      <c r="AH105" s="20"/>
      <c r="AI105" s="20">
        <f t="shared" si="12"/>
        <v>0</v>
      </c>
      <c r="AJ105" s="20"/>
    </row>
    <row r="106" spans="2:36">
      <c r="B106" s="11" t="s">
        <v>298</v>
      </c>
      <c r="C106" s="12" t="s">
        <v>299</v>
      </c>
      <c r="D106" s="12" t="s">
        <v>38</v>
      </c>
      <c r="E106" s="13" t="s">
        <v>39</v>
      </c>
      <c r="F106" s="14" t="str">
        <f>_xlfn.XLOOKUP(B106,'[1]Synthese suivi modernisation'!A:A,'[1]Synthese suivi modernisation'!S:S)</f>
        <v>KEDOUGOU</v>
      </c>
      <c r="G106" s="14" t="str">
        <f>_xlfn.XLOOKUP(B106,'[1]Synthese suivi modernisation'!A:A,'[1]Synthese suivi modernisation'!T:T)</f>
        <v>TAMBACOUNDA</v>
      </c>
      <c r="H106" s="20" t="s">
        <v>257</v>
      </c>
      <c r="I106" s="20" t="s">
        <v>143</v>
      </c>
      <c r="J106" s="23" t="s">
        <v>258</v>
      </c>
      <c r="K106" s="24">
        <v>4500</v>
      </c>
      <c r="L106" s="14">
        <v>7</v>
      </c>
      <c r="M106" s="17" t="s">
        <v>73</v>
      </c>
      <c r="N106" s="16" t="s">
        <v>259</v>
      </c>
      <c r="O106" s="16">
        <v>22</v>
      </c>
      <c r="P106" s="18">
        <v>49.583333333333336</v>
      </c>
      <c r="Q106" s="20"/>
      <c r="R106" s="20"/>
      <c r="S106" s="19">
        <v>0.8</v>
      </c>
      <c r="T106" s="20">
        <f t="shared" si="7"/>
        <v>39.772727272727273</v>
      </c>
      <c r="U106" s="20">
        <v>0.27</v>
      </c>
      <c r="V106" s="20">
        <f t="shared" si="8"/>
        <v>1.8900000000000001</v>
      </c>
      <c r="W106" s="20"/>
      <c r="X106" s="20"/>
      <c r="Y106" s="20">
        <f t="shared" si="9"/>
        <v>0</v>
      </c>
      <c r="Z106" s="21">
        <f t="shared" si="10"/>
        <v>-49.583333333333336</v>
      </c>
      <c r="AA106" s="20"/>
      <c r="AB106" s="20"/>
      <c r="AC106" s="20"/>
      <c r="AD106" s="20">
        <f t="shared" si="11"/>
        <v>0</v>
      </c>
      <c r="AE106" s="20"/>
      <c r="AF106" s="20"/>
      <c r="AG106" s="20"/>
      <c r="AH106" s="20"/>
      <c r="AI106" s="20">
        <f t="shared" si="12"/>
        <v>0</v>
      </c>
      <c r="AJ106" s="20"/>
    </row>
    <row r="107" spans="2:36">
      <c r="B107" s="11" t="s">
        <v>300</v>
      </c>
      <c r="C107" s="12" t="s">
        <v>301</v>
      </c>
      <c r="D107" s="12" t="s">
        <v>38</v>
      </c>
      <c r="E107" s="13" t="s">
        <v>39</v>
      </c>
      <c r="F107" s="14" t="str">
        <f>_xlfn.XLOOKUP(B107,'[1]Synthese suivi modernisation'!A:A,'[1]Synthese suivi modernisation'!S:S)</f>
        <v>TIVAOUANE</v>
      </c>
      <c r="G107" s="14" t="str">
        <f>_xlfn.XLOOKUP(B107,'[1]Synthese suivi modernisation'!A:A,'[1]Synthese suivi modernisation'!T:T)</f>
        <v>THIES</v>
      </c>
      <c r="H107" s="20" t="s">
        <v>70</v>
      </c>
      <c r="I107" s="20" t="s">
        <v>71</v>
      </c>
      <c r="J107" s="16" t="s">
        <v>70</v>
      </c>
      <c r="K107" s="24">
        <v>7000</v>
      </c>
      <c r="L107" s="14">
        <v>5</v>
      </c>
      <c r="M107" s="17" t="s">
        <v>73</v>
      </c>
      <c r="N107" s="16" t="s">
        <v>48</v>
      </c>
      <c r="O107" s="16">
        <v>22</v>
      </c>
      <c r="P107" s="18">
        <v>28.083333333333332</v>
      </c>
      <c r="Q107" s="20"/>
      <c r="R107" s="20"/>
      <c r="S107" s="19">
        <v>0.8</v>
      </c>
      <c r="T107" s="20">
        <f t="shared" si="7"/>
        <v>28.409090909090907</v>
      </c>
      <c r="U107" s="20">
        <v>0.27</v>
      </c>
      <c r="V107" s="20">
        <f t="shared" si="8"/>
        <v>1.35</v>
      </c>
      <c r="W107" s="20"/>
      <c r="X107" s="20"/>
      <c r="Y107" s="20">
        <f t="shared" si="9"/>
        <v>0</v>
      </c>
      <c r="Z107" s="21">
        <f t="shared" si="10"/>
        <v>-28.083333333333332</v>
      </c>
      <c r="AA107" s="20"/>
      <c r="AB107" s="20"/>
      <c r="AC107" s="20"/>
      <c r="AD107" s="20">
        <f t="shared" si="11"/>
        <v>0</v>
      </c>
      <c r="AE107" s="20"/>
      <c r="AF107" s="20"/>
      <c r="AG107" s="20"/>
      <c r="AH107" s="20"/>
      <c r="AI107" s="20">
        <f t="shared" si="12"/>
        <v>0</v>
      </c>
      <c r="AJ107" s="20"/>
    </row>
    <row r="108" spans="2:36">
      <c r="B108" s="11" t="s">
        <v>302</v>
      </c>
      <c r="C108" s="12" t="s">
        <v>303</v>
      </c>
      <c r="D108" s="12" t="s">
        <v>38</v>
      </c>
      <c r="E108" s="13" t="s">
        <v>39</v>
      </c>
      <c r="F108" s="14" t="str">
        <f>_xlfn.XLOOKUP(B108,'[1]Synthese suivi modernisation'!A:A,'[1]Synthese suivi modernisation'!S:S)</f>
        <v>GOUDIRY</v>
      </c>
      <c r="G108" s="14" t="str">
        <f>_xlfn.XLOOKUP(B108,'[1]Synthese suivi modernisation'!A:A,'[1]Synthese suivi modernisation'!T:T)</f>
        <v>TAMBACOUNDA</v>
      </c>
      <c r="H108" s="20" t="s">
        <v>40</v>
      </c>
      <c r="I108" s="14" t="s">
        <v>41</v>
      </c>
      <c r="J108" s="16" t="s">
        <v>40</v>
      </c>
      <c r="K108" s="24">
        <v>2250</v>
      </c>
      <c r="L108" s="14">
        <v>3.5</v>
      </c>
      <c r="M108" s="17" t="s">
        <v>42</v>
      </c>
      <c r="N108" s="16" t="s">
        <v>80</v>
      </c>
      <c r="O108" s="16">
        <v>33</v>
      </c>
      <c r="P108" s="18">
        <v>221.5</v>
      </c>
      <c r="Q108" s="20"/>
      <c r="R108" s="20"/>
      <c r="S108" s="19">
        <v>0.8</v>
      </c>
      <c r="T108" s="20">
        <f t="shared" si="7"/>
        <v>13.257575757575758</v>
      </c>
      <c r="U108" s="20">
        <v>0.27</v>
      </c>
      <c r="V108" s="20">
        <f t="shared" si="8"/>
        <v>0.94500000000000006</v>
      </c>
      <c r="W108" s="20"/>
      <c r="X108" s="20"/>
      <c r="Y108" s="20">
        <f t="shared" si="9"/>
        <v>0</v>
      </c>
      <c r="Z108" s="21">
        <f t="shared" si="10"/>
        <v>-221.5</v>
      </c>
      <c r="AA108" s="20"/>
      <c r="AB108" s="20"/>
      <c r="AC108" s="20"/>
      <c r="AD108" s="20">
        <f t="shared" si="11"/>
        <v>0</v>
      </c>
      <c r="AE108" s="20"/>
      <c r="AF108" s="20"/>
      <c r="AG108" s="20"/>
      <c r="AH108" s="20"/>
      <c r="AI108" s="20">
        <f t="shared" si="12"/>
        <v>0</v>
      </c>
      <c r="AJ108" s="20"/>
    </row>
    <row r="109" spans="2:36">
      <c r="B109" s="11" t="s">
        <v>304</v>
      </c>
      <c r="C109" s="12" t="s">
        <v>305</v>
      </c>
      <c r="D109" s="12" t="s">
        <v>38</v>
      </c>
      <c r="E109" s="13" t="s">
        <v>39</v>
      </c>
      <c r="F109" s="14" t="str">
        <f>_xlfn.XLOOKUP(B109,'[1]Synthese suivi modernisation'!A:A,'[1]Synthese suivi modernisation'!S:S)</f>
        <v>TIVAOUANE</v>
      </c>
      <c r="G109" s="14" t="str">
        <f>_xlfn.XLOOKUP(B109,'[1]Synthese suivi modernisation'!A:A,'[1]Synthese suivi modernisation'!T:T)</f>
        <v>THIES</v>
      </c>
      <c r="H109" s="20" t="s">
        <v>242</v>
      </c>
      <c r="I109" s="20" t="s">
        <v>143</v>
      </c>
      <c r="J109" s="16" t="s">
        <v>242</v>
      </c>
      <c r="K109" s="24">
        <v>5000</v>
      </c>
      <c r="L109" s="14">
        <v>4</v>
      </c>
      <c r="M109" s="17" t="s">
        <v>73</v>
      </c>
      <c r="N109" s="16" t="s">
        <v>306</v>
      </c>
      <c r="O109" s="16">
        <v>16</v>
      </c>
      <c r="P109" s="18">
        <v>57.25</v>
      </c>
      <c r="Q109" s="20"/>
      <c r="R109" s="20"/>
      <c r="S109" s="19">
        <v>0.8</v>
      </c>
      <c r="T109" s="20">
        <f t="shared" si="7"/>
        <v>31.25</v>
      </c>
      <c r="U109" s="20">
        <v>0.27</v>
      </c>
      <c r="V109" s="20">
        <f t="shared" si="8"/>
        <v>1.08</v>
      </c>
      <c r="W109" s="20"/>
      <c r="X109" s="20"/>
      <c r="Y109" s="20">
        <f t="shared" si="9"/>
        <v>0</v>
      </c>
      <c r="Z109" s="21">
        <f t="shared" si="10"/>
        <v>-57.25</v>
      </c>
      <c r="AA109" s="20"/>
      <c r="AB109" s="20"/>
      <c r="AC109" s="20"/>
      <c r="AD109" s="20">
        <f t="shared" si="11"/>
        <v>0</v>
      </c>
      <c r="AE109" s="20"/>
      <c r="AF109" s="20"/>
      <c r="AG109" s="20"/>
      <c r="AH109" s="20"/>
      <c r="AI109" s="20">
        <f t="shared" si="12"/>
        <v>0</v>
      </c>
      <c r="AJ109" s="20"/>
    </row>
    <row r="110" spans="2:36">
      <c r="B110" s="11" t="s">
        <v>307</v>
      </c>
      <c r="C110" s="12" t="s">
        <v>308</v>
      </c>
      <c r="D110" s="12" t="s">
        <v>38</v>
      </c>
      <c r="E110" s="13" t="s">
        <v>39</v>
      </c>
      <c r="F110" s="14" t="str">
        <f>_xlfn.XLOOKUP(B110,'[1]Synthese suivi modernisation'!A:A,'[1]Synthese suivi modernisation'!S:S)</f>
        <v>SOKONE</v>
      </c>
      <c r="G110" s="14" t="str">
        <f>_xlfn.XLOOKUP(B110,'[1]Synthese suivi modernisation'!A:A,'[1]Synthese suivi modernisation'!T:T)</f>
        <v>KAOLACK</v>
      </c>
      <c r="H110" s="20" t="s">
        <v>70</v>
      </c>
      <c r="I110" s="20" t="s">
        <v>71</v>
      </c>
      <c r="J110" s="16" t="s">
        <v>70</v>
      </c>
      <c r="K110" s="24">
        <v>9000</v>
      </c>
      <c r="L110" s="14">
        <v>10</v>
      </c>
      <c r="M110" s="17" t="s">
        <v>73</v>
      </c>
      <c r="N110" s="16" t="s">
        <v>63</v>
      </c>
      <c r="O110" s="16">
        <v>30</v>
      </c>
      <c r="P110" s="18">
        <v>80.25</v>
      </c>
      <c r="Q110" s="20"/>
      <c r="R110" s="20"/>
      <c r="S110" s="19">
        <v>0.8</v>
      </c>
      <c r="T110" s="20">
        <f t="shared" si="7"/>
        <v>41.666666666666671</v>
      </c>
      <c r="U110" s="20">
        <v>0.27</v>
      </c>
      <c r="V110" s="20">
        <f t="shared" si="8"/>
        <v>2.7</v>
      </c>
      <c r="W110" s="20"/>
      <c r="X110" s="20"/>
      <c r="Y110" s="20">
        <f t="shared" si="9"/>
        <v>0</v>
      </c>
      <c r="Z110" s="21">
        <f t="shared" si="10"/>
        <v>-80.25</v>
      </c>
      <c r="AA110" s="20"/>
      <c r="AB110" s="20"/>
      <c r="AC110" s="20"/>
      <c r="AD110" s="20">
        <f t="shared" si="11"/>
        <v>0</v>
      </c>
      <c r="AE110" s="20"/>
      <c r="AF110" s="20"/>
      <c r="AG110" s="20"/>
      <c r="AH110" s="20"/>
      <c r="AI110" s="20">
        <f t="shared" si="12"/>
        <v>0</v>
      </c>
      <c r="AJ110" s="20"/>
    </row>
    <row r="111" spans="2:36">
      <c r="B111" s="11" t="s">
        <v>309</v>
      </c>
      <c r="C111" s="12" t="s">
        <v>310</v>
      </c>
      <c r="D111" s="12" t="s">
        <v>38</v>
      </c>
      <c r="E111" s="13" t="s">
        <v>39</v>
      </c>
      <c r="F111" s="14" t="str">
        <f>_xlfn.XLOOKUP(B111,'[1]Synthese suivi modernisation'!A:A,'[1]Synthese suivi modernisation'!S:S)</f>
        <v>SOKONE</v>
      </c>
      <c r="G111" s="14" t="str">
        <f>_xlfn.XLOOKUP(B111,'[1]Synthese suivi modernisation'!A:A,'[1]Synthese suivi modernisation'!T:T)</f>
        <v>KAOLACK</v>
      </c>
      <c r="H111" s="20" t="s">
        <v>54</v>
      </c>
      <c r="I111" s="14" t="s">
        <v>41</v>
      </c>
      <c r="J111" s="23" t="s">
        <v>40</v>
      </c>
      <c r="K111" s="24">
        <v>2000</v>
      </c>
      <c r="L111" s="14">
        <v>2.5</v>
      </c>
      <c r="M111" s="17" t="s">
        <v>42</v>
      </c>
      <c r="N111" s="16" t="s">
        <v>55</v>
      </c>
      <c r="O111" s="16">
        <v>33</v>
      </c>
      <c r="P111" s="18">
        <v>166.83333333333334</v>
      </c>
      <c r="Q111" s="20"/>
      <c r="R111" s="20"/>
      <c r="S111" s="19">
        <v>0.8</v>
      </c>
      <c r="T111" s="20">
        <f t="shared" si="7"/>
        <v>9.4696969696969688</v>
      </c>
      <c r="U111" s="20">
        <v>0.27</v>
      </c>
      <c r="V111" s="20">
        <f t="shared" si="8"/>
        <v>0.67500000000000004</v>
      </c>
      <c r="W111" s="20"/>
      <c r="X111" s="20"/>
      <c r="Y111" s="20">
        <f t="shared" si="9"/>
        <v>0</v>
      </c>
      <c r="Z111" s="21">
        <f t="shared" si="10"/>
        <v>-166.83333333333334</v>
      </c>
      <c r="AA111" s="20"/>
      <c r="AB111" s="20"/>
      <c r="AC111" s="20"/>
      <c r="AD111" s="20">
        <f t="shared" si="11"/>
        <v>0</v>
      </c>
      <c r="AE111" s="20"/>
      <c r="AF111" s="20"/>
      <c r="AG111" s="20"/>
      <c r="AH111" s="20"/>
      <c r="AI111" s="20">
        <f t="shared" si="12"/>
        <v>0</v>
      </c>
      <c r="AJ111" s="20"/>
    </row>
    <row r="112" spans="2:36">
      <c r="B112" s="11" t="s">
        <v>311</v>
      </c>
      <c r="C112" s="12" t="s">
        <v>312</v>
      </c>
      <c r="D112" s="12" t="s">
        <v>38</v>
      </c>
      <c r="E112" s="13" t="s">
        <v>39</v>
      </c>
      <c r="F112" s="14" t="str">
        <f>_xlfn.XLOOKUP(B112,'[1]Synthese suivi modernisation'!A:A,'[1]Synthese suivi modernisation'!S:S)</f>
        <v>TIVAOUANE</v>
      </c>
      <c r="G112" s="14" t="str">
        <f>_xlfn.XLOOKUP(B112,'[1]Synthese suivi modernisation'!A:A,'[1]Synthese suivi modernisation'!T:T)</f>
        <v>THIES</v>
      </c>
      <c r="H112" s="20" t="s">
        <v>40</v>
      </c>
      <c r="I112" s="14" t="s">
        <v>41</v>
      </c>
      <c r="J112" s="16" t="s">
        <v>40</v>
      </c>
      <c r="K112" s="24">
        <v>2250</v>
      </c>
      <c r="L112" s="14">
        <v>3</v>
      </c>
      <c r="M112" s="17" t="s">
        <v>42</v>
      </c>
      <c r="N112" s="16" t="s">
        <v>313</v>
      </c>
      <c r="O112" s="16">
        <v>22</v>
      </c>
      <c r="P112" s="18">
        <v>311.66666666666669</v>
      </c>
      <c r="Q112" s="20"/>
      <c r="R112" s="20"/>
      <c r="S112" s="19">
        <v>0.8</v>
      </c>
      <c r="T112" s="20">
        <f t="shared" si="7"/>
        <v>17.045454545454543</v>
      </c>
      <c r="U112" s="20">
        <v>0.27</v>
      </c>
      <c r="V112" s="20">
        <f t="shared" si="8"/>
        <v>0.81</v>
      </c>
      <c r="W112" s="20"/>
      <c r="X112" s="20"/>
      <c r="Y112" s="20">
        <f t="shared" si="9"/>
        <v>0</v>
      </c>
      <c r="Z112" s="21">
        <f t="shared" si="10"/>
        <v>-311.66666666666669</v>
      </c>
      <c r="AA112" s="20"/>
      <c r="AB112" s="20"/>
      <c r="AC112" s="20"/>
      <c r="AD112" s="20">
        <f t="shared" si="11"/>
        <v>0</v>
      </c>
      <c r="AE112" s="20"/>
      <c r="AF112" s="20"/>
      <c r="AG112" s="20"/>
      <c r="AH112" s="20"/>
      <c r="AI112" s="20">
        <f t="shared" si="12"/>
        <v>0</v>
      </c>
      <c r="AJ112" s="20"/>
    </row>
    <row r="113" spans="2:36">
      <c r="B113" s="11" t="s">
        <v>314</v>
      </c>
      <c r="C113" s="12" t="s">
        <v>315</v>
      </c>
      <c r="D113" s="12" t="s">
        <v>38</v>
      </c>
      <c r="E113" s="13" t="s">
        <v>39</v>
      </c>
      <c r="F113" s="14" t="str">
        <f>_xlfn.XLOOKUP(B113,'[1]Synthese suivi modernisation'!A:A,'[1]Synthese suivi modernisation'!S:S)</f>
        <v>LOUGA</v>
      </c>
      <c r="G113" s="14" t="str">
        <f>_xlfn.XLOOKUP(B113,'[1]Synthese suivi modernisation'!A:A,'[1]Synthese suivi modernisation'!T:T)</f>
        <v>SAINT-LOUIS</v>
      </c>
      <c r="H113" s="20" t="s">
        <v>70</v>
      </c>
      <c r="I113" s="20" t="s">
        <v>71</v>
      </c>
      <c r="J113" s="16" t="s">
        <v>72</v>
      </c>
      <c r="K113" s="24">
        <v>5000</v>
      </c>
      <c r="L113" s="14">
        <v>6</v>
      </c>
      <c r="M113" s="17" t="s">
        <v>73</v>
      </c>
      <c r="N113" s="16" t="s">
        <v>96</v>
      </c>
      <c r="O113" s="16">
        <v>22</v>
      </c>
      <c r="P113" s="18">
        <v>0</v>
      </c>
      <c r="Q113" s="20"/>
      <c r="R113" s="20"/>
      <c r="S113" s="19">
        <v>0.8</v>
      </c>
      <c r="T113" s="20">
        <f t="shared" si="7"/>
        <v>34.090909090909086</v>
      </c>
      <c r="U113" s="20">
        <v>0.27</v>
      </c>
      <c r="V113" s="20">
        <f t="shared" si="8"/>
        <v>1.62</v>
      </c>
      <c r="W113" s="20"/>
      <c r="X113" s="20"/>
      <c r="Y113" s="20">
        <f t="shared" si="9"/>
        <v>0</v>
      </c>
      <c r="Z113" s="21">
        <f t="shared" si="10"/>
        <v>0</v>
      </c>
      <c r="AA113" s="20"/>
      <c r="AB113" s="20"/>
      <c r="AC113" s="20"/>
      <c r="AD113" s="20">
        <f t="shared" si="11"/>
        <v>0</v>
      </c>
      <c r="AE113" s="20"/>
      <c r="AF113" s="20"/>
      <c r="AG113" s="20"/>
      <c r="AH113" s="20"/>
      <c r="AI113" s="20">
        <f t="shared" si="12"/>
        <v>0</v>
      </c>
      <c r="AJ113" s="20"/>
    </row>
    <row r="114" spans="2:36">
      <c r="B114" s="11" t="s">
        <v>316</v>
      </c>
      <c r="C114" s="12" t="s">
        <v>317</v>
      </c>
      <c r="D114" s="12" t="s">
        <v>38</v>
      </c>
      <c r="E114" s="13" t="s">
        <v>39</v>
      </c>
      <c r="F114" s="14" t="str">
        <f>_xlfn.XLOOKUP(B114,'[1]Synthese suivi modernisation'!A:A,'[1]Synthese suivi modernisation'!S:S)</f>
        <v>LOUGA</v>
      </c>
      <c r="G114" s="14" t="str">
        <f>_xlfn.XLOOKUP(B114,'[1]Synthese suivi modernisation'!A:A,'[1]Synthese suivi modernisation'!T:T)</f>
        <v>SAINT-LOUIS</v>
      </c>
      <c r="H114" s="20" t="s">
        <v>209</v>
      </c>
      <c r="I114" s="14" t="s">
        <v>41</v>
      </c>
      <c r="J114" s="16" t="s">
        <v>209</v>
      </c>
      <c r="K114" s="24">
        <v>3500</v>
      </c>
      <c r="L114" s="14">
        <v>4</v>
      </c>
      <c r="M114" s="17" t="s">
        <v>42</v>
      </c>
      <c r="N114" s="16" t="s">
        <v>48</v>
      </c>
      <c r="O114" s="16">
        <v>22</v>
      </c>
      <c r="P114" s="18">
        <v>392.25</v>
      </c>
      <c r="Q114" s="20"/>
      <c r="R114" s="20"/>
      <c r="S114" s="19">
        <v>0.8</v>
      </c>
      <c r="T114" s="20">
        <f t="shared" si="7"/>
        <v>22.727272727272727</v>
      </c>
      <c r="U114" s="20">
        <v>0.27</v>
      </c>
      <c r="V114" s="20">
        <f t="shared" si="8"/>
        <v>1.08</v>
      </c>
      <c r="W114" s="20"/>
      <c r="X114" s="20"/>
      <c r="Y114" s="20">
        <f t="shared" si="9"/>
        <v>0</v>
      </c>
      <c r="Z114" s="21">
        <f t="shared" si="10"/>
        <v>-392.25</v>
      </c>
      <c r="AA114" s="20"/>
      <c r="AB114" s="20"/>
      <c r="AC114" s="20"/>
      <c r="AD114" s="20">
        <f t="shared" si="11"/>
        <v>0</v>
      </c>
      <c r="AE114" s="20"/>
      <c r="AF114" s="20"/>
      <c r="AG114" s="20"/>
      <c r="AH114" s="20"/>
      <c r="AI114" s="20">
        <f t="shared" si="12"/>
        <v>0</v>
      </c>
      <c r="AJ114" s="20"/>
    </row>
    <row r="115" spans="2:36">
      <c r="B115" s="11" t="s">
        <v>318</v>
      </c>
      <c r="C115" s="12" t="s">
        <v>319</v>
      </c>
      <c r="D115" s="12" t="s">
        <v>38</v>
      </c>
      <c r="E115" s="13" t="s">
        <v>39</v>
      </c>
      <c r="F115" s="14" t="str">
        <f>_xlfn.XLOOKUP(B115,'[1]Synthese suivi modernisation'!A:A,'[1]Synthese suivi modernisation'!S:S)</f>
        <v>KOUNGHEUL</v>
      </c>
      <c r="G115" s="14" t="str">
        <f>_xlfn.XLOOKUP(B115,'[1]Synthese suivi modernisation'!A:A,'[1]Synthese suivi modernisation'!T:T)</f>
        <v>TAMBACOUNDA</v>
      </c>
      <c r="H115" s="20" t="s">
        <v>40</v>
      </c>
      <c r="I115" s="14" t="s">
        <v>41</v>
      </c>
      <c r="J115" s="16" t="s">
        <v>40</v>
      </c>
      <c r="K115" s="24">
        <v>3000</v>
      </c>
      <c r="L115" s="14">
        <v>3.5</v>
      </c>
      <c r="M115" s="17" t="s">
        <v>42</v>
      </c>
      <c r="N115" s="16" t="s">
        <v>80</v>
      </c>
      <c r="O115" s="16">
        <v>33</v>
      </c>
      <c r="P115" s="18">
        <v>221.5</v>
      </c>
      <c r="Q115" s="20"/>
      <c r="R115" s="20"/>
      <c r="S115" s="19">
        <v>0.8</v>
      </c>
      <c r="T115" s="20">
        <f t="shared" si="7"/>
        <v>13.257575757575758</v>
      </c>
      <c r="U115" s="20">
        <v>0.27</v>
      </c>
      <c r="V115" s="20">
        <f t="shared" si="8"/>
        <v>0.94500000000000006</v>
      </c>
      <c r="W115" s="20"/>
      <c r="X115" s="20"/>
      <c r="Y115" s="20">
        <f t="shared" si="9"/>
        <v>0</v>
      </c>
      <c r="Z115" s="21">
        <f t="shared" si="10"/>
        <v>-221.5</v>
      </c>
      <c r="AA115" s="20"/>
      <c r="AB115" s="20"/>
      <c r="AC115" s="20"/>
      <c r="AD115" s="20">
        <f t="shared" si="11"/>
        <v>0</v>
      </c>
      <c r="AE115" s="20"/>
      <c r="AF115" s="20"/>
      <c r="AG115" s="20"/>
      <c r="AH115" s="20"/>
      <c r="AI115" s="20">
        <f t="shared" si="12"/>
        <v>0</v>
      </c>
      <c r="AJ115" s="20"/>
    </row>
    <row r="116" spans="2:36">
      <c r="B116" s="11" t="s">
        <v>320</v>
      </c>
      <c r="C116" s="12" t="s">
        <v>321</v>
      </c>
      <c r="D116" s="12" t="s">
        <v>38</v>
      </c>
      <c r="E116" s="13" t="s">
        <v>39</v>
      </c>
      <c r="F116" s="14" t="str">
        <f>_xlfn.XLOOKUP(B116,'[1]Synthese suivi modernisation'!A:A,'[1]Synthese suivi modernisation'!S:S)</f>
        <v>KEDOUGOU</v>
      </c>
      <c r="G116" s="14" t="str">
        <f>_xlfn.XLOOKUP(B116,'[1]Synthese suivi modernisation'!A:A,'[1]Synthese suivi modernisation'!T:T)</f>
        <v>TAMBACOUNDA</v>
      </c>
      <c r="H116" s="20" t="s">
        <v>40</v>
      </c>
      <c r="I116" s="14" t="s">
        <v>41</v>
      </c>
      <c r="J116" s="16" t="s">
        <v>40</v>
      </c>
      <c r="K116" s="24">
        <v>4000</v>
      </c>
      <c r="L116" s="14">
        <v>6.5</v>
      </c>
      <c r="M116" s="17" t="s">
        <v>42</v>
      </c>
      <c r="N116" s="16" t="s">
        <v>67</v>
      </c>
      <c r="O116" s="16">
        <v>50</v>
      </c>
      <c r="P116" s="18">
        <v>1137.5</v>
      </c>
      <c r="Q116" s="20"/>
      <c r="R116" s="20"/>
      <c r="S116" s="19">
        <v>0.8</v>
      </c>
      <c r="T116" s="20">
        <f t="shared" si="7"/>
        <v>16.25</v>
      </c>
      <c r="U116" s="20">
        <v>0.27</v>
      </c>
      <c r="V116" s="20">
        <f t="shared" si="8"/>
        <v>1.7550000000000001</v>
      </c>
      <c r="W116" s="20"/>
      <c r="X116" s="20"/>
      <c r="Y116" s="20">
        <f t="shared" si="9"/>
        <v>0</v>
      </c>
      <c r="Z116" s="21">
        <f t="shared" si="10"/>
        <v>-1137.5</v>
      </c>
      <c r="AA116" s="20"/>
      <c r="AB116" s="20"/>
      <c r="AC116" s="20"/>
      <c r="AD116" s="20">
        <f t="shared" si="11"/>
        <v>0</v>
      </c>
      <c r="AE116" s="20"/>
      <c r="AF116" s="20"/>
      <c r="AG116" s="20"/>
      <c r="AH116" s="20"/>
      <c r="AI116" s="20">
        <f t="shared" si="12"/>
        <v>0</v>
      </c>
      <c r="AJ116" s="20"/>
    </row>
    <row r="117" spans="2:36">
      <c r="B117" s="11" t="s">
        <v>322</v>
      </c>
      <c r="C117" s="12" t="s">
        <v>323</v>
      </c>
      <c r="D117" s="12" t="s">
        <v>38</v>
      </c>
      <c r="E117" s="13" t="s">
        <v>39</v>
      </c>
      <c r="F117" s="14" t="str">
        <f>_xlfn.XLOOKUP(B117,'[1]Synthese suivi modernisation'!A:A,'[1]Synthese suivi modernisation'!S:S)</f>
        <v>TOUBA01</v>
      </c>
      <c r="G117" s="14" t="str">
        <f>_xlfn.XLOOKUP(B117,'[1]Synthese suivi modernisation'!A:A,'[1]Synthese suivi modernisation'!T:T)</f>
        <v>THIES</v>
      </c>
      <c r="H117" s="20" t="s">
        <v>180</v>
      </c>
      <c r="I117" s="20" t="s">
        <v>71</v>
      </c>
      <c r="J117" s="16" t="s">
        <v>180</v>
      </c>
      <c r="K117" s="24">
        <v>3000</v>
      </c>
      <c r="L117" s="14">
        <v>8</v>
      </c>
      <c r="M117" s="17" t="s">
        <v>73</v>
      </c>
      <c r="N117" s="16" t="s">
        <v>324</v>
      </c>
      <c r="O117" s="16">
        <v>22</v>
      </c>
      <c r="P117" s="18">
        <v>28.75</v>
      </c>
      <c r="Q117" s="20"/>
      <c r="R117" s="20"/>
      <c r="S117" s="19">
        <v>0.8</v>
      </c>
      <c r="T117" s="20">
        <f t="shared" si="7"/>
        <v>45.454545454545453</v>
      </c>
      <c r="U117" s="20">
        <v>0.27</v>
      </c>
      <c r="V117" s="20">
        <f t="shared" si="8"/>
        <v>2.16</v>
      </c>
      <c r="W117" s="20"/>
      <c r="X117" s="20"/>
      <c r="Y117" s="20">
        <f t="shared" si="9"/>
        <v>0</v>
      </c>
      <c r="Z117" s="21">
        <f t="shared" si="10"/>
        <v>-28.75</v>
      </c>
      <c r="AA117" s="20"/>
      <c r="AB117" s="20"/>
      <c r="AC117" s="20"/>
      <c r="AD117" s="20">
        <f t="shared" si="11"/>
        <v>0</v>
      </c>
      <c r="AE117" s="20"/>
      <c r="AF117" s="20"/>
      <c r="AG117" s="20"/>
      <c r="AH117" s="20"/>
      <c r="AI117" s="20">
        <f t="shared" si="12"/>
        <v>0</v>
      </c>
      <c r="AJ117" s="20"/>
    </row>
    <row r="118" spans="2:36">
      <c r="B118" s="11" t="s">
        <v>325</v>
      </c>
      <c r="C118" s="12" t="s">
        <v>326</v>
      </c>
      <c r="D118" s="12" t="s">
        <v>38</v>
      </c>
      <c r="E118" s="13" t="s">
        <v>39</v>
      </c>
      <c r="F118" s="14" t="str">
        <f>_xlfn.XLOOKUP(B118,'[1]Synthese suivi modernisation'!A:A,'[1]Synthese suivi modernisation'!S:S)</f>
        <v>SAINT-LOUIS</v>
      </c>
      <c r="G118" s="14" t="str">
        <f>_xlfn.XLOOKUP(B118,'[1]Synthese suivi modernisation'!A:A,'[1]Synthese suivi modernisation'!T:T)</f>
        <v>SAINT-LOUIS</v>
      </c>
      <c r="H118" s="20" t="s">
        <v>40</v>
      </c>
      <c r="I118" s="14" t="s">
        <v>41</v>
      </c>
      <c r="J118" s="16" t="s">
        <v>40</v>
      </c>
      <c r="K118" s="24">
        <v>2750</v>
      </c>
      <c r="L118" s="14">
        <v>2.5</v>
      </c>
      <c r="M118" s="17" t="s">
        <v>42</v>
      </c>
      <c r="N118" s="16" t="s">
        <v>173</v>
      </c>
      <c r="O118" s="16">
        <v>22</v>
      </c>
      <c r="P118" s="18">
        <v>129.33333333333334</v>
      </c>
      <c r="Q118" s="20"/>
      <c r="R118" s="20"/>
      <c r="S118" s="19">
        <v>0.8</v>
      </c>
      <c r="T118" s="20">
        <f t="shared" si="7"/>
        <v>14.204545454545453</v>
      </c>
      <c r="U118" s="20">
        <v>0.27</v>
      </c>
      <c r="V118" s="20">
        <f t="shared" si="8"/>
        <v>0.67500000000000004</v>
      </c>
      <c r="W118" s="20"/>
      <c r="X118" s="20"/>
      <c r="Y118" s="20">
        <f t="shared" si="9"/>
        <v>0</v>
      </c>
      <c r="Z118" s="21">
        <f t="shared" si="10"/>
        <v>-129.33333333333334</v>
      </c>
      <c r="AA118" s="20"/>
      <c r="AB118" s="20"/>
      <c r="AC118" s="20"/>
      <c r="AD118" s="20">
        <f t="shared" si="11"/>
        <v>0</v>
      </c>
      <c r="AE118" s="20"/>
      <c r="AF118" s="20"/>
      <c r="AG118" s="20"/>
      <c r="AH118" s="20"/>
      <c r="AI118" s="20">
        <f t="shared" si="12"/>
        <v>0</v>
      </c>
      <c r="AJ118" s="20"/>
    </row>
    <row r="119" spans="2:36">
      <c r="B119" s="11" t="s">
        <v>327</v>
      </c>
      <c r="C119" s="12" t="s">
        <v>328</v>
      </c>
      <c r="D119" s="12" t="s">
        <v>38</v>
      </c>
      <c r="E119" s="13" t="s">
        <v>39</v>
      </c>
      <c r="F119" s="14" t="str">
        <f>_xlfn.XLOOKUP(B119,'[1]Synthese suivi modernisation'!A:A,'[1]Synthese suivi modernisation'!S:S)</f>
        <v>THIES</v>
      </c>
      <c r="G119" s="14" t="str">
        <f>_xlfn.XLOOKUP(B119,'[1]Synthese suivi modernisation'!A:A,'[1]Synthese suivi modernisation'!T:T)</f>
        <v>THIES</v>
      </c>
      <c r="H119" s="20" t="s">
        <v>70</v>
      </c>
      <c r="I119" s="20" t="s">
        <v>71</v>
      </c>
      <c r="J119" s="16" t="s">
        <v>70</v>
      </c>
      <c r="K119" s="24">
        <v>12000</v>
      </c>
      <c r="L119" s="14">
        <v>13</v>
      </c>
      <c r="M119" s="17" t="s">
        <v>73</v>
      </c>
      <c r="N119" s="16" t="s">
        <v>227</v>
      </c>
      <c r="O119" s="16">
        <v>33</v>
      </c>
      <c r="P119" s="18">
        <v>45</v>
      </c>
      <c r="Q119" s="20"/>
      <c r="R119" s="20"/>
      <c r="S119" s="19">
        <v>0.8</v>
      </c>
      <c r="T119" s="20">
        <f t="shared" si="7"/>
        <v>49.242424242424235</v>
      </c>
      <c r="U119" s="20">
        <v>0.27</v>
      </c>
      <c r="V119" s="20">
        <f t="shared" si="8"/>
        <v>3.5100000000000002</v>
      </c>
      <c r="W119" s="20"/>
      <c r="X119" s="20"/>
      <c r="Y119" s="20">
        <f t="shared" si="9"/>
        <v>0</v>
      </c>
      <c r="Z119" s="21">
        <f t="shared" si="10"/>
        <v>-45</v>
      </c>
      <c r="AA119" s="20"/>
      <c r="AB119" s="20"/>
      <c r="AC119" s="20"/>
      <c r="AD119" s="20">
        <f t="shared" si="11"/>
        <v>0</v>
      </c>
      <c r="AE119" s="20"/>
      <c r="AF119" s="20"/>
      <c r="AG119" s="20"/>
      <c r="AH119" s="20"/>
      <c r="AI119" s="20">
        <f t="shared" si="12"/>
        <v>0</v>
      </c>
      <c r="AJ119" s="20"/>
    </row>
    <row r="120" spans="2:36">
      <c r="B120" s="11" t="s">
        <v>329</v>
      </c>
      <c r="C120" s="12" t="s">
        <v>330</v>
      </c>
      <c r="D120" s="12" t="s">
        <v>38</v>
      </c>
      <c r="E120" s="13" t="s">
        <v>39</v>
      </c>
      <c r="F120" s="14" t="str">
        <f>_xlfn.XLOOKUP(B120,'[1]Synthese suivi modernisation'!A:A,'[1]Synthese suivi modernisation'!S:S)</f>
        <v>KEDOUGOU</v>
      </c>
      <c r="G120" s="14" t="str">
        <f>_xlfn.XLOOKUP(B120,'[1]Synthese suivi modernisation'!A:A,'[1]Synthese suivi modernisation'!T:T)</f>
        <v>TAMBACOUNDA</v>
      </c>
      <c r="H120" s="20" t="s">
        <v>40</v>
      </c>
      <c r="I120" s="14" t="s">
        <v>41</v>
      </c>
      <c r="J120" s="16" t="s">
        <v>40</v>
      </c>
      <c r="K120" s="24">
        <v>3000</v>
      </c>
      <c r="L120" s="14">
        <v>8</v>
      </c>
      <c r="M120" s="17" t="s">
        <v>42</v>
      </c>
      <c r="N120" s="16" t="s">
        <v>80</v>
      </c>
      <c r="O120" s="16">
        <v>33</v>
      </c>
      <c r="P120" s="18">
        <v>1471.8333333333333</v>
      </c>
      <c r="Q120" s="20"/>
      <c r="R120" s="20"/>
      <c r="S120" s="19">
        <v>0.8</v>
      </c>
      <c r="T120" s="20">
        <f t="shared" si="7"/>
        <v>30.303030303030297</v>
      </c>
      <c r="U120" s="20">
        <v>0.27</v>
      </c>
      <c r="V120" s="20">
        <f t="shared" si="8"/>
        <v>2.16</v>
      </c>
      <c r="W120" s="20"/>
      <c r="X120" s="20"/>
      <c r="Y120" s="20">
        <f t="shared" si="9"/>
        <v>0</v>
      </c>
      <c r="Z120" s="21">
        <f t="shared" si="10"/>
        <v>-1471.8333333333333</v>
      </c>
      <c r="AA120" s="20"/>
      <c r="AB120" s="20"/>
      <c r="AC120" s="20"/>
      <c r="AD120" s="20">
        <f t="shared" si="11"/>
        <v>0</v>
      </c>
      <c r="AE120" s="20"/>
      <c r="AF120" s="20"/>
      <c r="AG120" s="20"/>
      <c r="AH120" s="20"/>
      <c r="AI120" s="20">
        <f t="shared" si="12"/>
        <v>0</v>
      </c>
      <c r="AJ120" s="20"/>
    </row>
    <row r="121" spans="2:36">
      <c r="B121" s="11" t="s">
        <v>331</v>
      </c>
      <c r="C121" s="12" t="s">
        <v>332</v>
      </c>
      <c r="D121" s="12" t="s">
        <v>38</v>
      </c>
      <c r="E121" s="13" t="s">
        <v>39</v>
      </c>
      <c r="F121" s="14" t="str">
        <f>_xlfn.XLOOKUP(B121,'[1]Synthese suivi modernisation'!A:A,'[1]Synthese suivi modernisation'!S:S)</f>
        <v>BAKEL</v>
      </c>
      <c r="G121" s="14" t="str">
        <f>_xlfn.XLOOKUP(B121,'[1]Synthese suivi modernisation'!A:A,'[1]Synthese suivi modernisation'!T:T)</f>
        <v>SAINT-LOUIS</v>
      </c>
      <c r="H121" s="20" t="s">
        <v>70</v>
      </c>
      <c r="I121" s="20" t="s">
        <v>71</v>
      </c>
      <c r="J121" s="16" t="s">
        <v>70</v>
      </c>
      <c r="K121" s="24">
        <v>13000</v>
      </c>
      <c r="L121" s="14">
        <v>22</v>
      </c>
      <c r="M121" s="17" t="s">
        <v>73</v>
      </c>
      <c r="N121" s="16" t="s">
        <v>116</v>
      </c>
      <c r="O121" s="16">
        <v>66</v>
      </c>
      <c r="P121" s="18">
        <v>132.16666666666666</v>
      </c>
      <c r="Q121" s="20"/>
      <c r="R121" s="20"/>
      <c r="S121" s="19">
        <v>0.8</v>
      </c>
      <c r="T121" s="20">
        <f t="shared" si="7"/>
        <v>41.666666666666664</v>
      </c>
      <c r="U121" s="20">
        <v>0.27</v>
      </c>
      <c r="V121" s="20">
        <f t="shared" si="8"/>
        <v>5.94</v>
      </c>
      <c r="W121" s="20"/>
      <c r="X121" s="20"/>
      <c r="Y121" s="20">
        <f t="shared" si="9"/>
        <v>0</v>
      </c>
      <c r="Z121" s="21">
        <f t="shared" si="10"/>
        <v>-132.16666666666666</v>
      </c>
      <c r="AA121" s="20"/>
      <c r="AB121" s="20"/>
      <c r="AC121" s="20"/>
      <c r="AD121" s="20">
        <f t="shared" si="11"/>
        <v>0</v>
      </c>
      <c r="AE121" s="20"/>
      <c r="AF121" s="20"/>
      <c r="AG121" s="20"/>
      <c r="AH121" s="20"/>
      <c r="AI121" s="20">
        <f t="shared" si="12"/>
        <v>0</v>
      </c>
      <c r="AJ121" s="20"/>
    </row>
    <row r="122" spans="2:36">
      <c r="B122" s="11" t="s">
        <v>333</v>
      </c>
      <c r="C122" s="12" t="s">
        <v>334</v>
      </c>
      <c r="D122" s="12" t="s">
        <v>38</v>
      </c>
      <c r="E122" s="13" t="s">
        <v>39</v>
      </c>
      <c r="F122" s="14" t="str">
        <f>_xlfn.XLOOKUP(B122,'[1]Synthese suivi modernisation'!A:A,'[1]Synthese suivi modernisation'!S:S)</f>
        <v>MBOUR</v>
      </c>
      <c r="G122" s="14" t="str">
        <f>_xlfn.XLOOKUP(B122,'[1]Synthese suivi modernisation'!A:A,'[1]Synthese suivi modernisation'!T:T)</f>
        <v>THIES</v>
      </c>
      <c r="H122" s="20" t="s">
        <v>66</v>
      </c>
      <c r="I122" s="14" t="s">
        <v>41</v>
      </c>
      <c r="J122" s="16" t="s">
        <v>66</v>
      </c>
      <c r="K122" s="24">
        <v>5000</v>
      </c>
      <c r="L122" s="14">
        <v>5</v>
      </c>
      <c r="M122" s="17" t="s">
        <v>42</v>
      </c>
      <c r="N122" s="16" t="s">
        <v>324</v>
      </c>
      <c r="O122" s="16">
        <v>22</v>
      </c>
      <c r="P122" s="18">
        <v>374.41666666666669</v>
      </c>
      <c r="Q122" s="20"/>
      <c r="R122" s="20"/>
      <c r="S122" s="19">
        <v>0.8</v>
      </c>
      <c r="T122" s="20">
        <f t="shared" si="7"/>
        <v>28.409090909090907</v>
      </c>
      <c r="U122" s="20">
        <v>0.27</v>
      </c>
      <c r="V122" s="20">
        <f t="shared" si="8"/>
        <v>1.35</v>
      </c>
      <c r="W122" s="20"/>
      <c r="X122" s="20"/>
      <c r="Y122" s="20">
        <f t="shared" si="9"/>
        <v>0</v>
      </c>
      <c r="Z122" s="21">
        <f t="shared" si="10"/>
        <v>-374.41666666666669</v>
      </c>
      <c r="AA122" s="20"/>
      <c r="AB122" s="20"/>
      <c r="AC122" s="20"/>
      <c r="AD122" s="20">
        <f t="shared" si="11"/>
        <v>0</v>
      </c>
      <c r="AE122" s="20"/>
      <c r="AF122" s="20"/>
      <c r="AG122" s="20"/>
      <c r="AH122" s="20"/>
      <c r="AI122" s="20">
        <f t="shared" si="12"/>
        <v>0</v>
      </c>
      <c r="AJ122" s="20"/>
    </row>
    <row r="123" spans="2:36">
      <c r="B123" s="11" t="s">
        <v>335</v>
      </c>
      <c r="C123" s="12" t="s">
        <v>336</v>
      </c>
      <c r="D123" s="12" t="s">
        <v>38</v>
      </c>
      <c r="E123" s="13" t="s">
        <v>39</v>
      </c>
      <c r="F123" s="14" t="str">
        <f>_xlfn.XLOOKUP(B123,'[1]Synthese suivi modernisation'!A:A,'[1]Synthese suivi modernisation'!S:S)</f>
        <v>THIES</v>
      </c>
      <c r="G123" s="14" t="str">
        <f>_xlfn.XLOOKUP(B123,'[1]Synthese suivi modernisation'!A:A,'[1]Synthese suivi modernisation'!T:T)</f>
        <v>THIES</v>
      </c>
      <c r="H123" s="20" t="s">
        <v>70</v>
      </c>
      <c r="I123" s="20" t="s">
        <v>71</v>
      </c>
      <c r="J123" s="16" t="s">
        <v>70</v>
      </c>
      <c r="K123" s="24">
        <v>6000</v>
      </c>
      <c r="L123" s="14">
        <v>5</v>
      </c>
      <c r="M123" s="17" t="s">
        <v>73</v>
      </c>
      <c r="N123" s="16" t="s">
        <v>51</v>
      </c>
      <c r="O123" s="16">
        <v>22</v>
      </c>
      <c r="P123" s="18">
        <v>28.083333333333332</v>
      </c>
      <c r="Q123" s="20"/>
      <c r="R123" s="20"/>
      <c r="S123" s="19">
        <v>0.8</v>
      </c>
      <c r="T123" s="20">
        <f t="shared" si="7"/>
        <v>28.409090909090907</v>
      </c>
      <c r="U123" s="20">
        <v>0.27</v>
      </c>
      <c r="V123" s="20">
        <f t="shared" si="8"/>
        <v>1.35</v>
      </c>
      <c r="W123" s="20"/>
      <c r="X123" s="20"/>
      <c r="Y123" s="20">
        <f t="shared" si="9"/>
        <v>0</v>
      </c>
      <c r="Z123" s="21">
        <f t="shared" si="10"/>
        <v>-28.083333333333332</v>
      </c>
      <c r="AA123" s="20"/>
      <c r="AB123" s="20"/>
      <c r="AC123" s="20"/>
      <c r="AD123" s="20">
        <f t="shared" si="11"/>
        <v>0</v>
      </c>
      <c r="AE123" s="20"/>
      <c r="AF123" s="20"/>
      <c r="AG123" s="20"/>
      <c r="AH123" s="20"/>
      <c r="AI123" s="20">
        <f t="shared" si="12"/>
        <v>0</v>
      </c>
      <c r="AJ123" s="20"/>
    </row>
    <row r="124" spans="2:36">
      <c r="B124" s="11" t="s">
        <v>337</v>
      </c>
      <c r="C124" s="12" t="s">
        <v>338</v>
      </c>
      <c r="D124" s="12" t="s">
        <v>38</v>
      </c>
      <c r="E124" s="13" t="s">
        <v>39</v>
      </c>
      <c r="F124" s="14" t="str">
        <f>_xlfn.XLOOKUP(B124,'[1]Synthese suivi modernisation'!A:A,'[1]Synthese suivi modernisation'!S:S)</f>
        <v>KAOLACK</v>
      </c>
      <c r="G124" s="14" t="str">
        <f>_xlfn.XLOOKUP(B124,'[1]Synthese suivi modernisation'!A:A,'[1]Synthese suivi modernisation'!T:T)</f>
        <v>KAOLACK</v>
      </c>
      <c r="H124" s="20" t="s">
        <v>142</v>
      </c>
      <c r="I124" s="20" t="s">
        <v>143</v>
      </c>
      <c r="J124" s="23" t="s">
        <v>142</v>
      </c>
      <c r="K124" s="24">
        <v>14000</v>
      </c>
      <c r="L124" s="14">
        <v>19</v>
      </c>
      <c r="M124" s="17" t="s">
        <v>73</v>
      </c>
      <c r="N124" s="16" t="s">
        <v>297</v>
      </c>
      <c r="O124" s="16">
        <v>110</v>
      </c>
      <c r="P124" s="18">
        <v>75.083333333333329</v>
      </c>
      <c r="Q124" s="20"/>
      <c r="R124" s="20"/>
      <c r="S124" s="19">
        <v>0.8</v>
      </c>
      <c r="T124" s="20">
        <f t="shared" si="7"/>
        <v>21.59090909090909</v>
      </c>
      <c r="U124" s="20">
        <v>0.27</v>
      </c>
      <c r="V124" s="20">
        <f t="shared" si="8"/>
        <v>5.1300000000000008</v>
      </c>
      <c r="W124" s="20"/>
      <c r="X124" s="20"/>
      <c r="Y124" s="20">
        <f t="shared" si="9"/>
        <v>0</v>
      </c>
      <c r="Z124" s="21">
        <f t="shared" si="10"/>
        <v>-75.083333333333329</v>
      </c>
      <c r="AA124" s="20"/>
      <c r="AB124" s="20"/>
      <c r="AC124" s="20"/>
      <c r="AD124" s="20">
        <f t="shared" si="11"/>
        <v>0</v>
      </c>
      <c r="AE124" s="20"/>
      <c r="AF124" s="20"/>
      <c r="AG124" s="20"/>
      <c r="AH124" s="20"/>
      <c r="AI124" s="20">
        <f t="shared" si="12"/>
        <v>0</v>
      </c>
      <c r="AJ124" s="20"/>
    </row>
    <row r="125" spans="2:36">
      <c r="B125" s="11" t="s">
        <v>339</v>
      </c>
      <c r="C125" s="12" t="s">
        <v>340</v>
      </c>
      <c r="D125" s="12" t="s">
        <v>38</v>
      </c>
      <c r="E125" s="13" t="s">
        <v>39</v>
      </c>
      <c r="F125" s="14" t="str">
        <f>_xlfn.XLOOKUP(B125,'[1]Synthese suivi modernisation'!A:A,'[1]Synthese suivi modernisation'!S:S)</f>
        <v>KOLDA</v>
      </c>
      <c r="G125" s="14" t="str">
        <f>_xlfn.XLOOKUP(B125,'[1]Synthese suivi modernisation'!A:A,'[1]Synthese suivi modernisation'!T:T)</f>
        <v>ZIGUINCHOR</v>
      </c>
      <c r="H125" s="20" t="s">
        <v>70</v>
      </c>
      <c r="I125" s="20" t="s">
        <v>71</v>
      </c>
      <c r="J125" s="16" t="s">
        <v>70</v>
      </c>
      <c r="K125" s="24">
        <v>16000</v>
      </c>
      <c r="L125" s="14">
        <v>24</v>
      </c>
      <c r="M125" s="17" t="s">
        <v>73</v>
      </c>
      <c r="N125" s="16" t="s">
        <v>341</v>
      </c>
      <c r="O125" s="16">
        <v>110</v>
      </c>
      <c r="P125" s="18">
        <v>139.25</v>
      </c>
      <c r="Q125" s="20"/>
      <c r="R125" s="20"/>
      <c r="S125" s="19">
        <v>0.8</v>
      </c>
      <c r="T125" s="20">
        <f t="shared" si="7"/>
        <v>27.27272727272727</v>
      </c>
      <c r="U125" s="20">
        <v>0.27</v>
      </c>
      <c r="V125" s="20">
        <f t="shared" si="8"/>
        <v>6.48</v>
      </c>
      <c r="W125" s="20"/>
      <c r="X125" s="20"/>
      <c r="Y125" s="20">
        <f t="shared" si="9"/>
        <v>0</v>
      </c>
      <c r="Z125" s="21">
        <f t="shared" si="10"/>
        <v>-139.25</v>
      </c>
      <c r="AA125" s="20"/>
      <c r="AB125" s="20"/>
      <c r="AC125" s="20"/>
      <c r="AD125" s="20">
        <f t="shared" si="11"/>
        <v>0</v>
      </c>
      <c r="AE125" s="20"/>
      <c r="AF125" s="20"/>
      <c r="AG125" s="20"/>
      <c r="AH125" s="20"/>
      <c r="AI125" s="20">
        <f t="shared" si="12"/>
        <v>0</v>
      </c>
      <c r="AJ125" s="20"/>
    </row>
    <row r="126" spans="2:36">
      <c r="B126" s="11" t="s">
        <v>342</v>
      </c>
      <c r="C126" s="12" t="s">
        <v>343</v>
      </c>
      <c r="D126" s="12" t="s">
        <v>38</v>
      </c>
      <c r="E126" s="13" t="s">
        <v>39</v>
      </c>
      <c r="F126" s="14" t="str">
        <f>_xlfn.XLOOKUP(B126,'[1]Synthese suivi modernisation'!A:A,'[1]Synthese suivi modernisation'!S:S)</f>
        <v>TOUBA01</v>
      </c>
      <c r="G126" s="14" t="str">
        <f>_xlfn.XLOOKUP(B126,'[1]Synthese suivi modernisation'!A:A,'[1]Synthese suivi modernisation'!T:T)</f>
        <v>THIES</v>
      </c>
      <c r="H126" s="20" t="s">
        <v>70</v>
      </c>
      <c r="I126" s="20" t="s">
        <v>71</v>
      </c>
      <c r="J126" s="16" t="s">
        <v>70</v>
      </c>
      <c r="K126" s="24">
        <v>6000</v>
      </c>
      <c r="L126" s="14">
        <v>5</v>
      </c>
      <c r="M126" s="17" t="s">
        <v>73</v>
      </c>
      <c r="N126" s="16" t="s">
        <v>85</v>
      </c>
      <c r="O126" s="16">
        <v>33</v>
      </c>
      <c r="P126" s="18">
        <v>31.083333333333332</v>
      </c>
      <c r="Q126" s="20"/>
      <c r="R126" s="20"/>
      <c r="S126" s="19">
        <v>0.8</v>
      </c>
      <c r="T126" s="20">
        <f t="shared" si="7"/>
        <v>18.939393939393938</v>
      </c>
      <c r="U126" s="20">
        <v>0.27</v>
      </c>
      <c r="V126" s="20">
        <f t="shared" si="8"/>
        <v>1.35</v>
      </c>
      <c r="W126" s="20"/>
      <c r="X126" s="20"/>
      <c r="Y126" s="20">
        <f t="shared" si="9"/>
        <v>0</v>
      </c>
      <c r="Z126" s="21">
        <f t="shared" si="10"/>
        <v>-31.083333333333332</v>
      </c>
      <c r="AA126" s="20"/>
      <c r="AB126" s="20"/>
      <c r="AC126" s="20"/>
      <c r="AD126" s="20">
        <f t="shared" si="11"/>
        <v>0</v>
      </c>
      <c r="AE126" s="20"/>
      <c r="AF126" s="20"/>
      <c r="AG126" s="20"/>
      <c r="AH126" s="20"/>
      <c r="AI126" s="20">
        <f t="shared" si="12"/>
        <v>0</v>
      </c>
      <c r="AJ126" s="20"/>
    </row>
    <row r="127" spans="2:36">
      <c r="B127" s="11" t="s">
        <v>344</v>
      </c>
      <c r="C127" s="12" t="s">
        <v>345</v>
      </c>
      <c r="D127" s="12" t="s">
        <v>38</v>
      </c>
      <c r="E127" s="13" t="s">
        <v>39</v>
      </c>
      <c r="F127" s="14" t="str">
        <f>_xlfn.XLOOKUP(B127,'[1]Synthese suivi modernisation'!A:A,'[1]Synthese suivi modernisation'!S:S)</f>
        <v>KEDOUGOU</v>
      </c>
      <c r="G127" s="14" t="str">
        <f>_xlfn.XLOOKUP(B127,'[1]Synthese suivi modernisation'!A:A,'[1]Synthese suivi modernisation'!T:T)</f>
        <v>TAMBACOUNDA</v>
      </c>
      <c r="H127" s="20" t="s">
        <v>209</v>
      </c>
      <c r="I127" s="14" t="s">
        <v>41</v>
      </c>
      <c r="J127" s="16" t="s">
        <v>209</v>
      </c>
      <c r="K127" s="24">
        <v>3000</v>
      </c>
      <c r="L127" s="14">
        <v>5</v>
      </c>
      <c r="M127" s="17" t="s">
        <v>42</v>
      </c>
      <c r="N127" s="16" t="s">
        <v>80</v>
      </c>
      <c r="O127" s="16">
        <v>33</v>
      </c>
      <c r="P127" s="18">
        <v>619.75</v>
      </c>
      <c r="Q127" s="20"/>
      <c r="R127" s="20"/>
      <c r="S127" s="19">
        <v>0.8</v>
      </c>
      <c r="T127" s="20">
        <f t="shared" si="7"/>
        <v>18.939393939393938</v>
      </c>
      <c r="U127" s="20">
        <v>0.27</v>
      </c>
      <c r="V127" s="20">
        <f t="shared" si="8"/>
        <v>1.35</v>
      </c>
      <c r="W127" s="20"/>
      <c r="X127" s="20"/>
      <c r="Y127" s="20">
        <f t="shared" si="9"/>
        <v>0</v>
      </c>
      <c r="Z127" s="21">
        <f t="shared" si="10"/>
        <v>-619.75</v>
      </c>
      <c r="AA127" s="20"/>
      <c r="AB127" s="20"/>
      <c r="AC127" s="20"/>
      <c r="AD127" s="20">
        <f t="shared" si="11"/>
        <v>0</v>
      </c>
      <c r="AE127" s="20"/>
      <c r="AF127" s="20"/>
      <c r="AG127" s="20"/>
      <c r="AH127" s="20"/>
      <c r="AI127" s="20">
        <f t="shared" si="12"/>
        <v>0</v>
      </c>
      <c r="AJ127" s="20"/>
    </row>
    <row r="128" spans="2:36">
      <c r="B128" s="11" t="s">
        <v>346</v>
      </c>
      <c r="C128" s="12" t="s">
        <v>347</v>
      </c>
      <c r="D128" s="12" t="s">
        <v>38</v>
      </c>
      <c r="E128" s="13" t="s">
        <v>39</v>
      </c>
      <c r="F128" s="14" t="str">
        <f>_xlfn.XLOOKUP(B128,'[1]Synthese suivi modernisation'!A:A,'[1]Synthese suivi modernisation'!S:S)</f>
        <v>KOUNGHEUL</v>
      </c>
      <c r="G128" s="14" t="str">
        <f>_xlfn.XLOOKUP(B128,'[1]Synthese suivi modernisation'!A:A,'[1]Synthese suivi modernisation'!T:T)</f>
        <v>TAMBACOUNDA</v>
      </c>
      <c r="H128" s="20" t="s">
        <v>70</v>
      </c>
      <c r="I128" s="20" t="s">
        <v>71</v>
      </c>
      <c r="J128" s="16" t="s">
        <v>70</v>
      </c>
      <c r="K128" s="24">
        <v>8000</v>
      </c>
      <c r="L128" s="14">
        <v>13</v>
      </c>
      <c r="M128" s="17" t="s">
        <v>73</v>
      </c>
      <c r="N128" s="16" t="s">
        <v>196</v>
      </c>
      <c r="O128" s="16">
        <v>66</v>
      </c>
      <c r="P128" s="18">
        <v>88.833333333333329</v>
      </c>
      <c r="Q128" s="20"/>
      <c r="R128" s="20"/>
      <c r="S128" s="19">
        <v>0.8</v>
      </c>
      <c r="T128" s="20">
        <f t="shared" si="7"/>
        <v>24.621212121212118</v>
      </c>
      <c r="U128" s="20">
        <v>0.27</v>
      </c>
      <c r="V128" s="20">
        <f t="shared" si="8"/>
        <v>3.5100000000000002</v>
      </c>
      <c r="W128" s="20"/>
      <c r="X128" s="20"/>
      <c r="Y128" s="20">
        <f t="shared" si="9"/>
        <v>0</v>
      </c>
      <c r="Z128" s="21">
        <f t="shared" si="10"/>
        <v>-88.833333333333329</v>
      </c>
      <c r="AA128" s="20"/>
      <c r="AB128" s="20"/>
      <c r="AC128" s="20"/>
      <c r="AD128" s="20">
        <f t="shared" si="11"/>
        <v>0</v>
      </c>
      <c r="AE128" s="20"/>
      <c r="AF128" s="20"/>
      <c r="AG128" s="20"/>
      <c r="AH128" s="20"/>
      <c r="AI128" s="20">
        <f t="shared" si="12"/>
        <v>0</v>
      </c>
      <c r="AJ128" s="20"/>
    </row>
    <row r="129" spans="2:36">
      <c r="B129" s="11" t="s">
        <v>348</v>
      </c>
      <c r="C129" s="12" t="s">
        <v>349</v>
      </c>
      <c r="D129" s="12" t="s">
        <v>38</v>
      </c>
      <c r="E129" s="13" t="s">
        <v>39</v>
      </c>
      <c r="F129" s="14" t="str">
        <f>_xlfn.XLOOKUP(B129,'[1]Synthese suivi modernisation'!A:A,'[1]Synthese suivi modernisation'!S:S)</f>
        <v>BAKEL</v>
      </c>
      <c r="G129" s="14" t="str">
        <f>_xlfn.XLOOKUP(B129,'[1]Synthese suivi modernisation'!A:A,'[1]Synthese suivi modernisation'!T:T)</f>
        <v>SAINT-LOUIS</v>
      </c>
      <c r="H129" s="20" t="s">
        <v>180</v>
      </c>
      <c r="I129" s="20" t="s">
        <v>71</v>
      </c>
      <c r="J129" s="16" t="s">
        <v>350</v>
      </c>
      <c r="K129" s="24">
        <v>4000</v>
      </c>
      <c r="L129" s="14">
        <v>5</v>
      </c>
      <c r="M129" s="17" t="s">
        <v>73</v>
      </c>
      <c r="N129" s="16" t="s">
        <v>74</v>
      </c>
      <c r="O129" s="16">
        <v>30</v>
      </c>
      <c r="P129" s="18">
        <v>0</v>
      </c>
      <c r="Q129" s="20"/>
      <c r="R129" s="20"/>
      <c r="S129" s="19">
        <v>0.8</v>
      </c>
      <c r="T129" s="20">
        <f t="shared" si="7"/>
        <v>20.833333333333336</v>
      </c>
      <c r="U129" s="20">
        <v>0.27</v>
      </c>
      <c r="V129" s="20">
        <f t="shared" si="8"/>
        <v>1.35</v>
      </c>
      <c r="W129" s="20"/>
      <c r="X129" s="20"/>
      <c r="Y129" s="20">
        <f t="shared" si="9"/>
        <v>0</v>
      </c>
      <c r="Z129" s="21">
        <f t="shared" si="10"/>
        <v>0</v>
      </c>
      <c r="AA129" s="20"/>
      <c r="AB129" s="20"/>
      <c r="AC129" s="20"/>
      <c r="AD129" s="20">
        <f t="shared" si="11"/>
        <v>0</v>
      </c>
      <c r="AE129" s="20"/>
      <c r="AF129" s="20"/>
      <c r="AG129" s="20"/>
      <c r="AH129" s="20"/>
      <c r="AI129" s="20">
        <f t="shared" si="12"/>
        <v>0</v>
      </c>
      <c r="AJ129" s="20"/>
    </row>
    <row r="130" spans="2:36">
      <c r="B130" s="11" t="s">
        <v>351</v>
      </c>
      <c r="C130" s="12" t="s">
        <v>352</v>
      </c>
      <c r="D130" s="12" t="s">
        <v>38</v>
      </c>
      <c r="E130" s="13" t="s">
        <v>39</v>
      </c>
      <c r="F130" s="14" t="str">
        <f>_xlfn.XLOOKUP(B130,'[1]Synthese suivi modernisation'!A:A,'[1]Synthese suivi modernisation'!S:S)</f>
        <v>KOUNGHEUL</v>
      </c>
      <c r="G130" s="14" t="str">
        <f>_xlfn.XLOOKUP(B130,'[1]Synthese suivi modernisation'!A:A,'[1]Synthese suivi modernisation'!T:T)</f>
        <v>TAMBACOUNDA</v>
      </c>
      <c r="H130" s="20" t="s">
        <v>70</v>
      </c>
      <c r="I130" s="20" t="s">
        <v>71</v>
      </c>
      <c r="J130" s="16" t="s">
        <v>70</v>
      </c>
      <c r="K130" s="24">
        <v>17000</v>
      </c>
      <c r="L130" s="14">
        <v>16</v>
      </c>
      <c r="M130" s="17" t="s">
        <v>73</v>
      </c>
      <c r="N130" s="16" t="s">
        <v>91</v>
      </c>
      <c r="O130" s="16">
        <v>30</v>
      </c>
      <c r="P130" s="18">
        <v>74.666666666666671</v>
      </c>
      <c r="Q130" s="20"/>
      <c r="R130" s="20"/>
      <c r="S130" s="19">
        <v>0.8</v>
      </c>
      <c r="T130" s="20">
        <f t="shared" si="7"/>
        <v>66.666666666666657</v>
      </c>
      <c r="U130" s="20">
        <v>0.27</v>
      </c>
      <c r="V130" s="20">
        <f t="shared" si="8"/>
        <v>4.32</v>
      </c>
      <c r="W130" s="20"/>
      <c r="X130" s="20"/>
      <c r="Y130" s="20">
        <f t="shared" si="9"/>
        <v>0</v>
      </c>
      <c r="Z130" s="21">
        <f t="shared" si="10"/>
        <v>-74.666666666666671</v>
      </c>
      <c r="AA130" s="20"/>
      <c r="AB130" s="20"/>
      <c r="AC130" s="20"/>
      <c r="AD130" s="20">
        <f t="shared" si="11"/>
        <v>0</v>
      </c>
      <c r="AE130" s="20"/>
      <c r="AF130" s="20"/>
      <c r="AG130" s="20"/>
      <c r="AH130" s="20"/>
      <c r="AI130" s="20">
        <f t="shared" si="12"/>
        <v>0</v>
      </c>
      <c r="AJ130" s="20"/>
    </row>
    <row r="131" spans="2:36">
      <c r="B131" s="11" t="s">
        <v>353</v>
      </c>
      <c r="C131" s="12" t="s">
        <v>354</v>
      </c>
      <c r="D131" s="12" t="s">
        <v>38</v>
      </c>
      <c r="E131" s="13" t="s">
        <v>39</v>
      </c>
      <c r="F131" s="14" t="str">
        <f>_xlfn.XLOOKUP(B131,'[1]Synthese suivi modernisation'!A:A,'[1]Synthese suivi modernisation'!S:S)</f>
        <v>VELINGARA</v>
      </c>
      <c r="G131" s="14" t="str">
        <f>_xlfn.XLOOKUP(B131,'[1]Synthese suivi modernisation'!A:A,'[1]Synthese suivi modernisation'!T:T)</f>
        <v>ZIGUINCHOR</v>
      </c>
      <c r="H131" s="20" t="s">
        <v>355</v>
      </c>
      <c r="I131" s="20" t="s">
        <v>71</v>
      </c>
      <c r="J131" s="16" t="s">
        <v>355</v>
      </c>
      <c r="K131" s="24">
        <v>6000</v>
      </c>
      <c r="L131" s="14">
        <v>8</v>
      </c>
      <c r="M131" s="17" t="s">
        <v>73</v>
      </c>
      <c r="N131" s="16" t="s">
        <v>196</v>
      </c>
      <c r="O131" s="16">
        <v>66</v>
      </c>
      <c r="P131" s="18">
        <v>38.583333333333336</v>
      </c>
      <c r="Q131" s="20"/>
      <c r="R131" s="20"/>
      <c r="S131" s="19">
        <v>0.8</v>
      </c>
      <c r="T131" s="20">
        <f t="shared" si="7"/>
        <v>15.151515151515149</v>
      </c>
      <c r="U131" s="20">
        <v>0.27</v>
      </c>
      <c r="V131" s="20">
        <f t="shared" si="8"/>
        <v>2.16</v>
      </c>
      <c r="W131" s="20"/>
      <c r="X131" s="20"/>
      <c r="Y131" s="20">
        <f t="shared" si="9"/>
        <v>0</v>
      </c>
      <c r="Z131" s="21">
        <f t="shared" si="10"/>
        <v>-38.583333333333336</v>
      </c>
      <c r="AA131" s="20"/>
      <c r="AB131" s="20"/>
      <c r="AC131" s="20"/>
      <c r="AD131" s="20">
        <f t="shared" si="11"/>
        <v>0</v>
      </c>
      <c r="AE131" s="20"/>
      <c r="AF131" s="20"/>
      <c r="AG131" s="20"/>
      <c r="AH131" s="20"/>
      <c r="AI131" s="20">
        <f t="shared" si="12"/>
        <v>0</v>
      </c>
      <c r="AJ131" s="20"/>
    </row>
    <row r="132" spans="2:36">
      <c r="B132" s="11" t="s">
        <v>356</v>
      </c>
      <c r="C132" s="12" t="s">
        <v>357</v>
      </c>
      <c r="D132" s="12" t="s">
        <v>38</v>
      </c>
      <c r="E132" s="13" t="s">
        <v>39</v>
      </c>
      <c r="F132" s="14" t="str">
        <f>_xlfn.XLOOKUP(B132,'[1]Synthese suivi modernisation'!A:A,'[1]Synthese suivi modernisation'!S:S)</f>
        <v>TIVAOUANE</v>
      </c>
      <c r="G132" s="14" t="str">
        <f>_xlfn.XLOOKUP(B132,'[1]Synthese suivi modernisation'!A:A,'[1]Synthese suivi modernisation'!T:T)</f>
        <v>THIES</v>
      </c>
      <c r="H132" s="20" t="s">
        <v>40</v>
      </c>
      <c r="I132" s="14" t="s">
        <v>41</v>
      </c>
      <c r="J132" s="16" t="s">
        <v>40</v>
      </c>
      <c r="K132" s="24">
        <v>1750</v>
      </c>
      <c r="L132" s="14">
        <v>2.5</v>
      </c>
      <c r="M132" s="17" t="s">
        <v>42</v>
      </c>
      <c r="N132" s="16" t="s">
        <v>80</v>
      </c>
      <c r="O132" s="16">
        <v>33</v>
      </c>
      <c r="P132" s="18">
        <v>91.166666666666671</v>
      </c>
      <c r="Q132" s="20"/>
      <c r="R132" s="20"/>
      <c r="S132" s="19">
        <v>0.8</v>
      </c>
      <c r="T132" s="20">
        <f t="shared" si="7"/>
        <v>9.4696969696969688</v>
      </c>
      <c r="U132" s="20">
        <v>0.27</v>
      </c>
      <c r="V132" s="20">
        <f t="shared" si="8"/>
        <v>0.67500000000000004</v>
      </c>
      <c r="W132" s="20"/>
      <c r="X132" s="20"/>
      <c r="Y132" s="20">
        <f t="shared" si="9"/>
        <v>0</v>
      </c>
      <c r="Z132" s="21">
        <f t="shared" si="10"/>
        <v>-91.166666666666671</v>
      </c>
      <c r="AA132" s="20"/>
      <c r="AB132" s="20"/>
      <c r="AC132" s="20"/>
      <c r="AD132" s="20">
        <f t="shared" si="11"/>
        <v>0</v>
      </c>
      <c r="AE132" s="20"/>
      <c r="AF132" s="20"/>
      <c r="AG132" s="20"/>
      <c r="AH132" s="20"/>
      <c r="AI132" s="20">
        <f t="shared" si="12"/>
        <v>0</v>
      </c>
      <c r="AJ132" s="20"/>
    </row>
    <row r="133" spans="2:36">
      <c r="B133" s="11" t="s">
        <v>358</v>
      </c>
      <c r="C133" s="12" t="s">
        <v>359</v>
      </c>
      <c r="D133" s="12" t="s">
        <v>38</v>
      </c>
      <c r="E133" s="13" t="s">
        <v>39</v>
      </c>
      <c r="F133" s="14" t="str">
        <f>_xlfn.XLOOKUP(B133,'[1]Synthese suivi modernisation'!A:A,'[1]Synthese suivi modernisation'!S:S)</f>
        <v>LINGUERE</v>
      </c>
      <c r="G133" s="14" t="str">
        <f>_xlfn.XLOOKUP(B133,'[1]Synthese suivi modernisation'!A:A,'[1]Synthese suivi modernisation'!T:T)</f>
        <v>THIES</v>
      </c>
      <c r="H133" s="20" t="s">
        <v>209</v>
      </c>
      <c r="I133" s="14" t="s">
        <v>41</v>
      </c>
      <c r="J133" s="16" t="s">
        <v>209</v>
      </c>
      <c r="K133" s="24">
        <v>2500</v>
      </c>
      <c r="L133" s="14">
        <v>3.5</v>
      </c>
      <c r="M133" s="17" t="s">
        <v>42</v>
      </c>
      <c r="N133" s="16" t="s">
        <v>324</v>
      </c>
      <c r="O133" s="16">
        <v>22</v>
      </c>
      <c r="P133" s="18">
        <v>385.66666666666669</v>
      </c>
      <c r="Q133" s="20"/>
      <c r="R133" s="20"/>
      <c r="S133" s="19">
        <v>0.8</v>
      </c>
      <c r="T133" s="20">
        <f t="shared" si="7"/>
        <v>19.886363636363637</v>
      </c>
      <c r="U133" s="20">
        <v>0.27</v>
      </c>
      <c r="V133" s="20">
        <f t="shared" si="8"/>
        <v>0.94500000000000006</v>
      </c>
      <c r="W133" s="20"/>
      <c r="X133" s="20"/>
      <c r="Y133" s="20">
        <f t="shared" si="9"/>
        <v>0</v>
      </c>
      <c r="Z133" s="21">
        <f t="shared" si="10"/>
        <v>-385.66666666666669</v>
      </c>
      <c r="AA133" s="20"/>
      <c r="AB133" s="20"/>
      <c r="AC133" s="20"/>
      <c r="AD133" s="20">
        <f t="shared" si="11"/>
        <v>0</v>
      </c>
      <c r="AE133" s="20"/>
      <c r="AF133" s="20"/>
      <c r="AG133" s="20"/>
      <c r="AH133" s="20"/>
      <c r="AI133" s="20">
        <f t="shared" si="12"/>
        <v>0</v>
      </c>
      <c r="AJ133" s="20"/>
    </row>
    <row r="134" spans="2:36">
      <c r="B134" s="11" t="s">
        <v>360</v>
      </c>
      <c r="C134" s="12" t="s">
        <v>361</v>
      </c>
      <c r="D134" s="12" t="s">
        <v>38</v>
      </c>
      <c r="E134" s="13" t="s">
        <v>39</v>
      </c>
      <c r="F134" s="14" t="str">
        <f>_xlfn.XLOOKUP(B134,'[1]Synthese suivi modernisation'!A:A,'[1]Synthese suivi modernisation'!S:S)</f>
        <v>LINGUERE</v>
      </c>
      <c r="G134" s="14" t="str">
        <f>_xlfn.XLOOKUP(B134,'[1]Synthese suivi modernisation'!A:A,'[1]Synthese suivi modernisation'!T:T)</f>
        <v>SAINT-LOUIS</v>
      </c>
      <c r="H134" s="20" t="s">
        <v>70</v>
      </c>
      <c r="I134" s="20" t="s">
        <v>71</v>
      </c>
      <c r="J134" s="16" t="s">
        <v>70</v>
      </c>
      <c r="K134" s="24">
        <v>11000</v>
      </c>
      <c r="L134" s="14">
        <v>13</v>
      </c>
      <c r="M134" s="17" t="s">
        <v>73</v>
      </c>
      <c r="N134" s="16" t="s">
        <v>362</v>
      </c>
      <c r="O134" s="16">
        <v>165</v>
      </c>
      <c r="P134" s="18">
        <v>88.833333333333329</v>
      </c>
      <c r="Q134" s="20"/>
      <c r="R134" s="20"/>
      <c r="S134" s="19">
        <v>0.8</v>
      </c>
      <c r="T134" s="20">
        <f t="shared" ref="T134:T197" si="13">(((Q134*R134)/(1000*S134)+L134)/(O134*0.8))*100</f>
        <v>9.8484848484848477</v>
      </c>
      <c r="U134" s="20">
        <v>0.27</v>
      </c>
      <c r="V134" s="20">
        <f t="shared" ref="V134:V197" si="14">(((Q134*R134)/(1000*S134)+L134))*U134</f>
        <v>3.5100000000000002</v>
      </c>
      <c r="W134" s="20"/>
      <c r="X134" s="20"/>
      <c r="Y134" s="20">
        <f t="shared" ref="Y134:Y197" si="15">+X134*V134</f>
        <v>0</v>
      </c>
      <c r="Z134" s="21">
        <f t="shared" ref="Z134:Z197" si="16">Y134-P134</f>
        <v>-88.833333333333329</v>
      </c>
      <c r="AA134" s="20"/>
      <c r="AB134" s="20"/>
      <c r="AC134" s="20"/>
      <c r="AD134" s="20">
        <f t="shared" ref="AD134:AD197" si="17">AC134-Y134</f>
        <v>0</v>
      </c>
      <c r="AE134" s="20"/>
      <c r="AF134" s="20"/>
      <c r="AG134" s="20"/>
      <c r="AH134" s="20"/>
      <c r="AI134" s="20">
        <f t="shared" ref="AI134:AI197" si="18">AG134-AH134</f>
        <v>0</v>
      </c>
      <c r="AJ134" s="20"/>
    </row>
    <row r="135" spans="2:36">
      <c r="B135" s="11" t="s">
        <v>363</v>
      </c>
      <c r="C135" s="12" t="s">
        <v>364</v>
      </c>
      <c r="D135" s="12" t="s">
        <v>38</v>
      </c>
      <c r="E135" s="13" t="s">
        <v>39</v>
      </c>
      <c r="F135" s="14" t="str">
        <f>_xlfn.XLOOKUP(B135,'[1]Synthese suivi modernisation'!A:A,'[1]Synthese suivi modernisation'!S:S)</f>
        <v>VELINGARA</v>
      </c>
      <c r="G135" s="14" t="str">
        <f>_xlfn.XLOOKUP(B135,'[1]Synthese suivi modernisation'!A:A,'[1]Synthese suivi modernisation'!T:T)</f>
        <v>ZIGUINCHOR</v>
      </c>
      <c r="H135" s="20" t="s">
        <v>40</v>
      </c>
      <c r="I135" s="14" t="s">
        <v>41</v>
      </c>
      <c r="J135" s="16" t="s">
        <v>40</v>
      </c>
      <c r="K135" s="24">
        <v>4000</v>
      </c>
      <c r="L135" s="14">
        <v>4</v>
      </c>
      <c r="M135" s="17" t="s">
        <v>42</v>
      </c>
      <c r="N135" s="16" t="s">
        <v>67</v>
      </c>
      <c r="O135" s="16">
        <v>50</v>
      </c>
      <c r="P135" s="18">
        <v>627.91666666666663</v>
      </c>
      <c r="Q135" s="20"/>
      <c r="R135" s="20"/>
      <c r="S135" s="19">
        <v>0.8</v>
      </c>
      <c r="T135" s="20">
        <f t="shared" si="13"/>
        <v>10</v>
      </c>
      <c r="U135" s="20">
        <v>0.27</v>
      </c>
      <c r="V135" s="20">
        <f t="shared" si="14"/>
        <v>1.08</v>
      </c>
      <c r="W135" s="20"/>
      <c r="X135" s="20"/>
      <c r="Y135" s="20">
        <f t="shared" si="15"/>
        <v>0</v>
      </c>
      <c r="Z135" s="21">
        <f t="shared" si="16"/>
        <v>-627.91666666666663</v>
      </c>
      <c r="AA135" s="20"/>
      <c r="AB135" s="20"/>
      <c r="AC135" s="20"/>
      <c r="AD135" s="20">
        <f t="shared" si="17"/>
        <v>0</v>
      </c>
      <c r="AE135" s="20"/>
      <c r="AF135" s="20"/>
      <c r="AG135" s="20"/>
      <c r="AH135" s="20"/>
      <c r="AI135" s="20">
        <f t="shared" si="18"/>
        <v>0</v>
      </c>
      <c r="AJ135" s="20"/>
    </row>
    <row r="136" spans="2:36">
      <c r="B136" s="11" t="s">
        <v>365</v>
      </c>
      <c r="C136" s="12" t="s">
        <v>366</v>
      </c>
      <c r="D136" s="12" t="s">
        <v>38</v>
      </c>
      <c r="E136" s="13" t="s">
        <v>39</v>
      </c>
      <c r="F136" s="14" t="str">
        <f>_xlfn.XLOOKUP(B136,'[1]Synthese suivi modernisation'!A:A,'[1]Synthese suivi modernisation'!S:S)</f>
        <v>VELINGARA</v>
      </c>
      <c r="G136" s="14" t="str">
        <f>_xlfn.XLOOKUP(B136,'[1]Synthese suivi modernisation'!A:A,'[1]Synthese suivi modernisation'!T:T)</f>
        <v>ZIGUINCHOR</v>
      </c>
      <c r="H136" s="20" t="s">
        <v>54</v>
      </c>
      <c r="I136" s="14" t="s">
        <v>41</v>
      </c>
      <c r="J136" s="23" t="s">
        <v>40</v>
      </c>
      <c r="K136" s="24">
        <v>2750</v>
      </c>
      <c r="L136" s="14">
        <v>2.75</v>
      </c>
      <c r="M136" s="17" t="s">
        <v>42</v>
      </c>
      <c r="N136" s="16" t="s">
        <v>55</v>
      </c>
      <c r="O136" s="16">
        <v>33</v>
      </c>
      <c r="P136" s="18">
        <v>240.41666666666666</v>
      </c>
      <c r="Q136" s="20"/>
      <c r="R136" s="20"/>
      <c r="S136" s="19">
        <v>0.8</v>
      </c>
      <c r="T136" s="20">
        <f t="shared" si="13"/>
        <v>10.416666666666666</v>
      </c>
      <c r="U136" s="20">
        <v>0.27</v>
      </c>
      <c r="V136" s="20">
        <f t="shared" si="14"/>
        <v>0.74250000000000005</v>
      </c>
      <c r="W136" s="20"/>
      <c r="X136" s="20"/>
      <c r="Y136" s="20">
        <f t="shared" si="15"/>
        <v>0</v>
      </c>
      <c r="Z136" s="21">
        <f t="shared" si="16"/>
        <v>-240.41666666666666</v>
      </c>
      <c r="AA136" s="20"/>
      <c r="AB136" s="20"/>
      <c r="AC136" s="20"/>
      <c r="AD136" s="20">
        <f t="shared" si="17"/>
        <v>0</v>
      </c>
      <c r="AE136" s="20"/>
      <c r="AF136" s="20"/>
      <c r="AG136" s="20"/>
      <c r="AH136" s="20"/>
      <c r="AI136" s="20">
        <f t="shared" si="18"/>
        <v>0</v>
      </c>
      <c r="AJ136" s="20"/>
    </row>
    <row r="137" spans="2:36">
      <c r="B137" s="11" t="s">
        <v>367</v>
      </c>
      <c r="C137" s="12" t="s">
        <v>368</v>
      </c>
      <c r="D137" s="12" t="s">
        <v>38</v>
      </c>
      <c r="E137" s="13" t="s">
        <v>39</v>
      </c>
      <c r="F137" s="14" t="str">
        <f>_xlfn.XLOOKUP(B137,'[1]Synthese suivi modernisation'!A:A,'[1]Synthese suivi modernisation'!S:S)</f>
        <v>NDIOUM</v>
      </c>
      <c r="G137" s="14" t="str">
        <f>_xlfn.XLOOKUP(B137,'[1]Synthese suivi modernisation'!A:A,'[1]Synthese suivi modernisation'!T:T)</f>
        <v>SAINT-LOUIS</v>
      </c>
      <c r="H137" s="20" t="s">
        <v>40</v>
      </c>
      <c r="I137" s="14" t="s">
        <v>41</v>
      </c>
      <c r="J137" s="16" t="s">
        <v>40</v>
      </c>
      <c r="K137" s="24">
        <v>4000</v>
      </c>
      <c r="L137" s="14">
        <v>4.5</v>
      </c>
      <c r="M137" s="17" t="s">
        <v>42</v>
      </c>
      <c r="N137" s="16" t="s">
        <v>111</v>
      </c>
      <c r="O137" s="16">
        <v>22</v>
      </c>
      <c r="P137" s="18">
        <v>664.91666666666663</v>
      </c>
      <c r="Q137" s="20"/>
      <c r="R137" s="20"/>
      <c r="S137" s="19">
        <v>0.8</v>
      </c>
      <c r="T137" s="20">
        <f t="shared" si="13"/>
        <v>25.568181818181817</v>
      </c>
      <c r="U137" s="20">
        <v>0.27</v>
      </c>
      <c r="V137" s="20">
        <f t="shared" si="14"/>
        <v>1.2150000000000001</v>
      </c>
      <c r="W137" s="20"/>
      <c r="X137" s="20"/>
      <c r="Y137" s="20">
        <f t="shared" si="15"/>
        <v>0</v>
      </c>
      <c r="Z137" s="21">
        <f t="shared" si="16"/>
        <v>-664.91666666666663</v>
      </c>
      <c r="AA137" s="20"/>
      <c r="AB137" s="20"/>
      <c r="AC137" s="20"/>
      <c r="AD137" s="20">
        <f t="shared" si="17"/>
        <v>0</v>
      </c>
      <c r="AE137" s="20"/>
      <c r="AF137" s="20"/>
      <c r="AG137" s="20"/>
      <c r="AH137" s="20"/>
      <c r="AI137" s="20">
        <f t="shared" si="18"/>
        <v>0</v>
      </c>
      <c r="AJ137" s="20"/>
    </row>
    <row r="138" spans="2:36">
      <c r="B138" s="11" t="s">
        <v>369</v>
      </c>
      <c r="C138" s="12" t="s">
        <v>370</v>
      </c>
      <c r="D138" s="12" t="s">
        <v>38</v>
      </c>
      <c r="E138" s="13" t="s">
        <v>39</v>
      </c>
      <c r="F138" s="14" t="str">
        <f>_xlfn.XLOOKUP(B138,'[1]Synthese suivi modernisation'!A:A,'[1]Synthese suivi modernisation'!S:S)</f>
        <v>LOUGA</v>
      </c>
      <c r="G138" s="14" t="str">
        <f>_xlfn.XLOOKUP(B138,'[1]Synthese suivi modernisation'!A:A,'[1]Synthese suivi modernisation'!T:T)</f>
        <v>SAINT-LOUIS</v>
      </c>
      <c r="H138" s="20" t="s">
        <v>70</v>
      </c>
      <c r="I138" s="20" t="s">
        <v>71</v>
      </c>
      <c r="J138" s="16" t="s">
        <v>70</v>
      </c>
      <c r="K138" s="24">
        <v>11000</v>
      </c>
      <c r="L138" s="14">
        <v>13</v>
      </c>
      <c r="M138" s="17" t="s">
        <v>73</v>
      </c>
      <c r="N138" s="16" t="s">
        <v>67</v>
      </c>
      <c r="O138" s="16">
        <v>50</v>
      </c>
      <c r="P138" s="18">
        <v>85.333333333333329</v>
      </c>
      <c r="Q138" s="20"/>
      <c r="R138" s="20"/>
      <c r="S138" s="19">
        <v>0.8</v>
      </c>
      <c r="T138" s="20">
        <f t="shared" si="13"/>
        <v>32.5</v>
      </c>
      <c r="U138" s="20">
        <v>0.27</v>
      </c>
      <c r="V138" s="20">
        <f t="shared" si="14"/>
        <v>3.5100000000000002</v>
      </c>
      <c r="W138" s="20"/>
      <c r="X138" s="20"/>
      <c r="Y138" s="20">
        <f t="shared" si="15"/>
        <v>0</v>
      </c>
      <c r="Z138" s="21">
        <f t="shared" si="16"/>
        <v>-85.333333333333329</v>
      </c>
      <c r="AA138" s="20"/>
      <c r="AB138" s="20"/>
      <c r="AC138" s="20"/>
      <c r="AD138" s="20">
        <f t="shared" si="17"/>
        <v>0</v>
      </c>
      <c r="AE138" s="20"/>
      <c r="AF138" s="20"/>
      <c r="AG138" s="20"/>
      <c r="AH138" s="20"/>
      <c r="AI138" s="20">
        <f t="shared" si="18"/>
        <v>0</v>
      </c>
      <c r="AJ138" s="20"/>
    </row>
    <row r="139" spans="2:36">
      <c r="B139" s="11" t="s">
        <v>371</v>
      </c>
      <c r="C139" s="12" t="s">
        <v>372</v>
      </c>
      <c r="D139" s="12" t="s">
        <v>38</v>
      </c>
      <c r="E139" s="13" t="s">
        <v>39</v>
      </c>
      <c r="F139" s="14" t="str">
        <f>_xlfn.XLOOKUP(B139,'[1]Synthese suivi modernisation'!A:A,'[1]Synthese suivi modernisation'!S:S)</f>
        <v>LOUGA</v>
      </c>
      <c r="G139" s="14" t="str">
        <f>_xlfn.XLOOKUP(B139,'[1]Synthese suivi modernisation'!A:A,'[1]Synthese suivi modernisation'!T:T)</f>
        <v>SAINT-LOUIS</v>
      </c>
      <c r="H139" s="20" t="s">
        <v>70</v>
      </c>
      <c r="I139" s="20" t="s">
        <v>71</v>
      </c>
      <c r="J139" s="16" t="s">
        <v>70</v>
      </c>
      <c r="K139" s="24">
        <v>25000</v>
      </c>
      <c r="L139" s="14">
        <v>9</v>
      </c>
      <c r="M139" s="17" t="s">
        <v>73</v>
      </c>
      <c r="N139" s="16" t="s">
        <v>362</v>
      </c>
      <c r="O139" s="16">
        <v>165</v>
      </c>
      <c r="P139" s="18">
        <v>49.25</v>
      </c>
      <c r="Q139" s="20"/>
      <c r="R139" s="20"/>
      <c r="S139" s="19">
        <v>0.8</v>
      </c>
      <c r="T139" s="20">
        <f t="shared" si="13"/>
        <v>6.8181818181818175</v>
      </c>
      <c r="U139" s="20">
        <v>0.27</v>
      </c>
      <c r="V139" s="20">
        <f t="shared" si="14"/>
        <v>2.4300000000000002</v>
      </c>
      <c r="W139" s="20"/>
      <c r="X139" s="20"/>
      <c r="Y139" s="20">
        <f t="shared" si="15"/>
        <v>0</v>
      </c>
      <c r="Z139" s="21">
        <f t="shared" si="16"/>
        <v>-49.25</v>
      </c>
      <c r="AA139" s="20"/>
      <c r="AB139" s="20"/>
      <c r="AC139" s="20"/>
      <c r="AD139" s="20">
        <f t="shared" si="17"/>
        <v>0</v>
      </c>
      <c r="AE139" s="20"/>
      <c r="AF139" s="20"/>
      <c r="AG139" s="20"/>
      <c r="AH139" s="20"/>
      <c r="AI139" s="20">
        <f t="shared" si="18"/>
        <v>0</v>
      </c>
      <c r="AJ139" s="20"/>
    </row>
    <row r="140" spans="2:36">
      <c r="B140" s="11" t="s">
        <v>373</v>
      </c>
      <c r="C140" s="12" t="s">
        <v>374</v>
      </c>
      <c r="D140" s="12" t="s">
        <v>38</v>
      </c>
      <c r="E140" s="13" t="s">
        <v>39</v>
      </c>
      <c r="F140" s="14" t="str">
        <f>_xlfn.XLOOKUP(B140,'[1]Synthese suivi modernisation'!A:A,'[1]Synthese suivi modernisation'!S:S)</f>
        <v>KEDOUGOU</v>
      </c>
      <c r="G140" s="14" t="str">
        <f>_xlfn.XLOOKUP(B140,'[1]Synthese suivi modernisation'!A:A,'[1]Synthese suivi modernisation'!T:T)</f>
        <v>TAMBACOUNDA</v>
      </c>
      <c r="H140" s="20" t="s">
        <v>40</v>
      </c>
      <c r="I140" s="14" t="s">
        <v>41</v>
      </c>
      <c r="J140" s="16" t="s">
        <v>40</v>
      </c>
      <c r="K140" s="24">
        <v>4000</v>
      </c>
      <c r="L140" s="14">
        <v>3</v>
      </c>
      <c r="M140" s="17" t="s">
        <v>42</v>
      </c>
      <c r="N140" s="16" t="s">
        <v>123</v>
      </c>
      <c r="O140" s="16">
        <v>22</v>
      </c>
      <c r="P140" s="18">
        <v>278.58333333333331</v>
      </c>
      <c r="Q140" s="20"/>
      <c r="R140" s="20"/>
      <c r="S140" s="19">
        <v>0.8</v>
      </c>
      <c r="T140" s="20">
        <f t="shared" si="13"/>
        <v>17.045454545454543</v>
      </c>
      <c r="U140" s="20">
        <v>0.27</v>
      </c>
      <c r="V140" s="20">
        <f t="shared" si="14"/>
        <v>0.81</v>
      </c>
      <c r="W140" s="20"/>
      <c r="X140" s="20"/>
      <c r="Y140" s="20">
        <f t="shared" si="15"/>
        <v>0</v>
      </c>
      <c r="Z140" s="21">
        <f t="shared" si="16"/>
        <v>-278.58333333333331</v>
      </c>
      <c r="AA140" s="20"/>
      <c r="AB140" s="20"/>
      <c r="AC140" s="20"/>
      <c r="AD140" s="20">
        <f t="shared" si="17"/>
        <v>0</v>
      </c>
      <c r="AE140" s="20"/>
      <c r="AF140" s="20"/>
      <c r="AG140" s="20"/>
      <c r="AH140" s="20"/>
      <c r="AI140" s="20">
        <f t="shared" si="18"/>
        <v>0</v>
      </c>
      <c r="AJ140" s="20"/>
    </row>
    <row r="141" spans="2:36">
      <c r="B141" s="11" t="s">
        <v>375</v>
      </c>
      <c r="C141" s="12" t="s">
        <v>376</v>
      </c>
      <c r="D141" s="12" t="s">
        <v>38</v>
      </c>
      <c r="E141" s="13" t="s">
        <v>39</v>
      </c>
      <c r="F141" s="14" t="str">
        <f>_xlfn.XLOOKUP(B141,'[1]Synthese suivi modernisation'!A:A,'[1]Synthese suivi modernisation'!S:S)</f>
        <v>KAOLACK</v>
      </c>
      <c r="G141" s="14" t="str">
        <f>_xlfn.XLOOKUP(B141,'[1]Synthese suivi modernisation'!A:A,'[1]Synthese suivi modernisation'!T:T)</f>
        <v>KAOLACK</v>
      </c>
      <c r="H141" s="20" t="s">
        <v>47</v>
      </c>
      <c r="I141" s="14" t="s">
        <v>41</v>
      </c>
      <c r="J141" s="16" t="s">
        <v>47</v>
      </c>
      <c r="K141" s="24">
        <v>3500</v>
      </c>
      <c r="L141" s="14">
        <v>3.5</v>
      </c>
      <c r="M141" s="17" t="s">
        <v>42</v>
      </c>
      <c r="N141" s="16" t="s">
        <v>51</v>
      </c>
      <c r="O141" s="16">
        <v>22</v>
      </c>
      <c r="P141" s="18">
        <v>654.83333333333337</v>
      </c>
      <c r="Q141" s="20"/>
      <c r="R141" s="20"/>
      <c r="S141" s="19">
        <v>0.8</v>
      </c>
      <c r="T141" s="20">
        <f t="shared" si="13"/>
        <v>19.886363636363637</v>
      </c>
      <c r="U141" s="20">
        <v>0.27</v>
      </c>
      <c r="V141" s="20">
        <f t="shared" si="14"/>
        <v>0.94500000000000006</v>
      </c>
      <c r="W141" s="20"/>
      <c r="X141" s="20"/>
      <c r="Y141" s="20">
        <f t="shared" si="15"/>
        <v>0</v>
      </c>
      <c r="Z141" s="21">
        <f t="shared" si="16"/>
        <v>-654.83333333333337</v>
      </c>
      <c r="AA141" s="20"/>
      <c r="AB141" s="20"/>
      <c r="AC141" s="20"/>
      <c r="AD141" s="20">
        <f t="shared" si="17"/>
        <v>0</v>
      </c>
      <c r="AE141" s="20"/>
      <c r="AF141" s="20"/>
      <c r="AG141" s="20"/>
      <c r="AH141" s="20"/>
      <c r="AI141" s="20">
        <f t="shared" si="18"/>
        <v>0</v>
      </c>
      <c r="AJ141" s="20"/>
    </row>
    <row r="142" spans="2:36">
      <c r="B142" s="11" t="s">
        <v>377</v>
      </c>
      <c r="C142" s="12" t="s">
        <v>378</v>
      </c>
      <c r="D142" s="12" t="s">
        <v>38</v>
      </c>
      <c r="E142" s="13" t="s">
        <v>39</v>
      </c>
      <c r="F142" s="14" t="str">
        <f>_xlfn.XLOOKUP(B142,'[1]Synthese suivi modernisation'!A:A,'[1]Synthese suivi modernisation'!S:S)</f>
        <v>KEDOUGOU</v>
      </c>
      <c r="G142" s="14" t="str">
        <f>_xlfn.XLOOKUP(B142,'[1]Synthese suivi modernisation'!A:A,'[1]Synthese suivi modernisation'!T:T)</f>
        <v>TAMBACOUNDA</v>
      </c>
      <c r="H142" s="20" t="s">
        <v>40</v>
      </c>
      <c r="I142" s="14" t="s">
        <v>41</v>
      </c>
      <c r="J142" s="16" t="s">
        <v>40</v>
      </c>
      <c r="K142" s="24">
        <v>4000</v>
      </c>
      <c r="L142" s="14">
        <v>7.5</v>
      </c>
      <c r="M142" s="17" t="s">
        <v>42</v>
      </c>
      <c r="N142" s="16" t="s">
        <v>67</v>
      </c>
      <c r="O142" s="16">
        <v>50</v>
      </c>
      <c r="P142" s="18">
        <v>24.583333333333332</v>
      </c>
      <c r="Q142" s="20"/>
      <c r="R142" s="20"/>
      <c r="S142" s="19">
        <v>0.8</v>
      </c>
      <c r="T142" s="20">
        <f t="shared" si="13"/>
        <v>18.75</v>
      </c>
      <c r="U142" s="20">
        <v>0.27</v>
      </c>
      <c r="V142" s="20">
        <f t="shared" si="14"/>
        <v>2.0250000000000004</v>
      </c>
      <c r="W142" s="20"/>
      <c r="X142" s="20"/>
      <c r="Y142" s="20">
        <f t="shared" si="15"/>
        <v>0</v>
      </c>
      <c r="Z142" s="21">
        <f t="shared" si="16"/>
        <v>-24.583333333333332</v>
      </c>
      <c r="AA142" s="20"/>
      <c r="AB142" s="20"/>
      <c r="AC142" s="20"/>
      <c r="AD142" s="20">
        <f t="shared" si="17"/>
        <v>0</v>
      </c>
      <c r="AE142" s="20"/>
      <c r="AF142" s="20"/>
      <c r="AG142" s="20"/>
      <c r="AH142" s="20"/>
      <c r="AI142" s="20">
        <f t="shared" si="18"/>
        <v>0</v>
      </c>
      <c r="AJ142" s="20"/>
    </row>
    <row r="143" spans="2:36">
      <c r="B143" s="11" t="s">
        <v>379</v>
      </c>
      <c r="C143" s="12" t="s">
        <v>380</v>
      </c>
      <c r="D143" s="12" t="s">
        <v>38</v>
      </c>
      <c r="E143" s="13" t="s">
        <v>39</v>
      </c>
      <c r="F143" s="14" t="str">
        <f>_xlfn.XLOOKUP(B143,'[1]Synthese suivi modernisation'!A:A,'[1]Synthese suivi modernisation'!S:S)</f>
        <v>TAMBA</v>
      </c>
      <c r="G143" s="14" t="str">
        <f>_xlfn.XLOOKUP(B143,'[1]Synthese suivi modernisation'!A:A,'[1]Synthese suivi modernisation'!T:T)</f>
        <v>TAMBACOUNDA</v>
      </c>
      <c r="H143" s="20" t="s">
        <v>40</v>
      </c>
      <c r="I143" s="14" t="s">
        <v>41</v>
      </c>
      <c r="J143" s="16" t="s">
        <v>40</v>
      </c>
      <c r="K143" s="24">
        <v>3500</v>
      </c>
      <c r="L143" s="14">
        <v>3</v>
      </c>
      <c r="M143" s="17" t="s">
        <v>42</v>
      </c>
      <c r="N143" s="16" t="s">
        <v>381</v>
      </c>
      <c r="O143" s="16">
        <v>35</v>
      </c>
      <c r="P143" s="18">
        <v>221.5</v>
      </c>
      <c r="Q143" s="20"/>
      <c r="R143" s="20"/>
      <c r="S143" s="19">
        <v>0.8</v>
      </c>
      <c r="T143" s="20">
        <f t="shared" si="13"/>
        <v>10.714285714285714</v>
      </c>
      <c r="U143" s="20">
        <v>0.27</v>
      </c>
      <c r="V143" s="20">
        <f t="shared" si="14"/>
        <v>0.81</v>
      </c>
      <c r="W143" s="20"/>
      <c r="X143" s="20"/>
      <c r="Y143" s="20">
        <f t="shared" si="15"/>
        <v>0</v>
      </c>
      <c r="Z143" s="21">
        <f t="shared" si="16"/>
        <v>-221.5</v>
      </c>
      <c r="AA143" s="20"/>
      <c r="AB143" s="20"/>
      <c r="AC143" s="20"/>
      <c r="AD143" s="20">
        <f t="shared" si="17"/>
        <v>0</v>
      </c>
      <c r="AE143" s="20"/>
      <c r="AF143" s="20"/>
      <c r="AG143" s="20"/>
      <c r="AH143" s="20"/>
      <c r="AI143" s="20">
        <f t="shared" si="18"/>
        <v>0</v>
      </c>
      <c r="AJ143" s="20"/>
    </row>
    <row r="144" spans="2:36">
      <c r="B144" s="11" t="s">
        <v>382</v>
      </c>
      <c r="C144" s="12" t="s">
        <v>383</v>
      </c>
      <c r="D144" s="12" t="s">
        <v>38</v>
      </c>
      <c r="E144" s="13" t="s">
        <v>39</v>
      </c>
      <c r="F144" s="14" t="str">
        <f>_xlfn.XLOOKUP(B144,'[1]Synthese suivi modernisation'!A:A,'[1]Synthese suivi modernisation'!S:S)</f>
        <v>KEDOUGOU</v>
      </c>
      <c r="G144" s="14" t="str">
        <f>_xlfn.XLOOKUP(B144,'[1]Synthese suivi modernisation'!A:A,'[1]Synthese suivi modernisation'!T:T)</f>
        <v>TAMBACOUNDA</v>
      </c>
      <c r="H144" s="20" t="s">
        <v>66</v>
      </c>
      <c r="I144" s="14" t="s">
        <v>41</v>
      </c>
      <c r="J144" s="16" t="s">
        <v>66</v>
      </c>
      <c r="K144" s="24">
        <v>3000</v>
      </c>
      <c r="L144" s="14">
        <v>5</v>
      </c>
      <c r="M144" s="17" t="s">
        <v>42</v>
      </c>
      <c r="N144" s="16" t="s">
        <v>67</v>
      </c>
      <c r="O144" s="16">
        <v>50</v>
      </c>
      <c r="P144" s="18">
        <v>407.75</v>
      </c>
      <c r="Q144" s="20"/>
      <c r="R144" s="20"/>
      <c r="S144" s="19">
        <v>0.8</v>
      </c>
      <c r="T144" s="20">
        <f t="shared" si="13"/>
        <v>12.5</v>
      </c>
      <c r="U144" s="20">
        <v>0.27</v>
      </c>
      <c r="V144" s="20">
        <f t="shared" si="14"/>
        <v>1.35</v>
      </c>
      <c r="W144" s="20"/>
      <c r="X144" s="20"/>
      <c r="Y144" s="20">
        <f t="shared" si="15"/>
        <v>0</v>
      </c>
      <c r="Z144" s="21">
        <f t="shared" si="16"/>
        <v>-407.75</v>
      </c>
      <c r="AA144" s="20"/>
      <c r="AB144" s="20"/>
      <c r="AC144" s="20"/>
      <c r="AD144" s="20">
        <f t="shared" si="17"/>
        <v>0</v>
      </c>
      <c r="AE144" s="20"/>
      <c r="AF144" s="20"/>
      <c r="AG144" s="20"/>
      <c r="AH144" s="20"/>
      <c r="AI144" s="20">
        <f t="shared" si="18"/>
        <v>0</v>
      </c>
      <c r="AJ144" s="20"/>
    </row>
    <row r="145" spans="2:36">
      <c r="B145" s="11" t="s">
        <v>384</v>
      </c>
      <c r="C145" s="12" t="s">
        <v>385</v>
      </c>
      <c r="D145" s="12" t="s">
        <v>38</v>
      </c>
      <c r="E145" s="13" t="s">
        <v>39</v>
      </c>
      <c r="F145" s="14" t="str">
        <f>_xlfn.XLOOKUP(B145,'[1]Synthese suivi modernisation'!A:A,'[1]Synthese suivi modernisation'!S:S)</f>
        <v>VELINGARA</v>
      </c>
      <c r="G145" s="14" t="str">
        <f>_xlfn.XLOOKUP(B145,'[1]Synthese suivi modernisation'!A:A,'[1]Synthese suivi modernisation'!T:T)</f>
        <v>ZIGUINCHOR</v>
      </c>
      <c r="H145" s="20" t="s">
        <v>70</v>
      </c>
      <c r="I145" s="20" t="s">
        <v>71</v>
      </c>
      <c r="J145" s="16" t="s">
        <v>70</v>
      </c>
      <c r="K145" s="24">
        <v>6000</v>
      </c>
      <c r="L145" s="14">
        <v>6</v>
      </c>
      <c r="M145" s="17" t="s">
        <v>73</v>
      </c>
      <c r="N145" s="16" t="s">
        <v>227</v>
      </c>
      <c r="O145" s="16">
        <v>33</v>
      </c>
      <c r="P145" s="18">
        <v>29</v>
      </c>
      <c r="Q145" s="20"/>
      <c r="R145" s="20"/>
      <c r="S145" s="19">
        <v>0.8</v>
      </c>
      <c r="T145" s="20">
        <f t="shared" si="13"/>
        <v>22.727272727272727</v>
      </c>
      <c r="U145" s="20">
        <v>0.27</v>
      </c>
      <c r="V145" s="20">
        <f t="shared" si="14"/>
        <v>1.62</v>
      </c>
      <c r="W145" s="20"/>
      <c r="X145" s="20"/>
      <c r="Y145" s="20">
        <f t="shared" si="15"/>
        <v>0</v>
      </c>
      <c r="Z145" s="21">
        <f t="shared" si="16"/>
        <v>-29</v>
      </c>
      <c r="AA145" s="20"/>
      <c r="AB145" s="20"/>
      <c r="AC145" s="20"/>
      <c r="AD145" s="20">
        <f t="shared" si="17"/>
        <v>0</v>
      </c>
      <c r="AE145" s="20"/>
      <c r="AF145" s="20"/>
      <c r="AG145" s="20"/>
      <c r="AH145" s="20"/>
      <c r="AI145" s="20">
        <f t="shared" si="18"/>
        <v>0</v>
      </c>
      <c r="AJ145" s="20"/>
    </row>
    <row r="146" spans="2:36">
      <c r="B146" s="11" t="s">
        <v>386</v>
      </c>
      <c r="C146" s="12" t="s">
        <v>387</v>
      </c>
      <c r="D146" s="12" t="s">
        <v>38</v>
      </c>
      <c r="E146" s="13" t="s">
        <v>39</v>
      </c>
      <c r="F146" s="14" t="str">
        <f>_xlfn.XLOOKUP(B146,'[1]Synthese suivi modernisation'!A:A,'[1]Synthese suivi modernisation'!S:S)</f>
        <v>SEDHIOU</v>
      </c>
      <c r="G146" s="14" t="str">
        <f>_xlfn.XLOOKUP(B146,'[1]Synthese suivi modernisation'!A:A,'[1]Synthese suivi modernisation'!T:T)</f>
        <v>ZIGUINCHOR</v>
      </c>
      <c r="H146" s="20" t="s">
        <v>40</v>
      </c>
      <c r="I146" s="14" t="s">
        <v>41</v>
      </c>
      <c r="J146" s="16" t="s">
        <v>40</v>
      </c>
      <c r="K146" s="24">
        <v>4000</v>
      </c>
      <c r="L146" s="14">
        <v>3.5</v>
      </c>
      <c r="M146" s="17" t="s">
        <v>42</v>
      </c>
      <c r="N146" s="16" t="s">
        <v>48</v>
      </c>
      <c r="O146" s="16">
        <v>22</v>
      </c>
      <c r="P146" s="18">
        <v>243.33333333333334</v>
      </c>
      <c r="Q146" s="20"/>
      <c r="R146" s="20"/>
      <c r="S146" s="19">
        <v>0.8</v>
      </c>
      <c r="T146" s="20">
        <f t="shared" si="13"/>
        <v>19.886363636363637</v>
      </c>
      <c r="U146" s="20">
        <v>0.27</v>
      </c>
      <c r="V146" s="20">
        <f t="shared" si="14"/>
        <v>0.94500000000000006</v>
      </c>
      <c r="W146" s="20"/>
      <c r="X146" s="20"/>
      <c r="Y146" s="20">
        <f t="shared" si="15"/>
        <v>0</v>
      </c>
      <c r="Z146" s="21">
        <f t="shared" si="16"/>
        <v>-243.33333333333334</v>
      </c>
      <c r="AA146" s="20"/>
      <c r="AB146" s="20"/>
      <c r="AC146" s="20"/>
      <c r="AD146" s="20">
        <f t="shared" si="17"/>
        <v>0</v>
      </c>
      <c r="AE146" s="20"/>
      <c r="AF146" s="20"/>
      <c r="AG146" s="20"/>
      <c r="AH146" s="20"/>
      <c r="AI146" s="20">
        <f t="shared" si="18"/>
        <v>0</v>
      </c>
      <c r="AJ146" s="20"/>
    </row>
    <row r="147" spans="2:36">
      <c r="B147" s="11" t="s">
        <v>388</v>
      </c>
      <c r="C147" s="12" t="s">
        <v>389</v>
      </c>
      <c r="D147" s="12" t="s">
        <v>38</v>
      </c>
      <c r="E147" s="13" t="s">
        <v>39</v>
      </c>
      <c r="F147" s="14" t="str">
        <f>_xlfn.XLOOKUP(B147,'[1]Synthese suivi modernisation'!A:A,'[1]Synthese suivi modernisation'!S:S)</f>
        <v>SEDHIOU</v>
      </c>
      <c r="G147" s="14" t="str">
        <f>_xlfn.XLOOKUP(B147,'[1]Synthese suivi modernisation'!A:A,'[1]Synthese suivi modernisation'!T:T)</f>
        <v>ZIGUINCHOR</v>
      </c>
      <c r="H147" s="20" t="s">
        <v>40</v>
      </c>
      <c r="I147" s="14" t="s">
        <v>41</v>
      </c>
      <c r="J147" s="16" t="s">
        <v>40</v>
      </c>
      <c r="K147" s="24">
        <v>3500</v>
      </c>
      <c r="L147" s="14">
        <v>2</v>
      </c>
      <c r="M147" s="17" t="s">
        <v>42</v>
      </c>
      <c r="N147" s="16" t="s">
        <v>48</v>
      </c>
      <c r="O147" s="16">
        <v>22</v>
      </c>
      <c r="P147" s="18">
        <v>128.5</v>
      </c>
      <c r="Q147" s="20"/>
      <c r="R147" s="20"/>
      <c r="S147" s="19">
        <v>0.8</v>
      </c>
      <c r="T147" s="20">
        <f t="shared" si="13"/>
        <v>11.363636363636363</v>
      </c>
      <c r="U147" s="20">
        <v>0.27</v>
      </c>
      <c r="V147" s="20">
        <f t="shared" si="14"/>
        <v>0.54</v>
      </c>
      <c r="W147" s="20"/>
      <c r="X147" s="20"/>
      <c r="Y147" s="20">
        <f t="shared" si="15"/>
        <v>0</v>
      </c>
      <c r="Z147" s="21">
        <f t="shared" si="16"/>
        <v>-128.5</v>
      </c>
      <c r="AA147" s="20"/>
      <c r="AB147" s="20"/>
      <c r="AC147" s="20"/>
      <c r="AD147" s="20">
        <f t="shared" si="17"/>
        <v>0</v>
      </c>
      <c r="AE147" s="20"/>
      <c r="AF147" s="20"/>
      <c r="AG147" s="20"/>
      <c r="AH147" s="20"/>
      <c r="AI147" s="20">
        <f t="shared" si="18"/>
        <v>0</v>
      </c>
      <c r="AJ147" s="20"/>
    </row>
    <row r="148" spans="2:36">
      <c r="B148" s="11" t="s">
        <v>390</v>
      </c>
      <c r="C148" s="12" t="s">
        <v>391</v>
      </c>
      <c r="D148" s="12" t="s">
        <v>38</v>
      </c>
      <c r="E148" s="13" t="s">
        <v>39</v>
      </c>
      <c r="F148" s="14" t="str">
        <f>_xlfn.XLOOKUP(B148,'[1]Synthese suivi modernisation'!A:A,'[1]Synthese suivi modernisation'!S:S)</f>
        <v>FATICK</v>
      </c>
      <c r="G148" s="14" t="str">
        <f>_xlfn.XLOOKUP(B148,'[1]Synthese suivi modernisation'!A:A,'[1]Synthese suivi modernisation'!T:T)</f>
        <v>KAOLACK</v>
      </c>
      <c r="H148" s="20" t="s">
        <v>40</v>
      </c>
      <c r="I148" s="14" t="s">
        <v>41</v>
      </c>
      <c r="J148" s="16" t="s">
        <v>40</v>
      </c>
      <c r="K148" s="24">
        <v>4000</v>
      </c>
      <c r="L148" s="14">
        <v>5</v>
      </c>
      <c r="M148" s="17" t="s">
        <v>42</v>
      </c>
      <c r="N148" s="16" t="s">
        <v>67</v>
      </c>
      <c r="O148" s="16">
        <v>50</v>
      </c>
      <c r="P148" s="18">
        <v>527.91666666666663</v>
      </c>
      <c r="Q148" s="20"/>
      <c r="R148" s="20"/>
      <c r="S148" s="19">
        <v>0.8</v>
      </c>
      <c r="T148" s="20">
        <f t="shared" si="13"/>
        <v>12.5</v>
      </c>
      <c r="U148" s="20">
        <v>0.27</v>
      </c>
      <c r="V148" s="20">
        <f t="shared" si="14"/>
        <v>1.35</v>
      </c>
      <c r="W148" s="20"/>
      <c r="X148" s="20"/>
      <c r="Y148" s="20">
        <f t="shared" si="15"/>
        <v>0</v>
      </c>
      <c r="Z148" s="21">
        <f t="shared" si="16"/>
        <v>-527.91666666666663</v>
      </c>
      <c r="AA148" s="20"/>
      <c r="AB148" s="20"/>
      <c r="AC148" s="20"/>
      <c r="AD148" s="20">
        <f t="shared" si="17"/>
        <v>0</v>
      </c>
      <c r="AE148" s="20"/>
      <c r="AF148" s="20"/>
      <c r="AG148" s="20"/>
      <c r="AH148" s="20"/>
      <c r="AI148" s="20">
        <f t="shared" si="18"/>
        <v>0</v>
      </c>
      <c r="AJ148" s="20"/>
    </row>
    <row r="149" spans="2:36">
      <c r="B149" s="11" t="s">
        <v>392</v>
      </c>
      <c r="C149" s="12" t="s">
        <v>393</v>
      </c>
      <c r="D149" s="12" t="s">
        <v>38</v>
      </c>
      <c r="E149" s="13" t="s">
        <v>39</v>
      </c>
      <c r="F149" s="14" t="str">
        <f>_xlfn.XLOOKUP(B149,'[1]Synthese suivi modernisation'!A:A,'[1]Synthese suivi modernisation'!S:S)</f>
        <v>THIES</v>
      </c>
      <c r="G149" s="14" t="str">
        <f>_xlfn.XLOOKUP(B149,'[1]Synthese suivi modernisation'!A:A,'[1]Synthese suivi modernisation'!T:T)</f>
        <v>THIES</v>
      </c>
      <c r="H149" s="20" t="s">
        <v>40</v>
      </c>
      <c r="I149" s="14" t="s">
        <v>41</v>
      </c>
      <c r="J149" s="16" t="s">
        <v>40</v>
      </c>
      <c r="K149" s="24">
        <v>4000</v>
      </c>
      <c r="L149" s="14">
        <v>20.5</v>
      </c>
      <c r="M149" s="17" t="s">
        <v>42</v>
      </c>
      <c r="N149" s="16" t="s">
        <v>51</v>
      </c>
      <c r="O149" s="16">
        <v>22</v>
      </c>
      <c r="P149" s="18">
        <v>220.75</v>
      </c>
      <c r="Q149" s="20"/>
      <c r="R149" s="20"/>
      <c r="S149" s="19">
        <v>0.8</v>
      </c>
      <c r="T149" s="20">
        <f t="shared" si="13"/>
        <v>116.47727272727271</v>
      </c>
      <c r="U149" s="20">
        <v>0.27</v>
      </c>
      <c r="V149" s="20">
        <f t="shared" si="14"/>
        <v>5.5350000000000001</v>
      </c>
      <c r="W149" s="20"/>
      <c r="X149" s="20"/>
      <c r="Y149" s="20">
        <f t="shared" si="15"/>
        <v>0</v>
      </c>
      <c r="Z149" s="21">
        <f t="shared" si="16"/>
        <v>-220.75</v>
      </c>
      <c r="AA149" s="20"/>
      <c r="AB149" s="20"/>
      <c r="AC149" s="20"/>
      <c r="AD149" s="20">
        <f t="shared" si="17"/>
        <v>0</v>
      </c>
      <c r="AE149" s="20"/>
      <c r="AF149" s="20"/>
      <c r="AG149" s="20"/>
      <c r="AH149" s="20"/>
      <c r="AI149" s="20">
        <f t="shared" si="18"/>
        <v>0</v>
      </c>
      <c r="AJ149" s="20"/>
    </row>
    <row r="150" spans="2:36">
      <c r="B150" s="11" t="s">
        <v>394</v>
      </c>
      <c r="C150" s="12" t="s">
        <v>395</v>
      </c>
      <c r="D150" s="12" t="s">
        <v>38</v>
      </c>
      <c r="E150" s="13" t="s">
        <v>39</v>
      </c>
      <c r="F150" s="14" t="str">
        <f>_xlfn.XLOOKUP(B150,'[1]Synthese suivi modernisation'!A:A,'[1]Synthese suivi modernisation'!S:S)</f>
        <v>TOUBA01</v>
      </c>
      <c r="G150" s="14" t="str">
        <f>_xlfn.XLOOKUP(B150,'[1]Synthese suivi modernisation'!A:A,'[1]Synthese suivi modernisation'!T:T)</f>
        <v>THIES</v>
      </c>
      <c r="H150" s="20" t="s">
        <v>70</v>
      </c>
      <c r="I150" s="20" t="s">
        <v>71</v>
      </c>
      <c r="J150" s="16" t="s">
        <v>70</v>
      </c>
      <c r="K150" s="24">
        <v>5000</v>
      </c>
      <c r="L150" s="14">
        <v>5</v>
      </c>
      <c r="M150" s="17" t="s">
        <v>73</v>
      </c>
      <c r="N150" s="16" t="s">
        <v>63</v>
      </c>
      <c r="O150" s="16">
        <v>30</v>
      </c>
      <c r="P150" s="18">
        <v>31.083333333333332</v>
      </c>
      <c r="Q150" s="20"/>
      <c r="R150" s="20"/>
      <c r="S150" s="19">
        <v>0.8</v>
      </c>
      <c r="T150" s="20">
        <f t="shared" si="13"/>
        <v>20.833333333333336</v>
      </c>
      <c r="U150" s="20">
        <v>0.27</v>
      </c>
      <c r="V150" s="20">
        <f t="shared" si="14"/>
        <v>1.35</v>
      </c>
      <c r="W150" s="20"/>
      <c r="X150" s="20"/>
      <c r="Y150" s="20">
        <f t="shared" si="15"/>
        <v>0</v>
      </c>
      <c r="Z150" s="21">
        <f t="shared" si="16"/>
        <v>-31.083333333333332</v>
      </c>
      <c r="AA150" s="20"/>
      <c r="AB150" s="20"/>
      <c r="AC150" s="20"/>
      <c r="AD150" s="20">
        <f t="shared" si="17"/>
        <v>0</v>
      </c>
      <c r="AE150" s="20"/>
      <c r="AF150" s="20"/>
      <c r="AG150" s="20"/>
      <c r="AH150" s="20"/>
      <c r="AI150" s="20">
        <f t="shared" si="18"/>
        <v>0</v>
      </c>
      <c r="AJ150" s="20"/>
    </row>
    <row r="151" spans="2:36">
      <c r="B151" s="11" t="s">
        <v>396</v>
      </c>
      <c r="C151" s="12" t="s">
        <v>397</v>
      </c>
      <c r="D151" s="12" t="s">
        <v>38</v>
      </c>
      <c r="E151" s="13" t="s">
        <v>39</v>
      </c>
      <c r="F151" s="14" t="str">
        <f>_xlfn.XLOOKUP(B151,'[1]Synthese suivi modernisation'!A:A,'[1]Synthese suivi modernisation'!S:S)</f>
        <v>KAFFRINE</v>
      </c>
      <c r="G151" s="14" t="str">
        <f>_xlfn.XLOOKUP(B151,'[1]Synthese suivi modernisation'!A:A,'[1]Synthese suivi modernisation'!T:T)</f>
        <v>KAOLACK</v>
      </c>
      <c r="H151" s="20" t="s">
        <v>70</v>
      </c>
      <c r="I151" s="20" t="s">
        <v>71</v>
      </c>
      <c r="J151" s="16" t="s">
        <v>70</v>
      </c>
      <c r="K151" s="24">
        <v>9000</v>
      </c>
      <c r="L151" s="14">
        <v>10</v>
      </c>
      <c r="M151" s="17" t="s">
        <v>73</v>
      </c>
      <c r="N151" s="16" t="s">
        <v>63</v>
      </c>
      <c r="O151" s="16">
        <v>30</v>
      </c>
      <c r="P151" s="18">
        <v>43</v>
      </c>
      <c r="Q151" s="20"/>
      <c r="R151" s="20"/>
      <c r="S151" s="19">
        <v>0.8</v>
      </c>
      <c r="T151" s="20">
        <f t="shared" si="13"/>
        <v>41.666666666666671</v>
      </c>
      <c r="U151" s="20">
        <v>0.27</v>
      </c>
      <c r="V151" s="20">
        <f t="shared" si="14"/>
        <v>2.7</v>
      </c>
      <c r="W151" s="20"/>
      <c r="X151" s="20"/>
      <c r="Y151" s="20">
        <f t="shared" si="15"/>
        <v>0</v>
      </c>
      <c r="Z151" s="21">
        <f t="shared" si="16"/>
        <v>-43</v>
      </c>
      <c r="AA151" s="20"/>
      <c r="AB151" s="20"/>
      <c r="AC151" s="20"/>
      <c r="AD151" s="20">
        <f t="shared" si="17"/>
        <v>0</v>
      </c>
      <c r="AE151" s="20"/>
      <c r="AF151" s="20"/>
      <c r="AG151" s="20"/>
      <c r="AH151" s="20"/>
      <c r="AI151" s="20">
        <f t="shared" si="18"/>
        <v>0</v>
      </c>
      <c r="AJ151" s="20"/>
    </row>
    <row r="152" spans="2:36">
      <c r="B152" s="11" t="s">
        <v>398</v>
      </c>
      <c r="C152" s="12" t="s">
        <v>399</v>
      </c>
      <c r="D152" s="12" t="s">
        <v>38</v>
      </c>
      <c r="E152" s="13" t="s">
        <v>39</v>
      </c>
      <c r="F152" s="14" t="str">
        <f>_xlfn.XLOOKUP(B152,'[1]Synthese suivi modernisation'!A:A,'[1]Synthese suivi modernisation'!S:S)</f>
        <v>MBOUR</v>
      </c>
      <c r="G152" s="14" t="str">
        <f>_xlfn.XLOOKUP(B152,'[1]Synthese suivi modernisation'!A:A,'[1]Synthese suivi modernisation'!T:T)</f>
        <v>THIES</v>
      </c>
      <c r="H152" s="20" t="s">
        <v>70</v>
      </c>
      <c r="I152" s="20" t="s">
        <v>71</v>
      </c>
      <c r="J152" s="16" t="s">
        <v>70</v>
      </c>
      <c r="K152" s="24">
        <v>6000</v>
      </c>
      <c r="L152" s="14">
        <v>6</v>
      </c>
      <c r="M152" s="17" t="s">
        <v>73</v>
      </c>
      <c r="N152" s="16" t="s">
        <v>252</v>
      </c>
      <c r="O152" s="16">
        <v>50</v>
      </c>
      <c r="P152" s="18">
        <v>29.416666666666668</v>
      </c>
      <c r="Q152" s="20"/>
      <c r="R152" s="20"/>
      <c r="S152" s="19">
        <v>0.8</v>
      </c>
      <c r="T152" s="20">
        <f t="shared" si="13"/>
        <v>15</v>
      </c>
      <c r="U152" s="20">
        <v>0.27</v>
      </c>
      <c r="V152" s="20">
        <f t="shared" si="14"/>
        <v>1.62</v>
      </c>
      <c r="W152" s="20"/>
      <c r="X152" s="20"/>
      <c r="Y152" s="20">
        <f t="shared" si="15"/>
        <v>0</v>
      </c>
      <c r="Z152" s="21">
        <f t="shared" si="16"/>
        <v>-29.416666666666668</v>
      </c>
      <c r="AA152" s="20"/>
      <c r="AB152" s="20"/>
      <c r="AC152" s="20"/>
      <c r="AD152" s="20">
        <f t="shared" si="17"/>
        <v>0</v>
      </c>
      <c r="AE152" s="20"/>
      <c r="AF152" s="20"/>
      <c r="AG152" s="20"/>
      <c r="AH152" s="20"/>
      <c r="AI152" s="20">
        <f t="shared" si="18"/>
        <v>0</v>
      </c>
      <c r="AJ152" s="20"/>
    </row>
    <row r="153" spans="2:36">
      <c r="B153" s="11" t="s">
        <v>400</v>
      </c>
      <c r="C153" s="12" t="s">
        <v>401</v>
      </c>
      <c r="D153" s="12" t="s">
        <v>38</v>
      </c>
      <c r="E153" s="13" t="s">
        <v>39</v>
      </c>
      <c r="F153" s="14" t="str">
        <f>_xlfn.XLOOKUP(B153,'[1]Synthese suivi modernisation'!A:A,'[1]Synthese suivi modernisation'!S:S)</f>
        <v>NDIOUM</v>
      </c>
      <c r="G153" s="14" t="str">
        <f>_xlfn.XLOOKUP(B153,'[1]Synthese suivi modernisation'!A:A,'[1]Synthese suivi modernisation'!T:T)</f>
        <v>SAINT-LOUIS</v>
      </c>
      <c r="H153" s="20" t="s">
        <v>134</v>
      </c>
      <c r="I153" s="14" t="s">
        <v>41</v>
      </c>
      <c r="J153" s="16" t="s">
        <v>134</v>
      </c>
      <c r="K153" s="24">
        <v>2500</v>
      </c>
      <c r="L153" s="14">
        <v>2.5</v>
      </c>
      <c r="M153" s="17" t="s">
        <v>42</v>
      </c>
      <c r="N153" s="16" t="s">
        <v>51</v>
      </c>
      <c r="O153" s="16">
        <v>22</v>
      </c>
      <c r="P153" s="18">
        <v>180.66666666666666</v>
      </c>
      <c r="Q153" s="20"/>
      <c r="R153" s="20"/>
      <c r="S153" s="19">
        <v>0.8</v>
      </c>
      <c r="T153" s="20">
        <f t="shared" si="13"/>
        <v>14.204545454545453</v>
      </c>
      <c r="U153" s="20">
        <v>0.27</v>
      </c>
      <c r="V153" s="20">
        <f t="shared" si="14"/>
        <v>0.67500000000000004</v>
      </c>
      <c r="W153" s="20"/>
      <c r="X153" s="20"/>
      <c r="Y153" s="20">
        <f t="shared" si="15"/>
        <v>0</v>
      </c>
      <c r="Z153" s="21">
        <f t="shared" si="16"/>
        <v>-180.66666666666666</v>
      </c>
      <c r="AA153" s="20"/>
      <c r="AB153" s="20"/>
      <c r="AC153" s="20"/>
      <c r="AD153" s="20">
        <f t="shared" si="17"/>
        <v>0</v>
      </c>
      <c r="AE153" s="20"/>
      <c r="AF153" s="20"/>
      <c r="AG153" s="20"/>
      <c r="AH153" s="20"/>
      <c r="AI153" s="20">
        <f t="shared" si="18"/>
        <v>0</v>
      </c>
      <c r="AJ153" s="20"/>
    </row>
    <row r="154" spans="2:36">
      <c r="B154" s="11" t="s">
        <v>402</v>
      </c>
      <c r="C154" s="12" t="s">
        <v>403</v>
      </c>
      <c r="D154" s="12" t="s">
        <v>38</v>
      </c>
      <c r="E154" s="13" t="s">
        <v>39</v>
      </c>
      <c r="F154" s="14" t="str">
        <f>_xlfn.XLOOKUP(B154,'[1]Synthese suivi modernisation'!A:A,'[1]Synthese suivi modernisation'!S:S)</f>
        <v>NDIOUM</v>
      </c>
      <c r="G154" s="14" t="str">
        <f>_xlfn.XLOOKUP(B154,'[1]Synthese suivi modernisation'!A:A,'[1]Synthese suivi modernisation'!T:T)</f>
        <v>SAINT-LOUIS</v>
      </c>
      <c r="H154" s="20" t="s">
        <v>70</v>
      </c>
      <c r="I154" s="20" t="s">
        <v>71</v>
      </c>
      <c r="J154" s="16" t="s">
        <v>70</v>
      </c>
      <c r="K154" s="24">
        <v>8000</v>
      </c>
      <c r="L154" s="14">
        <v>9</v>
      </c>
      <c r="M154" s="17" t="s">
        <v>73</v>
      </c>
      <c r="N154" s="16" t="s">
        <v>63</v>
      </c>
      <c r="O154" s="16">
        <v>30</v>
      </c>
      <c r="P154" s="18">
        <v>49.25</v>
      </c>
      <c r="Q154" s="20"/>
      <c r="R154" s="20"/>
      <c r="S154" s="19">
        <v>0.8</v>
      </c>
      <c r="T154" s="20">
        <f t="shared" si="13"/>
        <v>37.5</v>
      </c>
      <c r="U154" s="20">
        <v>0.27</v>
      </c>
      <c r="V154" s="20">
        <f t="shared" si="14"/>
        <v>2.4300000000000002</v>
      </c>
      <c r="W154" s="20"/>
      <c r="X154" s="20"/>
      <c r="Y154" s="20">
        <f t="shared" si="15"/>
        <v>0</v>
      </c>
      <c r="Z154" s="21">
        <f t="shared" si="16"/>
        <v>-49.25</v>
      </c>
      <c r="AA154" s="20"/>
      <c r="AB154" s="20"/>
      <c r="AC154" s="20"/>
      <c r="AD154" s="20">
        <f t="shared" si="17"/>
        <v>0</v>
      </c>
      <c r="AE154" s="20"/>
      <c r="AF154" s="20"/>
      <c r="AG154" s="20"/>
      <c r="AH154" s="20"/>
      <c r="AI154" s="20">
        <f t="shared" si="18"/>
        <v>0</v>
      </c>
      <c r="AJ154" s="20"/>
    </row>
    <row r="155" spans="2:36">
      <c r="B155" s="11" t="s">
        <v>404</v>
      </c>
      <c r="C155" s="12" t="s">
        <v>405</v>
      </c>
      <c r="D155" s="12" t="s">
        <v>38</v>
      </c>
      <c r="E155" s="13" t="s">
        <v>39</v>
      </c>
      <c r="F155" s="14" t="str">
        <f>_xlfn.XLOOKUP(B155,'[1]Synthese suivi modernisation'!A:A,'[1]Synthese suivi modernisation'!S:S)</f>
        <v>SAINT-LOUIS</v>
      </c>
      <c r="G155" s="14" t="str">
        <f>_xlfn.XLOOKUP(B155,'[1]Synthese suivi modernisation'!A:A,'[1]Synthese suivi modernisation'!T:T)</f>
        <v>SAINT-LOUIS</v>
      </c>
      <c r="H155" s="20" t="s">
        <v>40</v>
      </c>
      <c r="I155" s="14" t="s">
        <v>41</v>
      </c>
      <c r="J155" s="16" t="s">
        <v>40</v>
      </c>
      <c r="K155" s="24">
        <v>2000</v>
      </c>
      <c r="L155" s="14">
        <v>3.5</v>
      </c>
      <c r="M155" s="17" t="s">
        <v>42</v>
      </c>
      <c r="N155" s="16" t="s">
        <v>80</v>
      </c>
      <c r="O155" s="16">
        <v>33</v>
      </c>
      <c r="P155" s="18">
        <v>205.41666666666666</v>
      </c>
      <c r="Q155" s="20"/>
      <c r="R155" s="20"/>
      <c r="S155" s="19">
        <v>0.8</v>
      </c>
      <c r="T155" s="20">
        <f t="shared" si="13"/>
        <v>13.257575757575758</v>
      </c>
      <c r="U155" s="20">
        <v>0.27</v>
      </c>
      <c r="V155" s="20">
        <f t="shared" si="14"/>
        <v>0.94500000000000006</v>
      </c>
      <c r="W155" s="20"/>
      <c r="X155" s="20"/>
      <c r="Y155" s="20">
        <f t="shared" si="15"/>
        <v>0</v>
      </c>
      <c r="Z155" s="21">
        <f t="shared" si="16"/>
        <v>-205.41666666666666</v>
      </c>
      <c r="AA155" s="20"/>
      <c r="AB155" s="20"/>
      <c r="AC155" s="20"/>
      <c r="AD155" s="20">
        <f t="shared" si="17"/>
        <v>0</v>
      </c>
      <c r="AE155" s="20"/>
      <c r="AF155" s="20"/>
      <c r="AG155" s="20"/>
      <c r="AH155" s="20"/>
      <c r="AI155" s="20">
        <f t="shared" si="18"/>
        <v>0</v>
      </c>
      <c r="AJ155" s="20"/>
    </row>
    <row r="156" spans="2:36">
      <c r="B156" s="11" t="s">
        <v>406</v>
      </c>
      <c r="C156" s="12" t="s">
        <v>407</v>
      </c>
      <c r="D156" s="12" t="s">
        <v>38</v>
      </c>
      <c r="E156" s="13" t="s">
        <v>39</v>
      </c>
      <c r="F156" s="14" t="str">
        <f>_xlfn.XLOOKUP(B156,'[1]Synthese suivi modernisation'!A:A,'[1]Synthese suivi modernisation'!S:S)</f>
        <v>MBOUR</v>
      </c>
      <c r="G156" s="14" t="str">
        <f>_xlfn.XLOOKUP(B156,'[1]Synthese suivi modernisation'!A:A,'[1]Synthese suivi modernisation'!T:T)</f>
        <v>THIES</v>
      </c>
      <c r="H156" s="20" t="s">
        <v>70</v>
      </c>
      <c r="I156" s="20" t="s">
        <v>71</v>
      </c>
      <c r="J156" s="16" t="s">
        <v>70</v>
      </c>
      <c r="K156" s="24">
        <v>14000</v>
      </c>
      <c r="L156" s="14">
        <v>22</v>
      </c>
      <c r="M156" s="17" t="s">
        <v>73</v>
      </c>
      <c r="N156" s="16" t="s">
        <v>196</v>
      </c>
      <c r="O156" s="16">
        <v>66</v>
      </c>
      <c r="P156" s="18">
        <v>92.666666666666671</v>
      </c>
      <c r="Q156" s="20"/>
      <c r="R156" s="20"/>
      <c r="S156" s="19">
        <v>0.8</v>
      </c>
      <c r="T156" s="20">
        <f t="shared" si="13"/>
        <v>41.666666666666664</v>
      </c>
      <c r="U156" s="20">
        <v>0.27</v>
      </c>
      <c r="V156" s="20">
        <f t="shared" si="14"/>
        <v>5.94</v>
      </c>
      <c r="W156" s="20"/>
      <c r="X156" s="20"/>
      <c r="Y156" s="20">
        <f t="shared" si="15"/>
        <v>0</v>
      </c>
      <c r="Z156" s="21">
        <f t="shared" si="16"/>
        <v>-92.666666666666671</v>
      </c>
      <c r="AA156" s="20"/>
      <c r="AB156" s="20"/>
      <c r="AC156" s="20"/>
      <c r="AD156" s="20">
        <f t="shared" si="17"/>
        <v>0</v>
      </c>
      <c r="AE156" s="20"/>
      <c r="AF156" s="20"/>
      <c r="AG156" s="20"/>
      <c r="AH156" s="20"/>
      <c r="AI156" s="20">
        <f t="shared" si="18"/>
        <v>0</v>
      </c>
      <c r="AJ156" s="20"/>
    </row>
    <row r="157" spans="2:36">
      <c r="B157" s="11" t="s">
        <v>408</v>
      </c>
      <c r="C157" s="12" t="s">
        <v>409</v>
      </c>
      <c r="D157" s="12" t="s">
        <v>38</v>
      </c>
      <c r="E157" s="13" t="s">
        <v>39</v>
      </c>
      <c r="F157" s="14" t="str">
        <f>_xlfn.XLOOKUP(B157,'[1]Synthese suivi modernisation'!A:A,'[1]Synthese suivi modernisation'!S:S)</f>
        <v>MBOUR</v>
      </c>
      <c r="G157" s="14" t="str">
        <f>_xlfn.XLOOKUP(B157,'[1]Synthese suivi modernisation'!A:A,'[1]Synthese suivi modernisation'!T:T)</f>
        <v>THIES</v>
      </c>
      <c r="H157" s="20" t="s">
        <v>242</v>
      </c>
      <c r="I157" s="20" t="s">
        <v>143</v>
      </c>
      <c r="J157" s="16" t="s">
        <v>242</v>
      </c>
      <c r="K157" s="24">
        <v>6000</v>
      </c>
      <c r="L157" s="14">
        <v>4</v>
      </c>
      <c r="M157" s="17" t="s">
        <v>73</v>
      </c>
      <c r="N157" s="16" t="s">
        <v>410</v>
      </c>
      <c r="O157" s="16">
        <v>88</v>
      </c>
      <c r="P157" s="18">
        <v>57.25</v>
      </c>
      <c r="Q157" s="20"/>
      <c r="R157" s="20"/>
      <c r="S157" s="19">
        <v>0.8</v>
      </c>
      <c r="T157" s="20">
        <f t="shared" si="13"/>
        <v>5.6818181818181817</v>
      </c>
      <c r="U157" s="20">
        <v>0.27</v>
      </c>
      <c r="V157" s="20">
        <f t="shared" si="14"/>
        <v>1.08</v>
      </c>
      <c r="W157" s="20"/>
      <c r="X157" s="20"/>
      <c r="Y157" s="20">
        <f t="shared" si="15"/>
        <v>0</v>
      </c>
      <c r="Z157" s="21">
        <f t="shared" si="16"/>
        <v>-57.25</v>
      </c>
      <c r="AA157" s="20"/>
      <c r="AB157" s="20"/>
      <c r="AC157" s="20"/>
      <c r="AD157" s="20">
        <f t="shared" si="17"/>
        <v>0</v>
      </c>
      <c r="AE157" s="20"/>
      <c r="AF157" s="20"/>
      <c r="AG157" s="20"/>
      <c r="AH157" s="20"/>
      <c r="AI157" s="20">
        <f t="shared" si="18"/>
        <v>0</v>
      </c>
      <c r="AJ157" s="20"/>
    </row>
    <row r="158" spans="2:36">
      <c r="B158" s="11" t="s">
        <v>411</v>
      </c>
      <c r="C158" s="12" t="s">
        <v>412</v>
      </c>
      <c r="D158" s="12" t="s">
        <v>38</v>
      </c>
      <c r="E158" s="13" t="s">
        <v>39</v>
      </c>
      <c r="F158" s="14" t="str">
        <f>_xlfn.XLOOKUP(B158,'[1]Synthese suivi modernisation'!A:A,'[1]Synthese suivi modernisation'!S:S)</f>
        <v>KAOLACK</v>
      </c>
      <c r="G158" s="14" t="str">
        <f>_xlfn.XLOOKUP(B158,'[1]Synthese suivi modernisation'!A:A,'[1]Synthese suivi modernisation'!T:T)</f>
        <v>KAOLACK</v>
      </c>
      <c r="H158" s="20" t="s">
        <v>54</v>
      </c>
      <c r="I158" s="14" t="s">
        <v>41</v>
      </c>
      <c r="J158" s="23" t="s">
        <v>40</v>
      </c>
      <c r="K158" s="24">
        <v>2250</v>
      </c>
      <c r="L158" s="14">
        <v>3.5</v>
      </c>
      <c r="M158" s="17" t="s">
        <v>42</v>
      </c>
      <c r="N158" s="16" t="s">
        <v>55</v>
      </c>
      <c r="O158" s="16">
        <v>33</v>
      </c>
      <c r="P158" s="18">
        <v>243.33333333333334</v>
      </c>
      <c r="Q158" s="20"/>
      <c r="R158" s="20"/>
      <c r="S158" s="19">
        <v>0.8</v>
      </c>
      <c r="T158" s="20">
        <f t="shared" si="13"/>
        <v>13.257575757575758</v>
      </c>
      <c r="U158" s="20">
        <v>0.27</v>
      </c>
      <c r="V158" s="20">
        <f t="shared" si="14"/>
        <v>0.94500000000000006</v>
      </c>
      <c r="W158" s="20"/>
      <c r="X158" s="20"/>
      <c r="Y158" s="20">
        <f t="shared" si="15"/>
        <v>0</v>
      </c>
      <c r="Z158" s="21">
        <f t="shared" si="16"/>
        <v>-243.33333333333334</v>
      </c>
      <c r="AA158" s="20"/>
      <c r="AB158" s="20"/>
      <c r="AC158" s="20"/>
      <c r="AD158" s="20">
        <f t="shared" si="17"/>
        <v>0</v>
      </c>
      <c r="AE158" s="20"/>
      <c r="AF158" s="20"/>
      <c r="AG158" s="20"/>
      <c r="AH158" s="20"/>
      <c r="AI158" s="20">
        <f t="shared" si="18"/>
        <v>0</v>
      </c>
      <c r="AJ158" s="20"/>
    </row>
    <row r="159" spans="2:36">
      <c r="B159" s="11" t="s">
        <v>413</v>
      </c>
      <c r="C159" s="12" t="s">
        <v>414</v>
      </c>
      <c r="D159" s="12" t="s">
        <v>38</v>
      </c>
      <c r="E159" s="13" t="s">
        <v>39</v>
      </c>
      <c r="F159" s="14" t="str">
        <f>_xlfn.XLOOKUP(B159,'[1]Synthese suivi modernisation'!A:A,'[1]Synthese suivi modernisation'!S:S)</f>
        <v>TIVAOUANE</v>
      </c>
      <c r="G159" s="14" t="str">
        <f>_xlfn.XLOOKUP(B159,'[1]Synthese suivi modernisation'!A:A,'[1]Synthese suivi modernisation'!T:T)</f>
        <v>THIES</v>
      </c>
      <c r="H159" s="20" t="s">
        <v>70</v>
      </c>
      <c r="I159" s="20" t="s">
        <v>71</v>
      </c>
      <c r="J159" s="16" t="s">
        <v>70</v>
      </c>
      <c r="K159" s="24">
        <v>21000</v>
      </c>
      <c r="L159" s="14">
        <v>13</v>
      </c>
      <c r="M159" s="17" t="s">
        <v>73</v>
      </c>
      <c r="N159" s="16" t="s">
        <v>116</v>
      </c>
      <c r="O159" s="16">
        <v>66</v>
      </c>
      <c r="P159" s="18">
        <v>54.166666666666664</v>
      </c>
      <c r="Q159" s="20"/>
      <c r="R159" s="20"/>
      <c r="S159" s="19">
        <v>0.8</v>
      </c>
      <c r="T159" s="20">
        <f t="shared" si="13"/>
        <v>24.621212121212118</v>
      </c>
      <c r="U159" s="20">
        <v>0.27</v>
      </c>
      <c r="V159" s="20">
        <f t="shared" si="14"/>
        <v>3.5100000000000002</v>
      </c>
      <c r="W159" s="20"/>
      <c r="X159" s="20"/>
      <c r="Y159" s="20">
        <f t="shared" si="15"/>
        <v>0</v>
      </c>
      <c r="Z159" s="21">
        <f t="shared" si="16"/>
        <v>-54.166666666666664</v>
      </c>
      <c r="AA159" s="20"/>
      <c r="AB159" s="20"/>
      <c r="AC159" s="20"/>
      <c r="AD159" s="20">
        <f t="shared" si="17"/>
        <v>0</v>
      </c>
      <c r="AE159" s="20"/>
      <c r="AF159" s="20"/>
      <c r="AG159" s="20"/>
      <c r="AH159" s="20"/>
      <c r="AI159" s="20">
        <f t="shared" si="18"/>
        <v>0</v>
      </c>
      <c r="AJ159" s="20"/>
    </row>
    <row r="160" spans="2:36">
      <c r="B160" s="11" t="s">
        <v>415</v>
      </c>
      <c r="C160" s="12" t="s">
        <v>416</v>
      </c>
      <c r="D160" s="12" t="s">
        <v>38</v>
      </c>
      <c r="E160" s="13" t="s">
        <v>39</v>
      </c>
      <c r="F160" s="14" t="str">
        <f>_xlfn.XLOOKUP(B160,'[1]Synthese suivi modernisation'!A:A,'[1]Synthese suivi modernisation'!S:S)</f>
        <v>TAMBA</v>
      </c>
      <c r="G160" s="14" t="str">
        <f>_xlfn.XLOOKUP(B160,'[1]Synthese suivi modernisation'!A:A,'[1]Synthese suivi modernisation'!T:T)</f>
        <v>TAMBACOUNDA</v>
      </c>
      <c r="H160" s="20" t="s">
        <v>70</v>
      </c>
      <c r="I160" s="20" t="s">
        <v>71</v>
      </c>
      <c r="J160" s="16" t="s">
        <v>70</v>
      </c>
      <c r="K160" s="24">
        <v>6000</v>
      </c>
      <c r="L160" s="14">
        <v>8</v>
      </c>
      <c r="M160" s="17" t="s">
        <v>73</v>
      </c>
      <c r="N160" s="16" t="s">
        <v>63</v>
      </c>
      <c r="O160" s="16">
        <v>30</v>
      </c>
      <c r="P160" s="18">
        <v>30.416666666666668</v>
      </c>
      <c r="Q160" s="20"/>
      <c r="R160" s="20"/>
      <c r="S160" s="19">
        <v>0.8</v>
      </c>
      <c r="T160" s="20">
        <f t="shared" si="13"/>
        <v>33.333333333333329</v>
      </c>
      <c r="U160" s="20">
        <v>0.27</v>
      </c>
      <c r="V160" s="20">
        <f t="shared" si="14"/>
        <v>2.16</v>
      </c>
      <c r="W160" s="20"/>
      <c r="X160" s="20"/>
      <c r="Y160" s="20">
        <f t="shared" si="15"/>
        <v>0</v>
      </c>
      <c r="Z160" s="21">
        <f t="shared" si="16"/>
        <v>-30.416666666666668</v>
      </c>
      <c r="AA160" s="20"/>
      <c r="AB160" s="20"/>
      <c r="AC160" s="20"/>
      <c r="AD160" s="20">
        <f t="shared" si="17"/>
        <v>0</v>
      </c>
      <c r="AE160" s="20"/>
      <c r="AF160" s="20"/>
      <c r="AG160" s="20"/>
      <c r="AH160" s="20"/>
      <c r="AI160" s="20">
        <f t="shared" si="18"/>
        <v>0</v>
      </c>
      <c r="AJ160" s="20"/>
    </row>
    <row r="161" spans="2:36">
      <c r="B161" s="11" t="s">
        <v>417</v>
      </c>
      <c r="C161" s="12" t="s">
        <v>418</v>
      </c>
      <c r="D161" s="12" t="s">
        <v>38</v>
      </c>
      <c r="E161" s="13" t="s">
        <v>39</v>
      </c>
      <c r="F161" s="14" t="str">
        <f>_xlfn.XLOOKUP(B161,'[1]Synthese suivi modernisation'!A:A,'[1]Synthese suivi modernisation'!S:S)</f>
        <v>KEDOUGOU</v>
      </c>
      <c r="G161" s="14" t="str">
        <f>_xlfn.XLOOKUP(B161,'[1]Synthese suivi modernisation'!A:A,'[1]Synthese suivi modernisation'!T:T)</f>
        <v>TAMBACOUNDA</v>
      </c>
      <c r="H161" s="20" t="s">
        <v>40</v>
      </c>
      <c r="I161" s="14" t="s">
        <v>41</v>
      </c>
      <c r="J161" s="16" t="s">
        <v>40</v>
      </c>
      <c r="K161" s="24">
        <v>3500</v>
      </c>
      <c r="L161" s="14">
        <v>3</v>
      </c>
      <c r="M161" s="17" t="s">
        <v>42</v>
      </c>
      <c r="N161" s="16" t="s">
        <v>80</v>
      </c>
      <c r="O161" s="16">
        <v>33</v>
      </c>
      <c r="P161" s="18">
        <v>240.41666666666666</v>
      </c>
      <c r="Q161" s="20"/>
      <c r="R161" s="20"/>
      <c r="S161" s="19">
        <v>0.8</v>
      </c>
      <c r="T161" s="20">
        <f t="shared" si="13"/>
        <v>11.363636363636363</v>
      </c>
      <c r="U161" s="20">
        <v>0.27</v>
      </c>
      <c r="V161" s="20">
        <f t="shared" si="14"/>
        <v>0.81</v>
      </c>
      <c r="W161" s="20"/>
      <c r="X161" s="20"/>
      <c r="Y161" s="20">
        <f t="shared" si="15"/>
        <v>0</v>
      </c>
      <c r="Z161" s="21">
        <f t="shared" si="16"/>
        <v>-240.41666666666666</v>
      </c>
      <c r="AA161" s="20"/>
      <c r="AB161" s="20"/>
      <c r="AC161" s="20"/>
      <c r="AD161" s="20">
        <f t="shared" si="17"/>
        <v>0</v>
      </c>
      <c r="AE161" s="20"/>
      <c r="AF161" s="20"/>
      <c r="AG161" s="20"/>
      <c r="AH161" s="20"/>
      <c r="AI161" s="20">
        <f t="shared" si="18"/>
        <v>0</v>
      </c>
      <c r="AJ161" s="20"/>
    </row>
    <row r="162" spans="2:36">
      <c r="B162" s="11" t="s">
        <v>419</v>
      </c>
      <c r="C162" s="12" t="s">
        <v>420</v>
      </c>
      <c r="D162" s="12" t="s">
        <v>38</v>
      </c>
      <c r="E162" s="13" t="s">
        <v>39</v>
      </c>
      <c r="F162" s="14" t="str">
        <f>_xlfn.XLOOKUP(B162,'[1]Synthese suivi modernisation'!A:A,'[1]Synthese suivi modernisation'!S:S)</f>
        <v>THIES</v>
      </c>
      <c r="G162" s="14" t="str">
        <f>_xlfn.XLOOKUP(B162,'[1]Synthese suivi modernisation'!A:A,'[1]Synthese suivi modernisation'!T:T)</f>
        <v>THIES</v>
      </c>
      <c r="H162" s="20" t="s">
        <v>70</v>
      </c>
      <c r="I162" s="20" t="s">
        <v>71</v>
      </c>
      <c r="J162" s="16" t="s">
        <v>70</v>
      </c>
      <c r="K162" s="24">
        <v>6000</v>
      </c>
      <c r="L162" s="14">
        <v>8</v>
      </c>
      <c r="M162" s="17" t="s">
        <v>73</v>
      </c>
      <c r="N162" s="16" t="s">
        <v>43</v>
      </c>
      <c r="O162" s="16">
        <v>30</v>
      </c>
      <c r="P162" s="18">
        <v>26.333333333333332</v>
      </c>
      <c r="Q162" s="20"/>
      <c r="R162" s="20"/>
      <c r="S162" s="19">
        <v>0.8</v>
      </c>
      <c r="T162" s="20">
        <f t="shared" si="13"/>
        <v>33.333333333333329</v>
      </c>
      <c r="U162" s="20">
        <v>0.27</v>
      </c>
      <c r="V162" s="20">
        <f t="shared" si="14"/>
        <v>2.16</v>
      </c>
      <c r="W162" s="20"/>
      <c r="X162" s="20"/>
      <c r="Y162" s="20">
        <f t="shared" si="15"/>
        <v>0</v>
      </c>
      <c r="Z162" s="21">
        <f t="shared" si="16"/>
        <v>-26.333333333333332</v>
      </c>
      <c r="AA162" s="20"/>
      <c r="AB162" s="20"/>
      <c r="AC162" s="20"/>
      <c r="AD162" s="20">
        <f t="shared" si="17"/>
        <v>0</v>
      </c>
      <c r="AE162" s="20"/>
      <c r="AF162" s="20"/>
      <c r="AG162" s="20"/>
      <c r="AH162" s="20"/>
      <c r="AI162" s="20">
        <f t="shared" si="18"/>
        <v>0</v>
      </c>
      <c r="AJ162" s="20"/>
    </row>
    <row r="163" spans="2:36">
      <c r="B163" s="11" t="s">
        <v>421</v>
      </c>
      <c r="C163" s="12" t="s">
        <v>422</v>
      </c>
      <c r="D163" s="12" t="s">
        <v>38</v>
      </c>
      <c r="E163" s="13" t="s">
        <v>39</v>
      </c>
      <c r="F163" s="14" t="str">
        <f>_xlfn.XLOOKUP(B163,'[1]Synthese suivi modernisation'!A:A,'[1]Synthese suivi modernisation'!S:S)</f>
        <v>BAKEL</v>
      </c>
      <c r="G163" s="14" t="str">
        <f>_xlfn.XLOOKUP(B163,'[1]Synthese suivi modernisation'!A:A,'[1]Synthese suivi modernisation'!T:T)</f>
        <v>SAINT-LOUIS</v>
      </c>
      <c r="H163" s="20" t="s">
        <v>70</v>
      </c>
      <c r="I163" s="20" t="s">
        <v>71</v>
      </c>
      <c r="J163" s="16" t="s">
        <v>70</v>
      </c>
      <c r="K163" s="24">
        <v>9000</v>
      </c>
      <c r="L163" s="14">
        <v>7</v>
      </c>
      <c r="M163" s="17" t="s">
        <v>73</v>
      </c>
      <c r="N163" s="16" t="s">
        <v>48</v>
      </c>
      <c r="O163" s="16">
        <v>22</v>
      </c>
      <c r="P163" s="18">
        <v>32.5</v>
      </c>
      <c r="Q163" s="20"/>
      <c r="R163" s="20"/>
      <c r="S163" s="19">
        <v>0.8</v>
      </c>
      <c r="T163" s="20">
        <f t="shared" si="13"/>
        <v>39.772727272727273</v>
      </c>
      <c r="U163" s="20">
        <v>0.27</v>
      </c>
      <c r="V163" s="20">
        <f t="shared" si="14"/>
        <v>1.8900000000000001</v>
      </c>
      <c r="W163" s="20"/>
      <c r="X163" s="20"/>
      <c r="Y163" s="20">
        <f t="shared" si="15"/>
        <v>0</v>
      </c>
      <c r="Z163" s="21">
        <f t="shared" si="16"/>
        <v>-32.5</v>
      </c>
      <c r="AA163" s="20"/>
      <c r="AB163" s="20"/>
      <c r="AC163" s="20"/>
      <c r="AD163" s="20">
        <f t="shared" si="17"/>
        <v>0</v>
      </c>
      <c r="AE163" s="20"/>
      <c r="AF163" s="20"/>
      <c r="AG163" s="20"/>
      <c r="AH163" s="20"/>
      <c r="AI163" s="20">
        <f t="shared" si="18"/>
        <v>0</v>
      </c>
      <c r="AJ163" s="20"/>
    </row>
    <row r="164" spans="2:36">
      <c r="B164" s="11" t="s">
        <v>423</v>
      </c>
      <c r="C164" s="12" t="s">
        <v>424</v>
      </c>
      <c r="D164" s="12" t="s">
        <v>38</v>
      </c>
      <c r="E164" s="13" t="s">
        <v>39</v>
      </c>
      <c r="F164" s="14" t="str">
        <f>_xlfn.XLOOKUP(B164,'[1]Synthese suivi modernisation'!A:A,'[1]Synthese suivi modernisation'!S:S)</f>
        <v>SAINT-LOUIS</v>
      </c>
      <c r="G164" s="14" t="str">
        <f>_xlfn.XLOOKUP(B164,'[1]Synthese suivi modernisation'!A:A,'[1]Synthese suivi modernisation'!T:T)</f>
        <v>SAINT-LOUIS</v>
      </c>
      <c r="H164" s="20" t="s">
        <v>70</v>
      </c>
      <c r="I164" s="20" t="s">
        <v>71</v>
      </c>
      <c r="J164" s="16" t="s">
        <v>70</v>
      </c>
      <c r="K164" s="24">
        <v>8000</v>
      </c>
      <c r="L164" s="14">
        <v>10</v>
      </c>
      <c r="M164" s="17" t="s">
        <v>73</v>
      </c>
      <c r="N164" s="16" t="s">
        <v>63</v>
      </c>
      <c r="O164" s="16">
        <v>30</v>
      </c>
      <c r="P164" s="18">
        <v>58.333333333333336</v>
      </c>
      <c r="Q164" s="20"/>
      <c r="R164" s="20"/>
      <c r="S164" s="19">
        <v>0.8</v>
      </c>
      <c r="T164" s="20">
        <f t="shared" si="13"/>
        <v>41.666666666666671</v>
      </c>
      <c r="U164" s="20">
        <v>0.27</v>
      </c>
      <c r="V164" s="20">
        <f t="shared" si="14"/>
        <v>2.7</v>
      </c>
      <c r="W164" s="20"/>
      <c r="X164" s="20"/>
      <c r="Y164" s="20">
        <f t="shared" si="15"/>
        <v>0</v>
      </c>
      <c r="Z164" s="21">
        <f t="shared" si="16"/>
        <v>-58.333333333333336</v>
      </c>
      <c r="AA164" s="20"/>
      <c r="AB164" s="20"/>
      <c r="AC164" s="20"/>
      <c r="AD164" s="20">
        <f t="shared" si="17"/>
        <v>0</v>
      </c>
      <c r="AE164" s="20"/>
      <c r="AF164" s="20"/>
      <c r="AG164" s="20"/>
      <c r="AH164" s="20"/>
      <c r="AI164" s="20">
        <f t="shared" si="18"/>
        <v>0</v>
      </c>
      <c r="AJ164" s="20"/>
    </row>
    <row r="165" spans="2:36">
      <c r="B165" s="11" t="s">
        <v>425</v>
      </c>
      <c r="C165" s="12" t="s">
        <v>426</v>
      </c>
      <c r="D165" s="12" t="s">
        <v>38</v>
      </c>
      <c r="E165" s="13" t="s">
        <v>39</v>
      </c>
      <c r="F165" s="14" t="str">
        <f>_xlfn.XLOOKUP(B165,'[1]Synthese suivi modernisation'!A:A,'[1]Synthese suivi modernisation'!S:S)</f>
        <v>LOUGA</v>
      </c>
      <c r="G165" s="14" t="str">
        <f>_xlfn.XLOOKUP(B165,'[1]Synthese suivi modernisation'!A:A,'[1]Synthese suivi modernisation'!T:T)</f>
        <v>SAINT-LOUIS</v>
      </c>
      <c r="H165" s="20" t="s">
        <v>40</v>
      </c>
      <c r="I165" s="14" t="s">
        <v>41</v>
      </c>
      <c r="J165" s="16" t="s">
        <v>40</v>
      </c>
      <c r="K165" s="24">
        <v>3000</v>
      </c>
      <c r="L165" s="14">
        <v>4.5</v>
      </c>
      <c r="M165" s="17" t="s">
        <v>42</v>
      </c>
      <c r="N165" s="16" t="s">
        <v>80</v>
      </c>
      <c r="O165" s="16">
        <v>33</v>
      </c>
      <c r="P165" s="18">
        <v>628.75</v>
      </c>
      <c r="Q165" s="20"/>
      <c r="R165" s="20"/>
      <c r="S165" s="19">
        <v>0.8</v>
      </c>
      <c r="T165" s="20">
        <f t="shared" si="13"/>
        <v>17.045454545454543</v>
      </c>
      <c r="U165" s="20">
        <v>0.27</v>
      </c>
      <c r="V165" s="20">
        <f t="shared" si="14"/>
        <v>1.2150000000000001</v>
      </c>
      <c r="W165" s="20"/>
      <c r="X165" s="20"/>
      <c r="Y165" s="20">
        <f t="shared" si="15"/>
        <v>0</v>
      </c>
      <c r="Z165" s="21">
        <f t="shared" si="16"/>
        <v>-628.75</v>
      </c>
      <c r="AA165" s="20"/>
      <c r="AB165" s="20"/>
      <c r="AC165" s="20"/>
      <c r="AD165" s="20">
        <f t="shared" si="17"/>
        <v>0</v>
      </c>
      <c r="AE165" s="20"/>
      <c r="AF165" s="20"/>
      <c r="AG165" s="20"/>
      <c r="AH165" s="20"/>
      <c r="AI165" s="20">
        <f t="shared" si="18"/>
        <v>0</v>
      </c>
      <c r="AJ165" s="20"/>
    </row>
    <row r="166" spans="2:36">
      <c r="B166" s="11" t="s">
        <v>427</v>
      </c>
      <c r="C166" s="12" t="s">
        <v>428</v>
      </c>
      <c r="D166" s="12" t="s">
        <v>38</v>
      </c>
      <c r="E166" s="13" t="s">
        <v>39</v>
      </c>
      <c r="F166" s="14" t="str">
        <f>_xlfn.XLOOKUP(B166,'[1]Synthese suivi modernisation'!A:A,'[1]Synthese suivi modernisation'!S:S)</f>
        <v>KAFFRINE</v>
      </c>
      <c r="G166" s="14" t="str">
        <f>_xlfn.XLOOKUP(B166,'[1]Synthese suivi modernisation'!A:A,'[1]Synthese suivi modernisation'!T:T)</f>
        <v>KAOLACK</v>
      </c>
      <c r="H166" s="20" t="s">
        <v>54</v>
      </c>
      <c r="I166" s="14" t="s">
        <v>41</v>
      </c>
      <c r="J166" s="23" t="s">
        <v>40</v>
      </c>
      <c r="K166" s="24">
        <v>2000</v>
      </c>
      <c r="L166" s="14">
        <v>2</v>
      </c>
      <c r="M166" s="17" t="s">
        <v>42</v>
      </c>
      <c r="N166" s="16" t="s">
        <v>55</v>
      </c>
      <c r="O166" s="16">
        <v>33</v>
      </c>
      <c r="P166" s="18">
        <v>75.583333333333329</v>
      </c>
      <c r="Q166" s="20"/>
      <c r="R166" s="20"/>
      <c r="S166" s="19">
        <v>0.8</v>
      </c>
      <c r="T166" s="20">
        <f t="shared" si="13"/>
        <v>7.5757575757575744</v>
      </c>
      <c r="U166" s="20">
        <v>0.27</v>
      </c>
      <c r="V166" s="20">
        <f t="shared" si="14"/>
        <v>0.54</v>
      </c>
      <c r="W166" s="20"/>
      <c r="X166" s="20"/>
      <c r="Y166" s="20">
        <f t="shared" si="15"/>
        <v>0</v>
      </c>
      <c r="Z166" s="21">
        <f t="shared" si="16"/>
        <v>-75.583333333333329</v>
      </c>
      <c r="AA166" s="20"/>
      <c r="AB166" s="20"/>
      <c r="AC166" s="20"/>
      <c r="AD166" s="20">
        <f t="shared" si="17"/>
        <v>0</v>
      </c>
      <c r="AE166" s="20"/>
      <c r="AF166" s="20"/>
      <c r="AG166" s="20"/>
      <c r="AH166" s="20"/>
      <c r="AI166" s="20">
        <f t="shared" si="18"/>
        <v>0</v>
      </c>
      <c r="AJ166" s="20"/>
    </row>
    <row r="167" spans="2:36">
      <c r="B167" s="11" t="s">
        <v>429</v>
      </c>
      <c r="C167" s="12" t="s">
        <v>430</v>
      </c>
      <c r="D167" s="12" t="s">
        <v>38</v>
      </c>
      <c r="E167" s="13" t="s">
        <v>39</v>
      </c>
      <c r="F167" s="14" t="str">
        <f>_xlfn.XLOOKUP(B167,'[1]Synthese suivi modernisation'!A:A,'[1]Synthese suivi modernisation'!S:S)</f>
        <v>LOUGA</v>
      </c>
      <c r="G167" s="14" t="str">
        <f>_xlfn.XLOOKUP(B167,'[1]Synthese suivi modernisation'!A:A,'[1]Synthese suivi modernisation'!T:T)</f>
        <v>SAINT-LOUIS</v>
      </c>
      <c r="H167" s="20" t="s">
        <v>40</v>
      </c>
      <c r="I167" s="14" t="s">
        <v>41</v>
      </c>
      <c r="J167" s="16" t="s">
        <v>40</v>
      </c>
      <c r="K167" s="24">
        <v>1500</v>
      </c>
      <c r="L167" s="14">
        <v>3</v>
      </c>
      <c r="M167" s="17" t="s">
        <v>42</v>
      </c>
      <c r="N167" s="16" t="s">
        <v>80</v>
      </c>
      <c r="O167" s="16">
        <v>33</v>
      </c>
      <c r="P167" s="18">
        <v>271.91666666666669</v>
      </c>
      <c r="Q167" s="20"/>
      <c r="R167" s="20"/>
      <c r="S167" s="19">
        <v>0.8</v>
      </c>
      <c r="T167" s="20">
        <f t="shared" si="13"/>
        <v>11.363636363636363</v>
      </c>
      <c r="U167" s="20">
        <v>0.27</v>
      </c>
      <c r="V167" s="20">
        <f t="shared" si="14"/>
        <v>0.81</v>
      </c>
      <c r="W167" s="20"/>
      <c r="X167" s="20"/>
      <c r="Y167" s="20">
        <f t="shared" si="15"/>
        <v>0</v>
      </c>
      <c r="Z167" s="21">
        <f t="shared" si="16"/>
        <v>-271.91666666666669</v>
      </c>
      <c r="AA167" s="20"/>
      <c r="AB167" s="20"/>
      <c r="AC167" s="20"/>
      <c r="AD167" s="20">
        <f t="shared" si="17"/>
        <v>0</v>
      </c>
      <c r="AE167" s="20"/>
      <c r="AF167" s="20"/>
      <c r="AG167" s="20"/>
      <c r="AH167" s="20"/>
      <c r="AI167" s="20">
        <f t="shared" si="18"/>
        <v>0</v>
      </c>
      <c r="AJ167" s="20"/>
    </row>
    <row r="168" spans="2:36">
      <c r="B168" s="11" t="s">
        <v>431</v>
      </c>
      <c r="C168" s="12" t="s">
        <v>432</v>
      </c>
      <c r="D168" s="12" t="s">
        <v>38</v>
      </c>
      <c r="E168" s="13" t="s">
        <v>39</v>
      </c>
      <c r="F168" s="14" t="str">
        <f>_xlfn.XLOOKUP(B168,'[1]Synthese suivi modernisation'!A:A,'[1]Synthese suivi modernisation'!S:S)</f>
        <v>KAOLACK</v>
      </c>
      <c r="G168" s="14" t="str">
        <f>_xlfn.XLOOKUP(B168,'[1]Synthese suivi modernisation'!A:A,'[1]Synthese suivi modernisation'!T:T)</f>
        <v>KAOLACK</v>
      </c>
      <c r="H168" s="20" t="s">
        <v>40</v>
      </c>
      <c r="I168" s="14" t="s">
        <v>41</v>
      </c>
      <c r="J168" s="16" t="s">
        <v>40</v>
      </c>
      <c r="K168" s="24">
        <v>4500</v>
      </c>
      <c r="L168" s="14">
        <v>5</v>
      </c>
      <c r="M168" s="17" t="s">
        <v>42</v>
      </c>
      <c r="N168" s="16" t="s">
        <v>67</v>
      </c>
      <c r="O168" s="16">
        <v>50</v>
      </c>
      <c r="P168" s="18">
        <v>527.91666666666663</v>
      </c>
      <c r="Q168" s="20"/>
      <c r="R168" s="20"/>
      <c r="S168" s="19">
        <v>0.8</v>
      </c>
      <c r="T168" s="20">
        <f t="shared" si="13"/>
        <v>12.5</v>
      </c>
      <c r="U168" s="20">
        <v>0.27</v>
      </c>
      <c r="V168" s="20">
        <f t="shared" si="14"/>
        <v>1.35</v>
      </c>
      <c r="W168" s="20"/>
      <c r="X168" s="20"/>
      <c r="Y168" s="20">
        <f t="shared" si="15"/>
        <v>0</v>
      </c>
      <c r="Z168" s="21">
        <f t="shared" si="16"/>
        <v>-527.91666666666663</v>
      </c>
      <c r="AA168" s="20"/>
      <c r="AB168" s="20"/>
      <c r="AC168" s="20"/>
      <c r="AD168" s="20">
        <f t="shared" si="17"/>
        <v>0</v>
      </c>
      <c r="AE168" s="20"/>
      <c r="AF168" s="20"/>
      <c r="AG168" s="20"/>
      <c r="AH168" s="20"/>
      <c r="AI168" s="20">
        <f t="shared" si="18"/>
        <v>0</v>
      </c>
      <c r="AJ168" s="20"/>
    </row>
    <row r="169" spans="2:36">
      <c r="B169" s="11" t="s">
        <v>433</v>
      </c>
      <c r="C169" s="12" t="s">
        <v>434</v>
      </c>
      <c r="D169" s="12" t="s">
        <v>38</v>
      </c>
      <c r="E169" s="13" t="s">
        <v>39</v>
      </c>
      <c r="F169" s="14" t="str">
        <f>_xlfn.XLOOKUP(B169,'[1]Synthese suivi modernisation'!A:A,'[1]Synthese suivi modernisation'!S:S)</f>
        <v>MBOUR</v>
      </c>
      <c r="G169" s="14" t="str">
        <f>_xlfn.XLOOKUP(B169,'[1]Synthese suivi modernisation'!A:A,'[1]Synthese suivi modernisation'!T:T)</f>
        <v>THIES</v>
      </c>
      <c r="H169" s="20" t="s">
        <v>435</v>
      </c>
      <c r="I169" s="20" t="s">
        <v>71</v>
      </c>
      <c r="J169" s="23" t="s">
        <v>436</v>
      </c>
      <c r="K169" s="24">
        <v>5000</v>
      </c>
      <c r="L169" s="14">
        <v>7</v>
      </c>
      <c r="M169" s="17" t="s">
        <v>73</v>
      </c>
      <c r="N169" s="16" t="s">
        <v>111</v>
      </c>
      <c r="O169" s="16">
        <v>22</v>
      </c>
      <c r="P169" s="18">
        <v>129.66666666666666</v>
      </c>
      <c r="Q169" s="20"/>
      <c r="R169" s="20"/>
      <c r="S169" s="19">
        <v>0.8</v>
      </c>
      <c r="T169" s="20">
        <f t="shared" si="13"/>
        <v>39.772727272727273</v>
      </c>
      <c r="U169" s="20">
        <v>0.27</v>
      </c>
      <c r="V169" s="20">
        <f t="shared" si="14"/>
        <v>1.8900000000000001</v>
      </c>
      <c r="W169" s="20"/>
      <c r="X169" s="20"/>
      <c r="Y169" s="20">
        <f t="shared" si="15"/>
        <v>0</v>
      </c>
      <c r="Z169" s="21">
        <f t="shared" si="16"/>
        <v>-129.66666666666666</v>
      </c>
      <c r="AA169" s="20"/>
      <c r="AB169" s="20"/>
      <c r="AC169" s="20"/>
      <c r="AD169" s="20">
        <f t="shared" si="17"/>
        <v>0</v>
      </c>
      <c r="AE169" s="20"/>
      <c r="AF169" s="20"/>
      <c r="AG169" s="20"/>
      <c r="AH169" s="20"/>
      <c r="AI169" s="20">
        <f t="shared" si="18"/>
        <v>0</v>
      </c>
      <c r="AJ169" s="20"/>
    </row>
    <row r="170" spans="2:36">
      <c r="B170" s="11" t="s">
        <v>437</v>
      </c>
      <c r="C170" s="12" t="s">
        <v>438</v>
      </c>
      <c r="D170" s="12" t="s">
        <v>38</v>
      </c>
      <c r="E170" s="13" t="s">
        <v>39</v>
      </c>
      <c r="F170" s="14" t="str">
        <f>_xlfn.XLOOKUP(B170,'[1]Synthese suivi modernisation'!A:A,'[1]Synthese suivi modernisation'!S:S)</f>
        <v>LOUGA</v>
      </c>
      <c r="G170" s="14" t="str">
        <f>_xlfn.XLOOKUP(B170,'[1]Synthese suivi modernisation'!A:A,'[1]Synthese suivi modernisation'!T:T)</f>
        <v>SAINT-LOUIS</v>
      </c>
      <c r="H170" s="20" t="s">
        <v>70</v>
      </c>
      <c r="I170" s="20" t="s">
        <v>71</v>
      </c>
      <c r="J170" s="16" t="s">
        <v>72</v>
      </c>
      <c r="K170" s="24">
        <v>6000</v>
      </c>
      <c r="L170" s="14">
        <v>7</v>
      </c>
      <c r="M170" s="17" t="s">
        <v>73</v>
      </c>
      <c r="N170" s="16" t="s">
        <v>439</v>
      </c>
      <c r="O170" s="16">
        <v>18</v>
      </c>
      <c r="P170" s="18">
        <v>0</v>
      </c>
      <c r="Q170" s="20"/>
      <c r="R170" s="20"/>
      <c r="S170" s="19">
        <v>0.8</v>
      </c>
      <c r="T170" s="20">
        <f t="shared" si="13"/>
        <v>48.611111111111107</v>
      </c>
      <c r="U170" s="20">
        <v>0.27</v>
      </c>
      <c r="V170" s="20">
        <f t="shared" si="14"/>
        <v>1.8900000000000001</v>
      </c>
      <c r="W170" s="20"/>
      <c r="X170" s="20"/>
      <c r="Y170" s="20">
        <f t="shared" si="15"/>
        <v>0</v>
      </c>
      <c r="Z170" s="21">
        <f t="shared" si="16"/>
        <v>0</v>
      </c>
      <c r="AA170" s="20"/>
      <c r="AB170" s="20"/>
      <c r="AC170" s="20"/>
      <c r="AD170" s="20">
        <f t="shared" si="17"/>
        <v>0</v>
      </c>
      <c r="AE170" s="20"/>
      <c r="AF170" s="20"/>
      <c r="AG170" s="20"/>
      <c r="AH170" s="20"/>
      <c r="AI170" s="20">
        <f t="shared" si="18"/>
        <v>0</v>
      </c>
      <c r="AJ170" s="20"/>
    </row>
    <row r="171" spans="2:36">
      <c r="B171" s="11" t="s">
        <v>440</v>
      </c>
      <c r="C171" s="12" t="s">
        <v>441</v>
      </c>
      <c r="D171" s="12" t="s">
        <v>38</v>
      </c>
      <c r="E171" s="13" t="s">
        <v>39</v>
      </c>
      <c r="F171" s="14" t="str">
        <f>_xlfn.XLOOKUP(B171,'[1]Synthese suivi modernisation'!A:A,'[1]Synthese suivi modernisation'!S:S)</f>
        <v>LINGUERE</v>
      </c>
      <c r="G171" s="14" t="str">
        <f>_xlfn.XLOOKUP(B171,'[1]Synthese suivi modernisation'!A:A,'[1]Synthese suivi modernisation'!T:T)</f>
        <v>THIES</v>
      </c>
      <c r="H171" s="20" t="s">
        <v>40</v>
      </c>
      <c r="I171" s="14" t="s">
        <v>41</v>
      </c>
      <c r="J171" s="16" t="s">
        <v>40</v>
      </c>
      <c r="K171" s="24">
        <v>3500</v>
      </c>
      <c r="L171" s="14">
        <v>3.5</v>
      </c>
      <c r="M171" s="17" t="s">
        <v>42</v>
      </c>
      <c r="N171" s="16" t="s">
        <v>48</v>
      </c>
      <c r="O171" s="16">
        <v>22</v>
      </c>
      <c r="P171" s="18">
        <v>225.91666666666666</v>
      </c>
      <c r="Q171" s="20"/>
      <c r="R171" s="20"/>
      <c r="S171" s="19">
        <v>0.8</v>
      </c>
      <c r="T171" s="20">
        <f t="shared" si="13"/>
        <v>19.886363636363637</v>
      </c>
      <c r="U171" s="20">
        <v>0.27</v>
      </c>
      <c r="V171" s="20">
        <f t="shared" si="14"/>
        <v>0.94500000000000006</v>
      </c>
      <c r="W171" s="20"/>
      <c r="X171" s="20"/>
      <c r="Y171" s="20">
        <f t="shared" si="15"/>
        <v>0</v>
      </c>
      <c r="Z171" s="21">
        <f t="shared" si="16"/>
        <v>-225.91666666666666</v>
      </c>
      <c r="AA171" s="20"/>
      <c r="AB171" s="20"/>
      <c r="AC171" s="20"/>
      <c r="AD171" s="20">
        <f t="shared" si="17"/>
        <v>0</v>
      </c>
      <c r="AE171" s="20"/>
      <c r="AF171" s="20"/>
      <c r="AG171" s="20"/>
      <c r="AH171" s="20"/>
      <c r="AI171" s="20">
        <f t="shared" si="18"/>
        <v>0</v>
      </c>
      <c r="AJ171" s="20"/>
    </row>
    <row r="172" spans="2:36">
      <c r="B172" s="11" t="s">
        <v>442</v>
      </c>
      <c r="C172" s="12" t="s">
        <v>443</v>
      </c>
      <c r="D172" s="12" t="s">
        <v>38</v>
      </c>
      <c r="E172" s="13" t="s">
        <v>39</v>
      </c>
      <c r="F172" s="14" t="str">
        <f>_xlfn.XLOOKUP(B172,'[1]Synthese suivi modernisation'!A:A,'[1]Synthese suivi modernisation'!S:S)</f>
        <v>SEDHIOU</v>
      </c>
      <c r="G172" s="14" t="str">
        <f>_xlfn.XLOOKUP(B172,'[1]Synthese suivi modernisation'!A:A,'[1]Synthese suivi modernisation'!T:T)</f>
        <v>ZIGUINCHOR</v>
      </c>
      <c r="H172" s="20" t="s">
        <v>205</v>
      </c>
      <c r="I172" s="14" t="s">
        <v>41</v>
      </c>
      <c r="J172" s="16" t="s">
        <v>66</v>
      </c>
      <c r="K172" s="24">
        <v>4500</v>
      </c>
      <c r="L172" s="14">
        <v>6</v>
      </c>
      <c r="M172" s="17" t="s">
        <v>42</v>
      </c>
      <c r="N172" s="16" t="s">
        <v>67</v>
      </c>
      <c r="O172" s="16">
        <v>50</v>
      </c>
      <c r="P172" s="18">
        <v>1195.8333333333333</v>
      </c>
      <c r="Q172" s="20"/>
      <c r="R172" s="20"/>
      <c r="S172" s="19">
        <v>0.8</v>
      </c>
      <c r="T172" s="20">
        <f t="shared" si="13"/>
        <v>15</v>
      </c>
      <c r="U172" s="20">
        <v>0.27</v>
      </c>
      <c r="V172" s="20">
        <f t="shared" si="14"/>
        <v>1.62</v>
      </c>
      <c r="W172" s="20"/>
      <c r="X172" s="20"/>
      <c r="Y172" s="20">
        <f t="shared" si="15"/>
        <v>0</v>
      </c>
      <c r="Z172" s="21">
        <f t="shared" si="16"/>
        <v>-1195.8333333333333</v>
      </c>
      <c r="AA172" s="20"/>
      <c r="AB172" s="20"/>
      <c r="AC172" s="20"/>
      <c r="AD172" s="20">
        <f t="shared" si="17"/>
        <v>0</v>
      </c>
      <c r="AE172" s="20"/>
      <c r="AF172" s="20"/>
      <c r="AG172" s="20"/>
      <c r="AH172" s="20"/>
      <c r="AI172" s="20">
        <f t="shared" si="18"/>
        <v>0</v>
      </c>
      <c r="AJ172" s="20"/>
    </row>
    <row r="173" spans="2:36">
      <c r="B173" s="11" t="s">
        <v>444</v>
      </c>
      <c r="C173" s="12" t="s">
        <v>445</v>
      </c>
      <c r="D173" s="12" t="s">
        <v>38</v>
      </c>
      <c r="E173" s="13" t="s">
        <v>39</v>
      </c>
      <c r="F173" s="14" t="str">
        <f>_xlfn.XLOOKUP(B173,'[1]Synthese suivi modernisation'!A:A,'[1]Synthese suivi modernisation'!S:S)</f>
        <v>MBOUR</v>
      </c>
      <c r="G173" s="14" t="str">
        <f>_xlfn.XLOOKUP(B173,'[1]Synthese suivi modernisation'!A:A,'[1]Synthese suivi modernisation'!T:T)</f>
        <v>THIES</v>
      </c>
      <c r="H173" s="20" t="s">
        <v>180</v>
      </c>
      <c r="I173" s="20" t="s">
        <v>71</v>
      </c>
      <c r="J173" s="16" t="s">
        <v>180</v>
      </c>
      <c r="K173" s="24">
        <v>1000</v>
      </c>
      <c r="L173" s="14">
        <v>5</v>
      </c>
      <c r="M173" s="17" t="s">
        <v>73</v>
      </c>
      <c r="N173" s="16" t="s">
        <v>446</v>
      </c>
      <c r="O173" s="16">
        <v>18</v>
      </c>
      <c r="P173" s="18">
        <v>34</v>
      </c>
      <c r="Q173" s="20"/>
      <c r="R173" s="20"/>
      <c r="S173" s="19">
        <v>0.8</v>
      </c>
      <c r="T173" s="20">
        <f t="shared" si="13"/>
        <v>34.722222222222221</v>
      </c>
      <c r="U173" s="20">
        <v>0.27</v>
      </c>
      <c r="V173" s="20">
        <f t="shared" si="14"/>
        <v>1.35</v>
      </c>
      <c r="W173" s="20"/>
      <c r="X173" s="20"/>
      <c r="Y173" s="20">
        <f t="shared" si="15"/>
        <v>0</v>
      </c>
      <c r="Z173" s="21">
        <f t="shared" si="16"/>
        <v>-34</v>
      </c>
      <c r="AA173" s="20"/>
      <c r="AB173" s="20"/>
      <c r="AC173" s="20"/>
      <c r="AD173" s="20">
        <f t="shared" si="17"/>
        <v>0</v>
      </c>
      <c r="AE173" s="20"/>
      <c r="AF173" s="20"/>
      <c r="AG173" s="20"/>
      <c r="AH173" s="20"/>
      <c r="AI173" s="20">
        <f t="shared" si="18"/>
        <v>0</v>
      </c>
      <c r="AJ173" s="20"/>
    </row>
    <row r="174" spans="2:36">
      <c r="B174" s="11" t="s">
        <v>447</v>
      </c>
      <c r="C174" s="12" t="s">
        <v>448</v>
      </c>
      <c r="D174" s="12" t="s">
        <v>38</v>
      </c>
      <c r="E174" s="13" t="s">
        <v>39</v>
      </c>
      <c r="F174" s="14" t="str">
        <f>_xlfn.XLOOKUP(B174,'[1]Synthese suivi modernisation'!A:A,'[1]Synthese suivi modernisation'!S:S)</f>
        <v>KAOLACK</v>
      </c>
      <c r="G174" s="14" t="str">
        <f>_xlfn.XLOOKUP(B174,'[1]Synthese suivi modernisation'!A:A,'[1]Synthese suivi modernisation'!T:T)</f>
        <v>KAOLACK</v>
      </c>
      <c r="H174" s="20" t="s">
        <v>209</v>
      </c>
      <c r="I174" s="14" t="s">
        <v>41</v>
      </c>
      <c r="J174" s="16" t="s">
        <v>209</v>
      </c>
      <c r="K174" s="24">
        <v>3000</v>
      </c>
      <c r="L174" s="14">
        <v>11</v>
      </c>
      <c r="M174" s="17" t="s">
        <v>42</v>
      </c>
      <c r="N174" s="16" t="s">
        <v>67</v>
      </c>
      <c r="O174" s="16">
        <v>50</v>
      </c>
      <c r="P174" s="18">
        <v>2539.0833333333335</v>
      </c>
      <c r="Q174" s="20"/>
      <c r="R174" s="20"/>
      <c r="S174" s="19">
        <v>0.8</v>
      </c>
      <c r="T174" s="20">
        <f t="shared" si="13"/>
        <v>27.500000000000004</v>
      </c>
      <c r="U174" s="20">
        <v>0.27</v>
      </c>
      <c r="V174" s="20">
        <f t="shared" si="14"/>
        <v>2.97</v>
      </c>
      <c r="W174" s="20"/>
      <c r="X174" s="20"/>
      <c r="Y174" s="20">
        <f t="shared" si="15"/>
        <v>0</v>
      </c>
      <c r="Z174" s="21">
        <f t="shared" si="16"/>
        <v>-2539.0833333333335</v>
      </c>
      <c r="AA174" s="20"/>
      <c r="AB174" s="20"/>
      <c r="AC174" s="20"/>
      <c r="AD174" s="20">
        <f t="shared" si="17"/>
        <v>0</v>
      </c>
      <c r="AE174" s="20"/>
      <c r="AF174" s="20"/>
      <c r="AG174" s="20"/>
      <c r="AH174" s="20"/>
      <c r="AI174" s="20">
        <f t="shared" si="18"/>
        <v>0</v>
      </c>
      <c r="AJ174" s="20"/>
    </row>
    <row r="175" spans="2:36">
      <c r="B175" s="11" t="s">
        <v>449</v>
      </c>
      <c r="C175" s="12" t="s">
        <v>450</v>
      </c>
      <c r="D175" s="12" t="s">
        <v>38</v>
      </c>
      <c r="E175" s="13" t="s">
        <v>39</v>
      </c>
      <c r="F175" s="14" t="str">
        <f>_xlfn.XLOOKUP(B175,'[1]Synthese suivi modernisation'!A:A,'[1]Synthese suivi modernisation'!S:S)</f>
        <v>SOKONE</v>
      </c>
      <c r="G175" s="14" t="str">
        <f>_xlfn.XLOOKUP(B175,'[1]Synthese suivi modernisation'!A:A,'[1]Synthese suivi modernisation'!T:T)</f>
        <v>KAOLACK</v>
      </c>
      <c r="H175" s="20" t="s">
        <v>54</v>
      </c>
      <c r="I175" s="14" t="s">
        <v>41</v>
      </c>
      <c r="J175" s="23" t="s">
        <v>40</v>
      </c>
      <c r="K175" s="24">
        <v>2750</v>
      </c>
      <c r="L175" s="14">
        <v>3.5</v>
      </c>
      <c r="M175" s="17" t="s">
        <v>42</v>
      </c>
      <c r="N175" s="16" t="s">
        <v>55</v>
      </c>
      <c r="O175" s="16">
        <v>33</v>
      </c>
      <c r="P175" s="18">
        <v>243.33333333333334</v>
      </c>
      <c r="Q175" s="20"/>
      <c r="R175" s="20"/>
      <c r="S175" s="19">
        <v>0.8</v>
      </c>
      <c r="T175" s="20">
        <f t="shared" si="13"/>
        <v>13.257575757575758</v>
      </c>
      <c r="U175" s="20">
        <v>0.27</v>
      </c>
      <c r="V175" s="20">
        <f t="shared" si="14"/>
        <v>0.94500000000000006</v>
      </c>
      <c r="W175" s="20"/>
      <c r="X175" s="20"/>
      <c r="Y175" s="20">
        <f t="shared" si="15"/>
        <v>0</v>
      </c>
      <c r="Z175" s="21">
        <f t="shared" si="16"/>
        <v>-243.33333333333334</v>
      </c>
      <c r="AA175" s="20"/>
      <c r="AB175" s="20"/>
      <c r="AC175" s="20"/>
      <c r="AD175" s="20">
        <f t="shared" si="17"/>
        <v>0</v>
      </c>
      <c r="AE175" s="20"/>
      <c r="AF175" s="20"/>
      <c r="AG175" s="20"/>
      <c r="AH175" s="20"/>
      <c r="AI175" s="20">
        <f t="shared" si="18"/>
        <v>0</v>
      </c>
      <c r="AJ175" s="20"/>
    </row>
    <row r="176" spans="2:36">
      <c r="B176" s="11" t="s">
        <v>451</v>
      </c>
      <c r="C176" s="12" t="s">
        <v>452</v>
      </c>
      <c r="D176" s="12" t="s">
        <v>38</v>
      </c>
      <c r="E176" s="13" t="s">
        <v>39</v>
      </c>
      <c r="F176" s="14" t="str">
        <f>_xlfn.XLOOKUP(B176,'[1]Synthese suivi modernisation'!A:A,'[1]Synthese suivi modernisation'!S:S)</f>
        <v>MBOUR</v>
      </c>
      <c r="G176" s="14" t="str">
        <f>_xlfn.XLOOKUP(B176,'[1]Synthese suivi modernisation'!A:A,'[1]Synthese suivi modernisation'!T:T)</f>
        <v>THIES</v>
      </c>
      <c r="H176" s="20" t="s">
        <v>40</v>
      </c>
      <c r="I176" s="14" t="s">
        <v>41</v>
      </c>
      <c r="J176" s="23" t="s">
        <v>40</v>
      </c>
      <c r="K176" s="24">
        <v>1500</v>
      </c>
      <c r="L176" s="14">
        <v>4</v>
      </c>
      <c r="M176" s="17" t="s">
        <v>42</v>
      </c>
      <c r="N176" s="16" t="s">
        <v>48</v>
      </c>
      <c r="O176" s="16">
        <v>22</v>
      </c>
      <c r="P176" s="18">
        <v>366.41666666666669</v>
      </c>
      <c r="Q176" s="20"/>
      <c r="R176" s="20"/>
      <c r="S176" s="19">
        <v>0.8</v>
      </c>
      <c r="T176" s="20">
        <f t="shared" si="13"/>
        <v>22.727272727272727</v>
      </c>
      <c r="U176" s="20">
        <v>0.27</v>
      </c>
      <c r="V176" s="20">
        <f t="shared" si="14"/>
        <v>1.08</v>
      </c>
      <c r="W176" s="20"/>
      <c r="X176" s="20"/>
      <c r="Y176" s="20">
        <f t="shared" si="15"/>
        <v>0</v>
      </c>
      <c r="Z176" s="21">
        <f t="shared" si="16"/>
        <v>-366.41666666666669</v>
      </c>
      <c r="AA176" s="20"/>
      <c r="AB176" s="20"/>
      <c r="AC176" s="20"/>
      <c r="AD176" s="20">
        <f t="shared" si="17"/>
        <v>0</v>
      </c>
      <c r="AE176" s="20"/>
      <c r="AF176" s="20"/>
      <c r="AG176" s="20"/>
      <c r="AH176" s="20"/>
      <c r="AI176" s="20">
        <f t="shared" si="18"/>
        <v>0</v>
      </c>
      <c r="AJ176" s="20"/>
    </row>
    <row r="177" spans="2:36">
      <c r="B177" s="11" t="s">
        <v>453</v>
      </c>
      <c r="C177" s="12" t="s">
        <v>454</v>
      </c>
      <c r="D177" s="12" t="s">
        <v>38</v>
      </c>
      <c r="E177" s="13" t="s">
        <v>39</v>
      </c>
      <c r="F177" s="14" t="str">
        <f>_xlfn.XLOOKUP(B177,'[1]Synthese suivi modernisation'!A:A,'[1]Synthese suivi modernisation'!S:S)</f>
        <v>FATICK</v>
      </c>
      <c r="G177" s="14" t="str">
        <f>_xlfn.XLOOKUP(B177,'[1]Synthese suivi modernisation'!A:A,'[1]Synthese suivi modernisation'!T:T)</f>
        <v>KAOLACK</v>
      </c>
      <c r="H177" s="20" t="s">
        <v>40</v>
      </c>
      <c r="I177" s="14" t="s">
        <v>41</v>
      </c>
      <c r="J177" s="16" t="s">
        <v>40</v>
      </c>
      <c r="K177" s="24">
        <v>1750</v>
      </c>
      <c r="L177" s="14">
        <v>3.5</v>
      </c>
      <c r="M177" s="17" t="s">
        <v>42</v>
      </c>
      <c r="N177" s="16" t="s">
        <v>80</v>
      </c>
      <c r="O177" s="16">
        <v>33</v>
      </c>
      <c r="P177" s="18">
        <v>206.91666666666666</v>
      </c>
      <c r="Q177" s="20"/>
      <c r="R177" s="20"/>
      <c r="S177" s="19">
        <v>0.8</v>
      </c>
      <c r="T177" s="20">
        <f t="shared" si="13"/>
        <v>13.257575757575758</v>
      </c>
      <c r="U177" s="20">
        <v>0.27</v>
      </c>
      <c r="V177" s="20">
        <f t="shared" si="14"/>
        <v>0.94500000000000006</v>
      </c>
      <c r="W177" s="20"/>
      <c r="X177" s="20"/>
      <c r="Y177" s="20">
        <f t="shared" si="15"/>
        <v>0</v>
      </c>
      <c r="Z177" s="21">
        <f t="shared" si="16"/>
        <v>-206.91666666666666</v>
      </c>
      <c r="AA177" s="20"/>
      <c r="AB177" s="20"/>
      <c r="AC177" s="20"/>
      <c r="AD177" s="20">
        <f t="shared" si="17"/>
        <v>0</v>
      </c>
      <c r="AE177" s="20"/>
      <c r="AF177" s="20"/>
      <c r="AG177" s="20"/>
      <c r="AH177" s="20"/>
      <c r="AI177" s="20">
        <f t="shared" si="18"/>
        <v>0</v>
      </c>
      <c r="AJ177" s="20"/>
    </row>
    <row r="178" spans="2:36">
      <c r="B178" s="11" t="s">
        <v>455</v>
      </c>
      <c r="C178" s="12" t="s">
        <v>456</v>
      </c>
      <c r="D178" s="12" t="s">
        <v>38</v>
      </c>
      <c r="E178" s="13" t="s">
        <v>39</v>
      </c>
      <c r="F178" s="14" t="str">
        <f>_xlfn.XLOOKUP(B178,'[1]Synthese suivi modernisation'!A:A,'[1]Synthese suivi modernisation'!S:S)</f>
        <v>BAKEL</v>
      </c>
      <c r="G178" s="14" t="str">
        <f>_xlfn.XLOOKUP(B178,'[1]Synthese suivi modernisation'!A:A,'[1]Synthese suivi modernisation'!T:T)</f>
        <v>SAINT-LOUIS</v>
      </c>
      <c r="H178" s="20" t="s">
        <v>40</v>
      </c>
      <c r="I178" s="14" t="s">
        <v>41</v>
      </c>
      <c r="J178" s="16" t="s">
        <v>40</v>
      </c>
      <c r="K178" s="24">
        <v>3500</v>
      </c>
      <c r="L178" s="14">
        <v>3</v>
      </c>
      <c r="M178" s="17" t="s">
        <v>42</v>
      </c>
      <c r="N178" s="16" t="s">
        <v>48</v>
      </c>
      <c r="O178" s="16">
        <v>22</v>
      </c>
      <c r="P178" s="18">
        <v>278.58333333333331</v>
      </c>
      <c r="Q178" s="20"/>
      <c r="R178" s="20"/>
      <c r="S178" s="19">
        <v>0.8</v>
      </c>
      <c r="T178" s="20">
        <f t="shared" si="13"/>
        <v>17.045454545454543</v>
      </c>
      <c r="U178" s="20">
        <v>0.27</v>
      </c>
      <c r="V178" s="20">
        <f t="shared" si="14"/>
        <v>0.81</v>
      </c>
      <c r="W178" s="20"/>
      <c r="X178" s="20"/>
      <c r="Y178" s="20">
        <f t="shared" si="15"/>
        <v>0</v>
      </c>
      <c r="Z178" s="21">
        <f t="shared" si="16"/>
        <v>-278.58333333333331</v>
      </c>
      <c r="AA178" s="20"/>
      <c r="AB178" s="20"/>
      <c r="AC178" s="20"/>
      <c r="AD178" s="20">
        <f t="shared" si="17"/>
        <v>0</v>
      </c>
      <c r="AE178" s="20"/>
      <c r="AF178" s="20"/>
      <c r="AG178" s="20"/>
      <c r="AH178" s="20"/>
      <c r="AI178" s="20">
        <f t="shared" si="18"/>
        <v>0</v>
      </c>
      <c r="AJ178" s="20"/>
    </row>
    <row r="179" spans="2:36">
      <c r="B179" s="11" t="s">
        <v>457</v>
      </c>
      <c r="C179" s="12" t="s">
        <v>458</v>
      </c>
      <c r="D179" s="12" t="s">
        <v>38</v>
      </c>
      <c r="E179" s="13" t="s">
        <v>39</v>
      </c>
      <c r="F179" s="14" t="str">
        <f>_xlfn.XLOOKUP(B179,'[1]Synthese suivi modernisation'!A:A,'[1]Synthese suivi modernisation'!S:S)</f>
        <v>NDIOUM</v>
      </c>
      <c r="G179" s="14" t="str">
        <f>_xlfn.XLOOKUP(B179,'[1]Synthese suivi modernisation'!A:A,'[1]Synthese suivi modernisation'!T:T)</f>
        <v>SAINT-LOUIS</v>
      </c>
      <c r="H179" s="20" t="s">
        <v>70</v>
      </c>
      <c r="I179" s="20" t="s">
        <v>71</v>
      </c>
      <c r="J179" s="16" t="s">
        <v>70</v>
      </c>
      <c r="K179" s="24">
        <v>12000</v>
      </c>
      <c r="L179" s="14">
        <v>16</v>
      </c>
      <c r="M179" s="17" t="s">
        <v>73</v>
      </c>
      <c r="N179" s="16" t="s">
        <v>196</v>
      </c>
      <c r="O179" s="16">
        <v>66</v>
      </c>
      <c r="P179" s="18">
        <v>132.41666666666666</v>
      </c>
      <c r="Q179" s="20"/>
      <c r="R179" s="20"/>
      <c r="S179" s="19">
        <v>0.8</v>
      </c>
      <c r="T179" s="20">
        <f t="shared" si="13"/>
        <v>30.303030303030297</v>
      </c>
      <c r="U179" s="20">
        <v>0.27</v>
      </c>
      <c r="V179" s="20">
        <f t="shared" si="14"/>
        <v>4.32</v>
      </c>
      <c r="W179" s="20"/>
      <c r="X179" s="20"/>
      <c r="Y179" s="20">
        <f t="shared" si="15"/>
        <v>0</v>
      </c>
      <c r="Z179" s="21">
        <f t="shared" si="16"/>
        <v>-132.41666666666666</v>
      </c>
      <c r="AA179" s="20"/>
      <c r="AB179" s="20"/>
      <c r="AC179" s="20"/>
      <c r="AD179" s="20">
        <f t="shared" si="17"/>
        <v>0</v>
      </c>
      <c r="AE179" s="20"/>
      <c r="AF179" s="20"/>
      <c r="AG179" s="20"/>
      <c r="AH179" s="20"/>
      <c r="AI179" s="20">
        <f t="shared" si="18"/>
        <v>0</v>
      </c>
      <c r="AJ179" s="20"/>
    </row>
    <row r="180" spans="2:36">
      <c r="B180" s="11" t="s">
        <v>459</v>
      </c>
      <c r="C180" s="12" t="s">
        <v>460</v>
      </c>
      <c r="D180" s="12" t="s">
        <v>38</v>
      </c>
      <c r="E180" s="13" t="s">
        <v>39</v>
      </c>
      <c r="F180" s="14" t="str">
        <f>_xlfn.XLOOKUP(B180,'[1]Synthese suivi modernisation'!A:A,'[1]Synthese suivi modernisation'!S:S)</f>
        <v>KAOLACK</v>
      </c>
      <c r="G180" s="14" t="str">
        <f>_xlfn.XLOOKUP(B180,'[1]Synthese suivi modernisation'!A:A,'[1]Synthese suivi modernisation'!T:T)</f>
        <v>KAOLACK</v>
      </c>
      <c r="H180" s="20" t="s">
        <v>70</v>
      </c>
      <c r="I180" s="20" t="s">
        <v>71</v>
      </c>
      <c r="J180" s="16" t="s">
        <v>72</v>
      </c>
      <c r="K180" s="24">
        <v>6000</v>
      </c>
      <c r="L180" s="14">
        <v>7</v>
      </c>
      <c r="M180" s="17" t="s">
        <v>73</v>
      </c>
      <c r="N180" s="16" t="s">
        <v>74</v>
      </c>
      <c r="O180" s="16">
        <v>30</v>
      </c>
      <c r="P180" s="18">
        <v>0</v>
      </c>
      <c r="Q180" s="20"/>
      <c r="R180" s="20"/>
      <c r="S180" s="19">
        <v>0.8</v>
      </c>
      <c r="T180" s="20">
        <f t="shared" si="13"/>
        <v>29.166666666666668</v>
      </c>
      <c r="U180" s="20">
        <v>0.27</v>
      </c>
      <c r="V180" s="20">
        <f t="shared" si="14"/>
        <v>1.8900000000000001</v>
      </c>
      <c r="W180" s="20"/>
      <c r="X180" s="20"/>
      <c r="Y180" s="20">
        <f t="shared" si="15"/>
        <v>0</v>
      </c>
      <c r="Z180" s="21">
        <f t="shared" si="16"/>
        <v>0</v>
      </c>
      <c r="AA180" s="20"/>
      <c r="AB180" s="20"/>
      <c r="AC180" s="20"/>
      <c r="AD180" s="20">
        <f t="shared" si="17"/>
        <v>0</v>
      </c>
      <c r="AE180" s="20"/>
      <c r="AF180" s="20"/>
      <c r="AG180" s="20"/>
      <c r="AH180" s="20"/>
      <c r="AI180" s="20">
        <f t="shared" si="18"/>
        <v>0</v>
      </c>
      <c r="AJ180" s="20"/>
    </row>
    <row r="181" spans="2:36">
      <c r="B181" s="11" t="s">
        <v>461</v>
      </c>
      <c r="C181" s="12" t="s">
        <v>462</v>
      </c>
      <c r="D181" s="12" t="s">
        <v>38</v>
      </c>
      <c r="E181" s="13" t="s">
        <v>39</v>
      </c>
      <c r="F181" s="14" t="str">
        <f>_xlfn.XLOOKUP(B181,'[1]Synthese suivi modernisation'!A:A,'[1]Synthese suivi modernisation'!S:S)</f>
        <v>KOLDA</v>
      </c>
      <c r="G181" s="14" t="str">
        <f>_xlfn.XLOOKUP(B181,'[1]Synthese suivi modernisation'!A:A,'[1]Synthese suivi modernisation'!T:T)</f>
        <v>ZIGUINCHOR</v>
      </c>
      <c r="H181" s="20" t="s">
        <v>40</v>
      </c>
      <c r="I181" s="14" t="s">
        <v>41</v>
      </c>
      <c r="J181" s="16" t="s">
        <v>40</v>
      </c>
      <c r="K181" s="24">
        <v>3500</v>
      </c>
      <c r="L181" s="14">
        <v>4</v>
      </c>
      <c r="M181" s="17" t="s">
        <v>42</v>
      </c>
      <c r="N181" s="16" t="s">
        <v>80</v>
      </c>
      <c r="O181" s="16">
        <v>33</v>
      </c>
      <c r="P181" s="18">
        <v>300.58333333333331</v>
      </c>
      <c r="Q181" s="20"/>
      <c r="R181" s="20"/>
      <c r="S181" s="19">
        <v>0.8</v>
      </c>
      <c r="T181" s="20">
        <f t="shared" si="13"/>
        <v>15.151515151515149</v>
      </c>
      <c r="U181" s="20">
        <v>0.27</v>
      </c>
      <c r="V181" s="20">
        <f t="shared" si="14"/>
        <v>1.08</v>
      </c>
      <c r="W181" s="20"/>
      <c r="X181" s="20"/>
      <c r="Y181" s="20">
        <f t="shared" si="15"/>
        <v>0</v>
      </c>
      <c r="Z181" s="21">
        <f t="shared" si="16"/>
        <v>-300.58333333333331</v>
      </c>
      <c r="AA181" s="20"/>
      <c r="AB181" s="20"/>
      <c r="AC181" s="20"/>
      <c r="AD181" s="20">
        <f t="shared" si="17"/>
        <v>0</v>
      </c>
      <c r="AE181" s="20"/>
      <c r="AF181" s="20"/>
      <c r="AG181" s="20"/>
      <c r="AH181" s="20"/>
      <c r="AI181" s="20">
        <f t="shared" si="18"/>
        <v>0</v>
      </c>
      <c r="AJ181" s="20"/>
    </row>
    <row r="182" spans="2:36">
      <c r="B182" s="11" t="s">
        <v>463</v>
      </c>
      <c r="C182" s="12" t="s">
        <v>464</v>
      </c>
      <c r="D182" s="12" t="s">
        <v>38</v>
      </c>
      <c r="E182" s="13" t="s">
        <v>39</v>
      </c>
      <c r="F182" s="14" t="str">
        <f>_xlfn.XLOOKUP(B182,'[1]Synthese suivi modernisation'!A:A,'[1]Synthese suivi modernisation'!S:S)</f>
        <v>TIVAOUANE</v>
      </c>
      <c r="G182" s="14" t="str">
        <f>_xlfn.XLOOKUP(B182,'[1]Synthese suivi modernisation'!A:A,'[1]Synthese suivi modernisation'!T:T)</f>
        <v>THIES</v>
      </c>
      <c r="H182" s="20" t="s">
        <v>40</v>
      </c>
      <c r="I182" s="14" t="s">
        <v>41</v>
      </c>
      <c r="J182" s="16" t="s">
        <v>40</v>
      </c>
      <c r="K182" s="24">
        <v>3500</v>
      </c>
      <c r="L182" s="14">
        <v>4.5</v>
      </c>
      <c r="M182" s="17" t="s">
        <v>42</v>
      </c>
      <c r="N182" s="16" t="s">
        <v>80</v>
      </c>
      <c r="O182" s="16">
        <v>33</v>
      </c>
      <c r="P182" s="18">
        <v>614.16666666666663</v>
      </c>
      <c r="Q182" s="20"/>
      <c r="R182" s="20"/>
      <c r="S182" s="19">
        <v>0.8</v>
      </c>
      <c r="T182" s="20">
        <f t="shared" si="13"/>
        <v>17.045454545454543</v>
      </c>
      <c r="U182" s="20">
        <v>0.27</v>
      </c>
      <c r="V182" s="20">
        <f t="shared" si="14"/>
        <v>1.2150000000000001</v>
      </c>
      <c r="W182" s="20"/>
      <c r="X182" s="20"/>
      <c r="Y182" s="20">
        <f t="shared" si="15"/>
        <v>0</v>
      </c>
      <c r="Z182" s="21">
        <f t="shared" si="16"/>
        <v>-614.16666666666663</v>
      </c>
      <c r="AA182" s="20"/>
      <c r="AB182" s="20"/>
      <c r="AC182" s="20"/>
      <c r="AD182" s="20">
        <f t="shared" si="17"/>
        <v>0</v>
      </c>
      <c r="AE182" s="20"/>
      <c r="AF182" s="20"/>
      <c r="AG182" s="20"/>
      <c r="AH182" s="20"/>
      <c r="AI182" s="20">
        <f t="shared" si="18"/>
        <v>0</v>
      </c>
      <c r="AJ182" s="20"/>
    </row>
    <row r="183" spans="2:36">
      <c r="B183" s="11" t="s">
        <v>465</v>
      </c>
      <c r="C183" s="12" t="s">
        <v>466</v>
      </c>
      <c r="D183" s="12" t="s">
        <v>38</v>
      </c>
      <c r="E183" s="13" t="s">
        <v>39</v>
      </c>
      <c r="F183" s="14" t="str">
        <f>_xlfn.XLOOKUP(B183,'[1]Synthese suivi modernisation'!A:A,'[1]Synthese suivi modernisation'!S:S)</f>
        <v>SAINT-LOUIS</v>
      </c>
      <c r="G183" s="14" t="str">
        <f>_xlfn.XLOOKUP(B183,'[1]Synthese suivi modernisation'!A:A,'[1]Synthese suivi modernisation'!T:T)</f>
        <v>SAINT-LOUIS</v>
      </c>
      <c r="H183" s="20" t="s">
        <v>70</v>
      </c>
      <c r="I183" s="20" t="s">
        <v>71</v>
      </c>
      <c r="J183" s="16" t="s">
        <v>70</v>
      </c>
      <c r="K183" s="24">
        <v>12000</v>
      </c>
      <c r="L183" s="14">
        <v>11</v>
      </c>
      <c r="M183" s="17" t="s">
        <v>73</v>
      </c>
      <c r="N183" s="16" t="s">
        <v>63</v>
      </c>
      <c r="O183" s="16">
        <v>30</v>
      </c>
      <c r="P183" s="18">
        <v>65.75</v>
      </c>
      <c r="Q183" s="20"/>
      <c r="R183" s="20"/>
      <c r="S183" s="19">
        <v>0.8</v>
      </c>
      <c r="T183" s="20">
        <f t="shared" si="13"/>
        <v>45.833333333333329</v>
      </c>
      <c r="U183" s="20">
        <v>0.27</v>
      </c>
      <c r="V183" s="20">
        <f t="shared" si="14"/>
        <v>2.97</v>
      </c>
      <c r="W183" s="20"/>
      <c r="X183" s="20"/>
      <c r="Y183" s="20">
        <f t="shared" si="15"/>
        <v>0</v>
      </c>
      <c r="Z183" s="21">
        <f t="shared" si="16"/>
        <v>-65.75</v>
      </c>
      <c r="AA183" s="20"/>
      <c r="AB183" s="20"/>
      <c r="AC183" s="20"/>
      <c r="AD183" s="20">
        <f t="shared" si="17"/>
        <v>0</v>
      </c>
      <c r="AE183" s="20"/>
      <c r="AF183" s="20"/>
      <c r="AG183" s="20"/>
      <c r="AH183" s="20"/>
      <c r="AI183" s="20">
        <f t="shared" si="18"/>
        <v>0</v>
      </c>
      <c r="AJ183" s="20"/>
    </row>
    <row r="184" spans="2:36">
      <c r="B184" s="11" t="s">
        <v>467</v>
      </c>
      <c r="C184" s="12" t="s">
        <v>468</v>
      </c>
      <c r="D184" s="12" t="s">
        <v>38</v>
      </c>
      <c r="E184" s="13" t="s">
        <v>39</v>
      </c>
      <c r="F184" s="14" t="str">
        <f>_xlfn.XLOOKUP(B184,'[1]Synthese suivi modernisation'!A:A,'[1]Synthese suivi modernisation'!S:S)</f>
        <v>KAFFRINE</v>
      </c>
      <c r="G184" s="14" t="str">
        <f>_xlfn.XLOOKUP(B184,'[1]Synthese suivi modernisation'!A:A,'[1]Synthese suivi modernisation'!T:T)</f>
        <v>KAOLACK</v>
      </c>
      <c r="H184" s="20" t="s">
        <v>70</v>
      </c>
      <c r="I184" s="20" t="s">
        <v>71</v>
      </c>
      <c r="J184" s="16" t="s">
        <v>70</v>
      </c>
      <c r="K184" s="24">
        <v>7000</v>
      </c>
      <c r="L184" s="14">
        <v>7</v>
      </c>
      <c r="M184" s="17" t="s">
        <v>73</v>
      </c>
      <c r="N184" s="16" t="s">
        <v>63</v>
      </c>
      <c r="O184" s="16">
        <v>30</v>
      </c>
      <c r="P184" s="18">
        <v>32.5</v>
      </c>
      <c r="Q184" s="20"/>
      <c r="R184" s="20"/>
      <c r="S184" s="19">
        <v>0.8</v>
      </c>
      <c r="T184" s="20">
        <f t="shared" si="13"/>
        <v>29.166666666666668</v>
      </c>
      <c r="U184" s="20">
        <v>0.27</v>
      </c>
      <c r="V184" s="20">
        <f t="shared" si="14"/>
        <v>1.8900000000000001</v>
      </c>
      <c r="W184" s="20"/>
      <c r="X184" s="20"/>
      <c r="Y184" s="20">
        <f t="shared" si="15"/>
        <v>0</v>
      </c>
      <c r="Z184" s="21">
        <f t="shared" si="16"/>
        <v>-32.5</v>
      </c>
      <c r="AA184" s="20"/>
      <c r="AB184" s="20"/>
      <c r="AC184" s="20"/>
      <c r="AD184" s="20">
        <f t="shared" si="17"/>
        <v>0</v>
      </c>
      <c r="AE184" s="20"/>
      <c r="AF184" s="20"/>
      <c r="AG184" s="20"/>
      <c r="AH184" s="20"/>
      <c r="AI184" s="20">
        <f t="shared" si="18"/>
        <v>0</v>
      </c>
      <c r="AJ184" s="20"/>
    </row>
    <row r="185" spans="2:36">
      <c r="B185" s="11" t="s">
        <v>469</v>
      </c>
      <c r="C185" s="12" t="s">
        <v>470</v>
      </c>
      <c r="D185" s="12" t="s">
        <v>38</v>
      </c>
      <c r="E185" s="13" t="s">
        <v>39</v>
      </c>
      <c r="F185" s="14" t="str">
        <f>_xlfn.XLOOKUP(B185,'[1]Synthese suivi modernisation'!A:A,'[1]Synthese suivi modernisation'!S:S)</f>
        <v>SOKONE</v>
      </c>
      <c r="G185" s="14" t="str">
        <f>_xlfn.XLOOKUP(B185,'[1]Synthese suivi modernisation'!A:A,'[1]Synthese suivi modernisation'!T:T)</f>
        <v>KAOLACK</v>
      </c>
      <c r="H185" s="20" t="s">
        <v>40</v>
      </c>
      <c r="I185" s="14" t="s">
        <v>41</v>
      </c>
      <c r="J185" s="16" t="s">
        <v>40</v>
      </c>
      <c r="K185" s="24">
        <v>4000</v>
      </c>
      <c r="L185" s="14">
        <v>3</v>
      </c>
      <c r="M185" s="17" t="s">
        <v>42</v>
      </c>
      <c r="N185" s="16" t="s">
        <v>173</v>
      </c>
      <c r="O185" s="16">
        <v>22</v>
      </c>
      <c r="P185" s="18">
        <v>322.16666666666669</v>
      </c>
      <c r="Q185" s="20"/>
      <c r="R185" s="20"/>
      <c r="S185" s="19">
        <v>0.8</v>
      </c>
      <c r="T185" s="20">
        <f t="shared" si="13"/>
        <v>17.045454545454543</v>
      </c>
      <c r="U185" s="20">
        <v>0.27</v>
      </c>
      <c r="V185" s="20">
        <f t="shared" si="14"/>
        <v>0.81</v>
      </c>
      <c r="W185" s="20"/>
      <c r="X185" s="20"/>
      <c r="Y185" s="20">
        <f t="shared" si="15"/>
        <v>0</v>
      </c>
      <c r="Z185" s="21">
        <f t="shared" si="16"/>
        <v>-322.16666666666669</v>
      </c>
      <c r="AA185" s="20"/>
      <c r="AB185" s="20"/>
      <c r="AC185" s="20"/>
      <c r="AD185" s="20">
        <f t="shared" si="17"/>
        <v>0</v>
      </c>
      <c r="AE185" s="20"/>
      <c r="AF185" s="20"/>
      <c r="AG185" s="20"/>
      <c r="AH185" s="20"/>
      <c r="AI185" s="20">
        <f t="shared" si="18"/>
        <v>0</v>
      </c>
      <c r="AJ185" s="20"/>
    </row>
    <row r="186" spans="2:36">
      <c r="B186" s="11" t="s">
        <v>471</v>
      </c>
      <c r="C186" s="12" t="s">
        <v>472</v>
      </c>
      <c r="D186" s="12" t="s">
        <v>38</v>
      </c>
      <c r="E186" s="13" t="s">
        <v>39</v>
      </c>
      <c r="F186" s="14" t="str">
        <f>_xlfn.XLOOKUP(B186,'[1]Synthese suivi modernisation'!A:A,'[1]Synthese suivi modernisation'!S:S)</f>
        <v>LOUGA</v>
      </c>
      <c r="G186" s="14" t="str">
        <f>_xlfn.XLOOKUP(B186,'[1]Synthese suivi modernisation'!A:A,'[1]Synthese suivi modernisation'!T:T)</f>
        <v>SAINT-LOUIS</v>
      </c>
      <c r="H186" s="20" t="s">
        <v>40</v>
      </c>
      <c r="I186" s="14" t="s">
        <v>41</v>
      </c>
      <c r="J186" s="16" t="s">
        <v>40</v>
      </c>
      <c r="K186" s="24">
        <v>2500</v>
      </c>
      <c r="L186" s="14">
        <v>3</v>
      </c>
      <c r="M186" s="17" t="s">
        <v>42</v>
      </c>
      <c r="N186" s="16" t="s">
        <v>80</v>
      </c>
      <c r="O186" s="16">
        <v>33</v>
      </c>
      <c r="P186" s="18">
        <v>271.91666666666669</v>
      </c>
      <c r="Q186" s="20"/>
      <c r="R186" s="20"/>
      <c r="S186" s="19">
        <v>0.8</v>
      </c>
      <c r="T186" s="20">
        <f t="shared" si="13"/>
        <v>11.363636363636363</v>
      </c>
      <c r="U186" s="20">
        <v>0.27</v>
      </c>
      <c r="V186" s="20">
        <f t="shared" si="14"/>
        <v>0.81</v>
      </c>
      <c r="W186" s="20"/>
      <c r="X186" s="20"/>
      <c r="Y186" s="20">
        <f t="shared" si="15"/>
        <v>0</v>
      </c>
      <c r="Z186" s="21">
        <f t="shared" si="16"/>
        <v>-271.91666666666669</v>
      </c>
      <c r="AA186" s="20"/>
      <c r="AB186" s="20"/>
      <c r="AC186" s="20"/>
      <c r="AD186" s="20">
        <f t="shared" si="17"/>
        <v>0</v>
      </c>
      <c r="AE186" s="20"/>
      <c r="AF186" s="20"/>
      <c r="AG186" s="20"/>
      <c r="AH186" s="20"/>
      <c r="AI186" s="20">
        <f t="shared" si="18"/>
        <v>0</v>
      </c>
      <c r="AJ186" s="20"/>
    </row>
    <row r="187" spans="2:36">
      <c r="B187" s="11" t="s">
        <v>473</v>
      </c>
      <c r="C187" s="12" t="s">
        <v>474</v>
      </c>
      <c r="D187" s="12" t="s">
        <v>38</v>
      </c>
      <c r="E187" s="13" t="s">
        <v>39</v>
      </c>
      <c r="F187" s="14" t="str">
        <f>_xlfn.XLOOKUP(B187,'[1]Synthese suivi modernisation'!A:A,'[1]Synthese suivi modernisation'!S:S)</f>
        <v>DAKAR</v>
      </c>
      <c r="G187" s="14" t="str">
        <f>_xlfn.XLOOKUP(B187,'[1]Synthese suivi modernisation'!A:A,'[1]Synthese suivi modernisation'!T:T)</f>
        <v>DAKAR</v>
      </c>
      <c r="H187" s="20" t="s">
        <v>70</v>
      </c>
      <c r="I187" s="20" t="s">
        <v>71</v>
      </c>
      <c r="J187" s="16" t="s">
        <v>70</v>
      </c>
      <c r="K187" s="24">
        <v>9000</v>
      </c>
      <c r="L187" s="14">
        <v>9</v>
      </c>
      <c r="M187" s="17" t="s">
        <v>73</v>
      </c>
      <c r="N187" s="16" t="s">
        <v>63</v>
      </c>
      <c r="O187" s="16">
        <v>30</v>
      </c>
      <c r="P187" s="18">
        <v>28.916666666666668</v>
      </c>
      <c r="Q187" s="20"/>
      <c r="R187" s="20"/>
      <c r="S187" s="19">
        <v>0.8</v>
      </c>
      <c r="T187" s="20">
        <f t="shared" si="13"/>
        <v>37.5</v>
      </c>
      <c r="U187" s="20">
        <v>0.27</v>
      </c>
      <c r="V187" s="20">
        <f t="shared" si="14"/>
        <v>2.4300000000000002</v>
      </c>
      <c r="W187" s="20"/>
      <c r="X187" s="20"/>
      <c r="Y187" s="20">
        <f t="shared" si="15"/>
        <v>0</v>
      </c>
      <c r="Z187" s="21">
        <f t="shared" si="16"/>
        <v>-28.916666666666668</v>
      </c>
      <c r="AA187" s="20"/>
      <c r="AB187" s="20"/>
      <c r="AC187" s="20"/>
      <c r="AD187" s="20">
        <f t="shared" si="17"/>
        <v>0</v>
      </c>
      <c r="AE187" s="20"/>
      <c r="AF187" s="20"/>
      <c r="AG187" s="20"/>
      <c r="AH187" s="20"/>
      <c r="AI187" s="20">
        <f t="shared" si="18"/>
        <v>0</v>
      </c>
      <c r="AJ187" s="20"/>
    </row>
    <row r="188" spans="2:36">
      <c r="B188" s="11" t="s">
        <v>475</v>
      </c>
      <c r="C188" s="12" t="s">
        <v>476</v>
      </c>
      <c r="D188" s="12" t="s">
        <v>38</v>
      </c>
      <c r="E188" s="13" t="s">
        <v>39</v>
      </c>
      <c r="F188" s="14" t="str">
        <f>_xlfn.XLOOKUP(B188,'[1]Synthese suivi modernisation'!A:A,'[1]Synthese suivi modernisation'!S:S)</f>
        <v>KAFFRINE</v>
      </c>
      <c r="G188" s="14" t="str">
        <f>_xlfn.XLOOKUP(B188,'[1]Synthese suivi modernisation'!A:A,'[1]Synthese suivi modernisation'!T:T)</f>
        <v>KAOLACK</v>
      </c>
      <c r="H188" s="20" t="s">
        <v>40</v>
      </c>
      <c r="I188" s="14" t="s">
        <v>41</v>
      </c>
      <c r="J188" s="16" t="s">
        <v>40</v>
      </c>
      <c r="K188" s="24">
        <v>1750</v>
      </c>
      <c r="L188" s="14">
        <v>4.5</v>
      </c>
      <c r="M188" s="17" t="s">
        <v>42</v>
      </c>
      <c r="N188" s="16" t="s">
        <v>80</v>
      </c>
      <c r="O188" s="16">
        <v>33</v>
      </c>
      <c r="P188" s="18">
        <v>574.58333333333337</v>
      </c>
      <c r="Q188" s="20"/>
      <c r="R188" s="20"/>
      <c r="S188" s="19">
        <v>0.8</v>
      </c>
      <c r="T188" s="20">
        <f t="shared" si="13"/>
        <v>17.045454545454543</v>
      </c>
      <c r="U188" s="20">
        <v>0.27</v>
      </c>
      <c r="V188" s="20">
        <f t="shared" si="14"/>
        <v>1.2150000000000001</v>
      </c>
      <c r="W188" s="20"/>
      <c r="X188" s="20"/>
      <c r="Y188" s="20">
        <f t="shared" si="15"/>
        <v>0</v>
      </c>
      <c r="Z188" s="21">
        <f t="shared" si="16"/>
        <v>-574.58333333333337</v>
      </c>
      <c r="AA188" s="20"/>
      <c r="AB188" s="20"/>
      <c r="AC188" s="20"/>
      <c r="AD188" s="20">
        <f t="shared" si="17"/>
        <v>0</v>
      </c>
      <c r="AE188" s="20"/>
      <c r="AF188" s="20"/>
      <c r="AG188" s="20"/>
      <c r="AH188" s="20"/>
      <c r="AI188" s="20">
        <f t="shared" si="18"/>
        <v>0</v>
      </c>
      <c r="AJ188" s="20"/>
    </row>
    <row r="189" spans="2:36">
      <c r="B189" s="11" t="s">
        <v>477</v>
      </c>
      <c r="C189" s="12" t="s">
        <v>478</v>
      </c>
      <c r="D189" s="12" t="s">
        <v>38</v>
      </c>
      <c r="E189" s="13" t="s">
        <v>39</v>
      </c>
      <c r="F189" s="14" t="str">
        <f>_xlfn.XLOOKUP(B189,'[1]Synthese suivi modernisation'!A:A,'[1]Synthese suivi modernisation'!S:S)</f>
        <v>RUFISQUE</v>
      </c>
      <c r="G189" s="14" t="str">
        <f>_xlfn.XLOOKUP(B189,'[1]Synthese suivi modernisation'!A:A,'[1]Synthese suivi modernisation'!T:T)</f>
        <v>DAKAR</v>
      </c>
      <c r="H189" s="20" t="s">
        <v>70</v>
      </c>
      <c r="I189" s="20" t="s">
        <v>71</v>
      </c>
      <c r="J189" s="16" t="s">
        <v>70</v>
      </c>
      <c r="K189" s="24">
        <v>12000</v>
      </c>
      <c r="L189" s="14">
        <v>11</v>
      </c>
      <c r="M189" s="17" t="s">
        <v>73</v>
      </c>
      <c r="N189" s="16" t="s">
        <v>80</v>
      </c>
      <c r="O189" s="16">
        <v>33</v>
      </c>
      <c r="P189" s="18">
        <v>34.916666666666664</v>
      </c>
      <c r="Q189" s="20"/>
      <c r="R189" s="20"/>
      <c r="S189" s="19">
        <v>0.8</v>
      </c>
      <c r="T189" s="20">
        <f t="shared" si="13"/>
        <v>41.666666666666664</v>
      </c>
      <c r="U189" s="20">
        <v>0.27</v>
      </c>
      <c r="V189" s="20">
        <f t="shared" si="14"/>
        <v>2.97</v>
      </c>
      <c r="W189" s="20"/>
      <c r="X189" s="20"/>
      <c r="Y189" s="20">
        <f t="shared" si="15"/>
        <v>0</v>
      </c>
      <c r="Z189" s="21">
        <f t="shared" si="16"/>
        <v>-34.916666666666664</v>
      </c>
      <c r="AA189" s="20"/>
      <c r="AB189" s="20"/>
      <c r="AC189" s="20"/>
      <c r="AD189" s="20">
        <f t="shared" si="17"/>
        <v>0</v>
      </c>
      <c r="AE189" s="20"/>
      <c r="AF189" s="20"/>
      <c r="AG189" s="20"/>
      <c r="AH189" s="20"/>
      <c r="AI189" s="20">
        <f t="shared" si="18"/>
        <v>0</v>
      </c>
      <c r="AJ189" s="20"/>
    </row>
    <row r="190" spans="2:36">
      <c r="B190" s="11" t="s">
        <v>479</v>
      </c>
      <c r="C190" s="12" t="s">
        <v>480</v>
      </c>
      <c r="D190" s="12" t="s">
        <v>38</v>
      </c>
      <c r="E190" s="13" t="s">
        <v>39</v>
      </c>
      <c r="F190" s="14" t="str">
        <f>_xlfn.XLOOKUP(B190,'[1]Synthese suivi modernisation'!A:A,'[1]Synthese suivi modernisation'!S:S)</f>
        <v>KAFFRINE</v>
      </c>
      <c r="G190" s="14" t="str">
        <f>_xlfn.XLOOKUP(B190,'[1]Synthese suivi modernisation'!A:A,'[1]Synthese suivi modernisation'!T:T)</f>
        <v>KAOLACK</v>
      </c>
      <c r="H190" s="20" t="s">
        <v>355</v>
      </c>
      <c r="I190" s="20" t="s">
        <v>71</v>
      </c>
      <c r="J190" s="16" t="s">
        <v>355</v>
      </c>
      <c r="K190" s="24">
        <v>6000</v>
      </c>
      <c r="L190" s="14">
        <v>9</v>
      </c>
      <c r="M190" s="17" t="s">
        <v>73</v>
      </c>
      <c r="N190" s="16" t="s">
        <v>63</v>
      </c>
      <c r="O190" s="16">
        <v>30</v>
      </c>
      <c r="P190" s="18">
        <v>44.916666666666664</v>
      </c>
      <c r="Q190" s="20"/>
      <c r="R190" s="20"/>
      <c r="S190" s="19">
        <v>0.8</v>
      </c>
      <c r="T190" s="20">
        <f t="shared" si="13"/>
        <v>37.5</v>
      </c>
      <c r="U190" s="20">
        <v>0.27</v>
      </c>
      <c r="V190" s="20">
        <f t="shared" si="14"/>
        <v>2.4300000000000002</v>
      </c>
      <c r="W190" s="20"/>
      <c r="X190" s="20"/>
      <c r="Y190" s="20">
        <f t="shared" si="15"/>
        <v>0</v>
      </c>
      <c r="Z190" s="21">
        <f t="shared" si="16"/>
        <v>-44.916666666666664</v>
      </c>
      <c r="AA190" s="20"/>
      <c r="AB190" s="20"/>
      <c r="AC190" s="20"/>
      <c r="AD190" s="20">
        <f t="shared" si="17"/>
        <v>0</v>
      </c>
      <c r="AE190" s="20"/>
      <c r="AF190" s="20"/>
      <c r="AG190" s="20"/>
      <c r="AH190" s="20"/>
      <c r="AI190" s="20">
        <f t="shared" si="18"/>
        <v>0</v>
      </c>
      <c r="AJ190" s="20"/>
    </row>
    <row r="191" spans="2:36">
      <c r="B191" s="11" t="s">
        <v>481</v>
      </c>
      <c r="C191" s="12" t="s">
        <v>482</v>
      </c>
      <c r="D191" s="12" t="s">
        <v>38</v>
      </c>
      <c r="E191" s="13" t="s">
        <v>39</v>
      </c>
      <c r="F191" s="14" t="str">
        <f>_xlfn.XLOOKUP(B191,'[1]Synthese suivi modernisation'!A:A,'[1]Synthese suivi modernisation'!S:S)</f>
        <v>FATICK</v>
      </c>
      <c r="G191" s="14" t="str">
        <f>_xlfn.XLOOKUP(B191,'[1]Synthese suivi modernisation'!A:A,'[1]Synthese suivi modernisation'!T:T)</f>
        <v>KAOLACK</v>
      </c>
      <c r="H191" s="20" t="s">
        <v>70</v>
      </c>
      <c r="I191" s="20" t="s">
        <v>71</v>
      </c>
      <c r="J191" s="16" t="s">
        <v>70</v>
      </c>
      <c r="K191" s="24">
        <v>9000</v>
      </c>
      <c r="L191" s="14">
        <v>10</v>
      </c>
      <c r="M191" s="17" t="s">
        <v>73</v>
      </c>
      <c r="N191" s="16" t="s">
        <v>63</v>
      </c>
      <c r="O191" s="16">
        <v>30</v>
      </c>
      <c r="P191" s="18">
        <v>31.833333333333332</v>
      </c>
      <c r="Q191" s="20"/>
      <c r="R191" s="20"/>
      <c r="S191" s="19">
        <v>0.8</v>
      </c>
      <c r="T191" s="20">
        <f t="shared" si="13"/>
        <v>41.666666666666671</v>
      </c>
      <c r="U191" s="20">
        <v>0.27</v>
      </c>
      <c r="V191" s="20">
        <f t="shared" si="14"/>
        <v>2.7</v>
      </c>
      <c r="W191" s="20"/>
      <c r="X191" s="20"/>
      <c r="Y191" s="20">
        <f t="shared" si="15"/>
        <v>0</v>
      </c>
      <c r="Z191" s="21">
        <f t="shared" si="16"/>
        <v>-31.833333333333332</v>
      </c>
      <c r="AA191" s="20"/>
      <c r="AB191" s="20"/>
      <c r="AC191" s="20"/>
      <c r="AD191" s="20">
        <f t="shared" si="17"/>
        <v>0</v>
      </c>
      <c r="AE191" s="20"/>
      <c r="AF191" s="20"/>
      <c r="AG191" s="20"/>
      <c r="AH191" s="20"/>
      <c r="AI191" s="20">
        <f t="shared" si="18"/>
        <v>0</v>
      </c>
      <c r="AJ191" s="20"/>
    </row>
    <row r="192" spans="2:36">
      <c r="B192" s="11" t="s">
        <v>483</v>
      </c>
      <c r="C192" s="12" t="s">
        <v>484</v>
      </c>
      <c r="D192" s="12" t="s">
        <v>38</v>
      </c>
      <c r="E192" s="13" t="s">
        <v>39</v>
      </c>
      <c r="F192" s="14" t="str">
        <f>_xlfn.XLOOKUP(B192,'[1]Synthese suivi modernisation'!A:A,'[1]Synthese suivi modernisation'!S:S)</f>
        <v>TIVAOUANE</v>
      </c>
      <c r="G192" s="14" t="str">
        <f>_xlfn.XLOOKUP(B192,'[1]Synthese suivi modernisation'!A:A,'[1]Synthese suivi modernisation'!T:T)</f>
        <v>THIES</v>
      </c>
      <c r="H192" s="20" t="s">
        <v>40</v>
      </c>
      <c r="I192" s="14" t="s">
        <v>41</v>
      </c>
      <c r="J192" s="16" t="s">
        <v>40</v>
      </c>
      <c r="K192" s="24">
        <v>2000</v>
      </c>
      <c r="L192" s="14">
        <v>3</v>
      </c>
      <c r="M192" s="17" t="s">
        <v>42</v>
      </c>
      <c r="N192" s="16" t="s">
        <v>67</v>
      </c>
      <c r="O192" s="16">
        <v>50</v>
      </c>
      <c r="P192" s="18">
        <v>275.41666666666669</v>
      </c>
      <c r="Q192" s="20"/>
      <c r="R192" s="20"/>
      <c r="S192" s="19">
        <v>0.8</v>
      </c>
      <c r="T192" s="20">
        <f t="shared" si="13"/>
        <v>7.5</v>
      </c>
      <c r="U192" s="20">
        <v>0.27</v>
      </c>
      <c r="V192" s="20">
        <f t="shared" si="14"/>
        <v>0.81</v>
      </c>
      <c r="W192" s="20"/>
      <c r="X192" s="20"/>
      <c r="Y192" s="20">
        <f t="shared" si="15"/>
        <v>0</v>
      </c>
      <c r="Z192" s="21">
        <f t="shared" si="16"/>
        <v>-275.41666666666669</v>
      </c>
      <c r="AA192" s="20"/>
      <c r="AB192" s="20"/>
      <c r="AC192" s="20"/>
      <c r="AD192" s="20">
        <f t="shared" si="17"/>
        <v>0</v>
      </c>
      <c r="AE192" s="20"/>
      <c r="AF192" s="20"/>
      <c r="AG192" s="20"/>
      <c r="AH192" s="20"/>
      <c r="AI192" s="20">
        <f t="shared" si="18"/>
        <v>0</v>
      </c>
      <c r="AJ192" s="20"/>
    </row>
    <row r="193" spans="2:36">
      <c r="B193" s="11" t="s">
        <v>485</v>
      </c>
      <c r="C193" s="12" t="s">
        <v>486</v>
      </c>
      <c r="D193" s="12" t="s">
        <v>38</v>
      </c>
      <c r="E193" s="13" t="s">
        <v>39</v>
      </c>
      <c r="F193" s="14" t="str">
        <f>_xlfn.XLOOKUP(B193,'[1]Synthese suivi modernisation'!A:A,'[1]Synthese suivi modernisation'!S:S)</f>
        <v>SAINT-LOUIS</v>
      </c>
      <c r="G193" s="14" t="str">
        <f>_xlfn.XLOOKUP(B193,'[1]Synthese suivi modernisation'!A:A,'[1]Synthese suivi modernisation'!T:T)</f>
        <v>SAINT-LOUIS</v>
      </c>
      <c r="H193" s="20" t="s">
        <v>209</v>
      </c>
      <c r="I193" s="14" t="s">
        <v>41</v>
      </c>
      <c r="J193" s="16" t="s">
        <v>209</v>
      </c>
      <c r="K193" s="24">
        <v>3000</v>
      </c>
      <c r="L193" s="14">
        <v>4</v>
      </c>
      <c r="M193" s="17" t="s">
        <v>42</v>
      </c>
      <c r="N193" s="16" t="s">
        <v>111</v>
      </c>
      <c r="O193" s="16">
        <v>22</v>
      </c>
      <c r="P193" s="18">
        <v>392.25</v>
      </c>
      <c r="Q193" s="20"/>
      <c r="R193" s="20"/>
      <c r="S193" s="19">
        <v>0.8</v>
      </c>
      <c r="T193" s="20">
        <f t="shared" si="13"/>
        <v>22.727272727272727</v>
      </c>
      <c r="U193" s="20">
        <v>0.27</v>
      </c>
      <c r="V193" s="20">
        <f t="shared" si="14"/>
        <v>1.08</v>
      </c>
      <c r="W193" s="20"/>
      <c r="X193" s="20"/>
      <c r="Y193" s="20">
        <f t="shared" si="15"/>
        <v>0</v>
      </c>
      <c r="Z193" s="21">
        <f t="shared" si="16"/>
        <v>-392.25</v>
      </c>
      <c r="AA193" s="20"/>
      <c r="AB193" s="20"/>
      <c r="AC193" s="20"/>
      <c r="AD193" s="20">
        <f t="shared" si="17"/>
        <v>0</v>
      </c>
      <c r="AE193" s="20"/>
      <c r="AF193" s="20"/>
      <c r="AG193" s="20"/>
      <c r="AH193" s="20"/>
      <c r="AI193" s="20">
        <f t="shared" si="18"/>
        <v>0</v>
      </c>
      <c r="AJ193" s="20"/>
    </row>
    <row r="194" spans="2:36">
      <c r="B194" s="11" t="s">
        <v>487</v>
      </c>
      <c r="C194" s="12" t="s">
        <v>488</v>
      </c>
      <c r="D194" s="12" t="s">
        <v>38</v>
      </c>
      <c r="E194" s="13" t="s">
        <v>39</v>
      </c>
      <c r="F194" s="14" t="str">
        <f>_xlfn.XLOOKUP(B194,'[1]Synthese suivi modernisation'!A:A,'[1]Synthese suivi modernisation'!S:S)</f>
        <v>LOUGA</v>
      </c>
      <c r="G194" s="14" t="str">
        <f>_xlfn.XLOOKUP(B194,'[1]Synthese suivi modernisation'!A:A,'[1]Synthese suivi modernisation'!T:T)</f>
        <v>SAINT-LOUIS</v>
      </c>
      <c r="H194" s="20" t="s">
        <v>70</v>
      </c>
      <c r="I194" s="20" t="s">
        <v>71</v>
      </c>
      <c r="J194" s="16" t="s">
        <v>70</v>
      </c>
      <c r="K194" s="24">
        <v>6000</v>
      </c>
      <c r="L194" s="14">
        <v>7</v>
      </c>
      <c r="M194" s="17" t="s">
        <v>73</v>
      </c>
      <c r="N194" s="16" t="s">
        <v>63</v>
      </c>
      <c r="O194" s="16">
        <v>30</v>
      </c>
      <c r="P194" s="18">
        <v>43.583333333333336</v>
      </c>
      <c r="Q194" s="20"/>
      <c r="R194" s="20"/>
      <c r="S194" s="19">
        <v>0.8</v>
      </c>
      <c r="T194" s="20">
        <f t="shared" si="13"/>
        <v>29.166666666666668</v>
      </c>
      <c r="U194" s="20">
        <v>0.27</v>
      </c>
      <c r="V194" s="20">
        <f t="shared" si="14"/>
        <v>1.8900000000000001</v>
      </c>
      <c r="W194" s="20"/>
      <c r="X194" s="20"/>
      <c r="Y194" s="20">
        <f t="shared" si="15"/>
        <v>0</v>
      </c>
      <c r="Z194" s="21">
        <f t="shared" si="16"/>
        <v>-43.583333333333336</v>
      </c>
      <c r="AA194" s="20"/>
      <c r="AB194" s="20"/>
      <c r="AC194" s="20"/>
      <c r="AD194" s="20">
        <f t="shared" si="17"/>
        <v>0</v>
      </c>
      <c r="AE194" s="20"/>
      <c r="AF194" s="20"/>
      <c r="AG194" s="20"/>
      <c r="AH194" s="20"/>
      <c r="AI194" s="20">
        <f t="shared" si="18"/>
        <v>0</v>
      </c>
      <c r="AJ194" s="20"/>
    </row>
    <row r="195" spans="2:36">
      <c r="B195" s="11" t="s">
        <v>489</v>
      </c>
      <c r="C195" s="12" t="s">
        <v>490</v>
      </c>
      <c r="D195" s="12" t="s">
        <v>38</v>
      </c>
      <c r="E195" s="13" t="s">
        <v>39</v>
      </c>
      <c r="F195" s="14" t="str">
        <f>_xlfn.XLOOKUP(B195,'[1]Synthese suivi modernisation'!A:A,'[1]Synthese suivi modernisation'!S:S)</f>
        <v>SOKONE</v>
      </c>
      <c r="G195" s="14" t="str">
        <f>_xlfn.XLOOKUP(B195,'[1]Synthese suivi modernisation'!A:A,'[1]Synthese suivi modernisation'!T:T)</f>
        <v>KAOLACK</v>
      </c>
      <c r="H195" s="20" t="s">
        <v>70</v>
      </c>
      <c r="I195" s="20" t="s">
        <v>71</v>
      </c>
      <c r="J195" s="16" t="s">
        <v>70</v>
      </c>
      <c r="K195" s="24">
        <v>12000</v>
      </c>
      <c r="L195" s="14">
        <v>13</v>
      </c>
      <c r="M195" s="17" t="s">
        <v>73</v>
      </c>
      <c r="N195" s="16" t="s">
        <v>252</v>
      </c>
      <c r="O195" s="16">
        <v>50</v>
      </c>
      <c r="P195" s="18">
        <v>71.916666666666671</v>
      </c>
      <c r="Q195" s="20"/>
      <c r="R195" s="20"/>
      <c r="S195" s="19">
        <v>0.8</v>
      </c>
      <c r="T195" s="20">
        <f t="shared" si="13"/>
        <v>32.5</v>
      </c>
      <c r="U195" s="20">
        <v>0.27</v>
      </c>
      <c r="V195" s="20">
        <f t="shared" si="14"/>
        <v>3.5100000000000002</v>
      </c>
      <c r="W195" s="20"/>
      <c r="X195" s="20"/>
      <c r="Y195" s="20">
        <f t="shared" si="15"/>
        <v>0</v>
      </c>
      <c r="Z195" s="21">
        <f t="shared" si="16"/>
        <v>-71.916666666666671</v>
      </c>
      <c r="AA195" s="20"/>
      <c r="AB195" s="20"/>
      <c r="AC195" s="20"/>
      <c r="AD195" s="20">
        <f t="shared" si="17"/>
        <v>0</v>
      </c>
      <c r="AE195" s="20"/>
      <c r="AF195" s="20"/>
      <c r="AG195" s="20"/>
      <c r="AH195" s="20"/>
      <c r="AI195" s="20">
        <f t="shared" si="18"/>
        <v>0</v>
      </c>
      <c r="AJ195" s="20"/>
    </row>
    <row r="196" spans="2:36">
      <c r="B196" s="11" t="s">
        <v>491</v>
      </c>
      <c r="C196" s="12" t="s">
        <v>492</v>
      </c>
      <c r="D196" s="12" t="s">
        <v>38</v>
      </c>
      <c r="E196" s="13" t="s">
        <v>39</v>
      </c>
      <c r="F196" s="14" t="str">
        <f>_xlfn.XLOOKUP(B196,'[1]Synthese suivi modernisation'!A:A,'[1]Synthese suivi modernisation'!S:S)</f>
        <v>OUAKAM</v>
      </c>
      <c r="G196" s="14" t="str">
        <f>_xlfn.XLOOKUP(B196,'[1]Synthese suivi modernisation'!A:A,'[1]Synthese suivi modernisation'!T:T)</f>
        <v>DAKAR</v>
      </c>
      <c r="H196" s="20" t="s">
        <v>142</v>
      </c>
      <c r="I196" s="20" t="s">
        <v>143</v>
      </c>
      <c r="J196" s="16" t="s">
        <v>142</v>
      </c>
      <c r="K196" s="24">
        <v>11000</v>
      </c>
      <c r="L196" s="14">
        <v>18</v>
      </c>
      <c r="M196" s="17" t="s">
        <v>73</v>
      </c>
      <c r="N196" s="16" t="s">
        <v>493</v>
      </c>
      <c r="O196" s="16">
        <v>110</v>
      </c>
      <c r="P196" s="18">
        <v>71.166666666666671</v>
      </c>
      <c r="Q196" s="20"/>
      <c r="R196" s="20"/>
      <c r="S196" s="19">
        <v>0.8</v>
      </c>
      <c r="T196" s="20">
        <f t="shared" si="13"/>
        <v>20.454545454545457</v>
      </c>
      <c r="U196" s="20">
        <v>0.27</v>
      </c>
      <c r="V196" s="20">
        <f t="shared" si="14"/>
        <v>4.8600000000000003</v>
      </c>
      <c r="W196" s="20"/>
      <c r="X196" s="20"/>
      <c r="Y196" s="20">
        <f t="shared" si="15"/>
        <v>0</v>
      </c>
      <c r="Z196" s="21">
        <f t="shared" si="16"/>
        <v>-71.166666666666671</v>
      </c>
      <c r="AA196" s="20"/>
      <c r="AB196" s="20"/>
      <c r="AC196" s="20"/>
      <c r="AD196" s="20">
        <f t="shared" si="17"/>
        <v>0</v>
      </c>
      <c r="AE196" s="20"/>
      <c r="AF196" s="20"/>
      <c r="AG196" s="20"/>
      <c r="AH196" s="20"/>
      <c r="AI196" s="20">
        <f t="shared" si="18"/>
        <v>0</v>
      </c>
      <c r="AJ196" s="20"/>
    </row>
    <row r="197" spans="2:36">
      <c r="B197" s="11" t="s">
        <v>494</v>
      </c>
      <c r="C197" s="12" t="s">
        <v>495</v>
      </c>
      <c r="D197" s="12" t="s">
        <v>38</v>
      </c>
      <c r="E197" s="13" t="s">
        <v>39</v>
      </c>
      <c r="F197" s="14" t="str">
        <f>_xlfn.XLOOKUP(B197,'[1]Synthese suivi modernisation'!A:A,'[1]Synthese suivi modernisation'!S:S)</f>
        <v>MATAM</v>
      </c>
      <c r="G197" s="14" t="str">
        <f>_xlfn.XLOOKUP(B197,'[1]Synthese suivi modernisation'!A:A,'[1]Synthese suivi modernisation'!T:T)</f>
        <v>SAINT-LOUIS</v>
      </c>
      <c r="H197" s="20" t="s">
        <v>70</v>
      </c>
      <c r="I197" s="20" t="s">
        <v>71</v>
      </c>
      <c r="J197" s="16" t="s">
        <v>496</v>
      </c>
      <c r="K197" s="24">
        <v>8000</v>
      </c>
      <c r="L197" s="14">
        <v>8</v>
      </c>
      <c r="M197" s="17" t="s">
        <v>73</v>
      </c>
      <c r="N197" s="16" t="s">
        <v>139</v>
      </c>
      <c r="O197" s="16">
        <v>18</v>
      </c>
      <c r="P197" s="18">
        <v>43.083333333333336</v>
      </c>
      <c r="Q197" s="20"/>
      <c r="R197" s="20"/>
      <c r="S197" s="19">
        <v>0.8</v>
      </c>
      <c r="T197" s="20">
        <f t="shared" si="13"/>
        <v>55.555555555555557</v>
      </c>
      <c r="U197" s="20">
        <v>0.27</v>
      </c>
      <c r="V197" s="20">
        <f t="shared" si="14"/>
        <v>2.16</v>
      </c>
      <c r="W197" s="20"/>
      <c r="X197" s="20"/>
      <c r="Y197" s="20">
        <f t="shared" si="15"/>
        <v>0</v>
      </c>
      <c r="Z197" s="21">
        <f t="shared" si="16"/>
        <v>-43.083333333333336</v>
      </c>
      <c r="AA197" s="20"/>
      <c r="AB197" s="20"/>
      <c r="AC197" s="20"/>
      <c r="AD197" s="20">
        <f t="shared" si="17"/>
        <v>0</v>
      </c>
      <c r="AE197" s="20"/>
      <c r="AF197" s="20"/>
      <c r="AG197" s="20"/>
      <c r="AH197" s="20"/>
      <c r="AI197" s="20">
        <f t="shared" si="18"/>
        <v>0</v>
      </c>
      <c r="AJ197" s="20"/>
    </row>
    <row r="198" spans="2:36">
      <c r="B198" s="11" t="s">
        <v>497</v>
      </c>
      <c r="C198" s="12" t="s">
        <v>498</v>
      </c>
      <c r="D198" s="12" t="s">
        <v>38</v>
      </c>
      <c r="E198" s="13" t="s">
        <v>39</v>
      </c>
      <c r="F198" s="14" t="str">
        <f>_xlfn.XLOOKUP(B198,'[1]Synthese suivi modernisation'!A:A,'[1]Synthese suivi modernisation'!S:S)</f>
        <v>KAOLACK</v>
      </c>
      <c r="G198" s="14" t="str">
        <f>_xlfn.XLOOKUP(B198,'[1]Synthese suivi modernisation'!A:A,'[1]Synthese suivi modernisation'!T:T)</f>
        <v>KAOLACK</v>
      </c>
      <c r="H198" s="20" t="s">
        <v>54</v>
      </c>
      <c r="I198" s="14" t="s">
        <v>41</v>
      </c>
      <c r="J198" s="23" t="s">
        <v>40</v>
      </c>
      <c r="K198" s="24">
        <v>1500</v>
      </c>
      <c r="L198" s="14">
        <v>2</v>
      </c>
      <c r="M198" s="17" t="s">
        <v>42</v>
      </c>
      <c r="N198" s="16" t="s">
        <v>55</v>
      </c>
      <c r="O198" s="16">
        <v>33</v>
      </c>
      <c r="P198" s="18">
        <v>81</v>
      </c>
      <c r="Q198" s="20"/>
      <c r="R198" s="20"/>
      <c r="S198" s="19">
        <v>0.8</v>
      </c>
      <c r="T198" s="20">
        <f t="shared" ref="T198:T261" si="19">(((Q198*R198)/(1000*S198)+L198)/(O198*0.8))*100</f>
        <v>7.5757575757575744</v>
      </c>
      <c r="U198" s="20">
        <v>0.27</v>
      </c>
      <c r="V198" s="20">
        <f t="shared" ref="V198:V261" si="20">(((Q198*R198)/(1000*S198)+L198))*U198</f>
        <v>0.54</v>
      </c>
      <c r="W198" s="20"/>
      <c r="X198" s="20"/>
      <c r="Y198" s="20">
        <f t="shared" ref="Y198:Y261" si="21">+X198*V198</f>
        <v>0</v>
      </c>
      <c r="Z198" s="21">
        <f t="shared" ref="Z198:Z261" si="22">Y198-P198</f>
        <v>-81</v>
      </c>
      <c r="AA198" s="20"/>
      <c r="AB198" s="20"/>
      <c r="AC198" s="20"/>
      <c r="AD198" s="20">
        <f t="shared" ref="AD198:AD261" si="23">AC198-Y198</f>
        <v>0</v>
      </c>
      <c r="AE198" s="20"/>
      <c r="AF198" s="20"/>
      <c r="AG198" s="20"/>
      <c r="AH198" s="20"/>
      <c r="AI198" s="20">
        <f t="shared" ref="AI198:AI261" si="24">AG198-AH198</f>
        <v>0</v>
      </c>
      <c r="AJ198" s="20"/>
    </row>
    <row r="199" spans="2:36">
      <c r="B199" s="11" t="s">
        <v>499</v>
      </c>
      <c r="C199" s="12" t="s">
        <v>500</v>
      </c>
      <c r="D199" s="12" t="s">
        <v>38</v>
      </c>
      <c r="E199" s="13" t="s">
        <v>39</v>
      </c>
      <c r="F199" s="14" t="str">
        <f>_xlfn.XLOOKUP(B199,'[1]Synthese suivi modernisation'!A:A,'[1]Synthese suivi modernisation'!S:S)</f>
        <v>ZIGUINCHOR</v>
      </c>
      <c r="G199" s="14" t="str">
        <f>_xlfn.XLOOKUP(B199,'[1]Synthese suivi modernisation'!A:A,'[1]Synthese suivi modernisation'!T:T)</f>
        <v>ZIGUINCHOR</v>
      </c>
      <c r="H199" s="20" t="s">
        <v>70</v>
      </c>
      <c r="I199" s="20" t="s">
        <v>71</v>
      </c>
      <c r="J199" s="16" t="s">
        <v>70</v>
      </c>
      <c r="K199" s="24">
        <v>7000</v>
      </c>
      <c r="L199" s="14">
        <v>7</v>
      </c>
      <c r="M199" s="17" t="s">
        <v>73</v>
      </c>
      <c r="N199" s="16" t="s">
        <v>60</v>
      </c>
      <c r="O199" s="16">
        <v>33</v>
      </c>
      <c r="P199" s="18">
        <v>38.083333333333336</v>
      </c>
      <c r="Q199" s="20"/>
      <c r="R199" s="20"/>
      <c r="S199" s="19">
        <v>0.8</v>
      </c>
      <c r="T199" s="20">
        <f t="shared" si="19"/>
        <v>26.515151515151516</v>
      </c>
      <c r="U199" s="20">
        <v>0.27</v>
      </c>
      <c r="V199" s="20">
        <f t="shared" si="20"/>
        <v>1.8900000000000001</v>
      </c>
      <c r="W199" s="20"/>
      <c r="X199" s="20"/>
      <c r="Y199" s="20">
        <f t="shared" si="21"/>
        <v>0</v>
      </c>
      <c r="Z199" s="21">
        <f t="shared" si="22"/>
        <v>-38.083333333333336</v>
      </c>
      <c r="AA199" s="20"/>
      <c r="AB199" s="20"/>
      <c r="AC199" s="20"/>
      <c r="AD199" s="20">
        <f t="shared" si="23"/>
        <v>0</v>
      </c>
      <c r="AE199" s="20"/>
      <c r="AF199" s="20"/>
      <c r="AG199" s="20"/>
      <c r="AH199" s="20"/>
      <c r="AI199" s="20">
        <f t="shared" si="24"/>
        <v>0</v>
      </c>
      <c r="AJ199" s="20"/>
    </row>
    <row r="200" spans="2:36">
      <c r="B200" s="11" t="s">
        <v>501</v>
      </c>
      <c r="C200" s="12" t="s">
        <v>502</v>
      </c>
      <c r="D200" s="12" t="s">
        <v>38</v>
      </c>
      <c r="E200" s="13" t="s">
        <v>39</v>
      </c>
      <c r="F200" s="14" t="str">
        <f>_xlfn.XLOOKUP(B200,'[1]Synthese suivi modernisation'!A:A,'[1]Synthese suivi modernisation'!S:S)</f>
        <v>KAFFRINE</v>
      </c>
      <c r="G200" s="14" t="str">
        <f>_xlfn.XLOOKUP(B200,'[1]Synthese suivi modernisation'!A:A,'[1]Synthese suivi modernisation'!T:T)</f>
        <v>KAOLACK</v>
      </c>
      <c r="H200" s="20" t="s">
        <v>134</v>
      </c>
      <c r="I200" s="14" t="s">
        <v>41</v>
      </c>
      <c r="J200" s="16" t="s">
        <v>134</v>
      </c>
      <c r="K200" s="24">
        <v>2000</v>
      </c>
      <c r="L200" s="14">
        <v>2.5</v>
      </c>
      <c r="M200" s="17" t="s">
        <v>42</v>
      </c>
      <c r="N200" s="16" t="s">
        <v>123</v>
      </c>
      <c r="O200" s="16">
        <v>22</v>
      </c>
      <c r="P200" s="18">
        <v>401.41666666666669</v>
      </c>
      <c r="Q200" s="20"/>
      <c r="R200" s="20"/>
      <c r="S200" s="19">
        <v>0.8</v>
      </c>
      <c r="T200" s="20">
        <f t="shared" si="19"/>
        <v>14.204545454545453</v>
      </c>
      <c r="U200" s="20">
        <v>0.27</v>
      </c>
      <c r="V200" s="20">
        <f t="shared" si="20"/>
        <v>0.67500000000000004</v>
      </c>
      <c r="W200" s="20"/>
      <c r="X200" s="20"/>
      <c r="Y200" s="20">
        <f t="shared" si="21"/>
        <v>0</v>
      </c>
      <c r="Z200" s="21">
        <f t="shared" si="22"/>
        <v>-401.41666666666669</v>
      </c>
      <c r="AA200" s="20"/>
      <c r="AB200" s="20"/>
      <c r="AC200" s="20"/>
      <c r="AD200" s="20">
        <f t="shared" si="23"/>
        <v>0</v>
      </c>
      <c r="AE200" s="20"/>
      <c r="AF200" s="20"/>
      <c r="AG200" s="20"/>
      <c r="AH200" s="20"/>
      <c r="AI200" s="20">
        <f t="shared" si="24"/>
        <v>0</v>
      </c>
      <c r="AJ200" s="20"/>
    </row>
    <row r="201" spans="2:36">
      <c r="B201" s="11" t="s">
        <v>503</v>
      </c>
      <c r="C201" s="12" t="s">
        <v>504</v>
      </c>
      <c r="D201" s="12" t="s">
        <v>38</v>
      </c>
      <c r="E201" s="13" t="s">
        <v>39</v>
      </c>
      <c r="F201" s="14" t="str">
        <f>_xlfn.XLOOKUP(B201,'[1]Synthese suivi modernisation'!A:A,'[1]Synthese suivi modernisation'!S:S)</f>
        <v>SOKONE</v>
      </c>
      <c r="G201" s="14" t="str">
        <f>_xlfn.XLOOKUP(B201,'[1]Synthese suivi modernisation'!A:A,'[1]Synthese suivi modernisation'!T:T)</f>
        <v>KAOLACK</v>
      </c>
      <c r="H201" s="20" t="s">
        <v>70</v>
      </c>
      <c r="I201" s="20" t="s">
        <v>71</v>
      </c>
      <c r="J201" s="16" t="s">
        <v>70</v>
      </c>
      <c r="K201" s="24">
        <v>9000</v>
      </c>
      <c r="L201" s="14">
        <v>12</v>
      </c>
      <c r="M201" s="17" t="s">
        <v>73</v>
      </c>
      <c r="N201" s="16" t="s">
        <v>505</v>
      </c>
      <c r="O201" s="16">
        <v>20</v>
      </c>
      <c r="P201" s="18">
        <v>63.916666666666664</v>
      </c>
      <c r="Q201" s="20"/>
      <c r="R201" s="20"/>
      <c r="S201" s="19">
        <v>0.8</v>
      </c>
      <c r="T201" s="20">
        <f t="shared" si="19"/>
        <v>75</v>
      </c>
      <c r="U201" s="20">
        <v>0.27</v>
      </c>
      <c r="V201" s="20">
        <f t="shared" si="20"/>
        <v>3.24</v>
      </c>
      <c r="W201" s="20"/>
      <c r="X201" s="20"/>
      <c r="Y201" s="20">
        <f t="shared" si="21"/>
        <v>0</v>
      </c>
      <c r="Z201" s="21">
        <f t="shared" si="22"/>
        <v>-63.916666666666664</v>
      </c>
      <c r="AA201" s="20"/>
      <c r="AB201" s="20"/>
      <c r="AC201" s="20"/>
      <c r="AD201" s="20">
        <f t="shared" si="23"/>
        <v>0</v>
      </c>
      <c r="AE201" s="20"/>
      <c r="AF201" s="20"/>
      <c r="AG201" s="20"/>
      <c r="AH201" s="20"/>
      <c r="AI201" s="20">
        <f t="shared" si="24"/>
        <v>0</v>
      </c>
      <c r="AJ201" s="20"/>
    </row>
    <row r="202" spans="2:36">
      <c r="B202" s="11" t="s">
        <v>506</v>
      </c>
      <c r="C202" s="12" t="s">
        <v>507</v>
      </c>
      <c r="D202" s="12" t="s">
        <v>38</v>
      </c>
      <c r="E202" s="13" t="s">
        <v>39</v>
      </c>
      <c r="F202" s="14" t="str">
        <f>_xlfn.XLOOKUP(B202,'[1]Synthese suivi modernisation'!A:A,'[1]Synthese suivi modernisation'!S:S)</f>
        <v>KOLDA</v>
      </c>
      <c r="G202" s="14" t="str">
        <f>_xlfn.XLOOKUP(B202,'[1]Synthese suivi modernisation'!A:A,'[1]Synthese suivi modernisation'!T:T)</f>
        <v>ZIGUINCHOR</v>
      </c>
      <c r="H202" s="20" t="s">
        <v>166</v>
      </c>
      <c r="I202" s="14" t="s">
        <v>41</v>
      </c>
      <c r="J202" s="16" t="s">
        <v>166</v>
      </c>
      <c r="K202" s="24">
        <v>5500</v>
      </c>
      <c r="L202" s="14">
        <v>6</v>
      </c>
      <c r="M202" s="17" t="s">
        <v>42</v>
      </c>
      <c r="N202" s="16" t="s">
        <v>51</v>
      </c>
      <c r="O202" s="16">
        <v>22</v>
      </c>
      <c r="P202" s="18">
        <v>1056.3333333333333</v>
      </c>
      <c r="Q202" s="20"/>
      <c r="R202" s="20"/>
      <c r="S202" s="19">
        <v>0.8</v>
      </c>
      <c r="T202" s="20">
        <f t="shared" si="19"/>
        <v>34.090909090909086</v>
      </c>
      <c r="U202" s="20">
        <v>0.27</v>
      </c>
      <c r="V202" s="20">
        <f t="shared" si="20"/>
        <v>1.62</v>
      </c>
      <c r="W202" s="20"/>
      <c r="X202" s="20"/>
      <c r="Y202" s="20">
        <f t="shared" si="21"/>
        <v>0</v>
      </c>
      <c r="Z202" s="21">
        <f t="shared" si="22"/>
        <v>-1056.3333333333333</v>
      </c>
      <c r="AA202" s="20"/>
      <c r="AB202" s="20"/>
      <c r="AC202" s="20"/>
      <c r="AD202" s="20">
        <f t="shared" si="23"/>
        <v>0</v>
      </c>
      <c r="AE202" s="20"/>
      <c r="AF202" s="20"/>
      <c r="AG202" s="20"/>
      <c r="AH202" s="20"/>
      <c r="AI202" s="20">
        <f t="shared" si="24"/>
        <v>0</v>
      </c>
      <c r="AJ202" s="20"/>
    </row>
    <row r="203" spans="2:36">
      <c r="B203" s="11" t="s">
        <v>508</v>
      </c>
      <c r="C203" s="12" t="s">
        <v>509</v>
      </c>
      <c r="D203" s="12" t="s">
        <v>38</v>
      </c>
      <c r="E203" s="13" t="s">
        <v>39</v>
      </c>
      <c r="F203" s="14" t="str">
        <f>_xlfn.XLOOKUP(B203,'[1]Synthese suivi modernisation'!A:A,'[1]Synthese suivi modernisation'!S:S)</f>
        <v>TIVAOUANE</v>
      </c>
      <c r="G203" s="14" t="str">
        <f>_xlfn.XLOOKUP(B203,'[1]Synthese suivi modernisation'!A:A,'[1]Synthese suivi modernisation'!T:T)</f>
        <v>THIES</v>
      </c>
      <c r="H203" s="20" t="s">
        <v>70</v>
      </c>
      <c r="I203" s="20" t="s">
        <v>71</v>
      </c>
      <c r="J203" s="16" t="s">
        <v>70</v>
      </c>
      <c r="K203" s="24">
        <v>8000</v>
      </c>
      <c r="L203" s="14">
        <v>8</v>
      </c>
      <c r="M203" s="17" t="s">
        <v>73</v>
      </c>
      <c r="N203" s="16" t="s">
        <v>139</v>
      </c>
      <c r="O203" s="16">
        <v>18</v>
      </c>
      <c r="P203" s="18">
        <v>24.333333333333332</v>
      </c>
      <c r="Q203" s="20"/>
      <c r="R203" s="20"/>
      <c r="S203" s="19">
        <v>0.8</v>
      </c>
      <c r="T203" s="20">
        <f t="shared" si="19"/>
        <v>55.555555555555557</v>
      </c>
      <c r="U203" s="20">
        <v>0.27</v>
      </c>
      <c r="V203" s="20">
        <f t="shared" si="20"/>
        <v>2.16</v>
      </c>
      <c r="W203" s="20"/>
      <c r="X203" s="20"/>
      <c r="Y203" s="20">
        <f t="shared" si="21"/>
        <v>0</v>
      </c>
      <c r="Z203" s="21">
        <f t="shared" si="22"/>
        <v>-24.333333333333332</v>
      </c>
      <c r="AA203" s="20"/>
      <c r="AB203" s="20"/>
      <c r="AC203" s="20"/>
      <c r="AD203" s="20">
        <f t="shared" si="23"/>
        <v>0</v>
      </c>
      <c r="AE203" s="20"/>
      <c r="AF203" s="20"/>
      <c r="AG203" s="20"/>
      <c r="AH203" s="20"/>
      <c r="AI203" s="20">
        <f t="shared" si="24"/>
        <v>0</v>
      </c>
      <c r="AJ203" s="20"/>
    </row>
    <row r="204" spans="2:36">
      <c r="B204" s="11" t="s">
        <v>510</v>
      </c>
      <c r="C204" s="12" t="s">
        <v>511</v>
      </c>
      <c r="D204" s="12" t="s">
        <v>38</v>
      </c>
      <c r="E204" s="13" t="s">
        <v>39</v>
      </c>
      <c r="F204" s="14" t="str">
        <f>_xlfn.XLOOKUP(B204,'[1]Synthese suivi modernisation'!A:A,'[1]Synthese suivi modernisation'!S:S)</f>
        <v>TIVAOUANE</v>
      </c>
      <c r="G204" s="14" t="str">
        <f>_xlfn.XLOOKUP(B204,'[1]Synthese suivi modernisation'!A:A,'[1]Synthese suivi modernisation'!T:T)</f>
        <v>THIES</v>
      </c>
      <c r="H204" s="20" t="s">
        <v>70</v>
      </c>
      <c r="I204" s="20" t="s">
        <v>71</v>
      </c>
      <c r="J204" s="16" t="s">
        <v>70</v>
      </c>
      <c r="K204" s="24">
        <v>10000</v>
      </c>
      <c r="L204" s="14">
        <v>11</v>
      </c>
      <c r="M204" s="17" t="s">
        <v>73</v>
      </c>
      <c r="N204" s="16" t="s">
        <v>63</v>
      </c>
      <c r="O204" s="16">
        <v>30</v>
      </c>
      <c r="P204" s="18">
        <v>34.916666666666664</v>
      </c>
      <c r="Q204" s="20"/>
      <c r="R204" s="20"/>
      <c r="S204" s="19">
        <v>0.8</v>
      </c>
      <c r="T204" s="20">
        <f t="shared" si="19"/>
        <v>45.833333333333329</v>
      </c>
      <c r="U204" s="20">
        <v>0.27</v>
      </c>
      <c r="V204" s="20">
        <f t="shared" si="20"/>
        <v>2.97</v>
      </c>
      <c r="W204" s="20"/>
      <c r="X204" s="20"/>
      <c r="Y204" s="20">
        <f t="shared" si="21"/>
        <v>0</v>
      </c>
      <c r="Z204" s="21">
        <f t="shared" si="22"/>
        <v>-34.916666666666664</v>
      </c>
      <c r="AA204" s="20"/>
      <c r="AB204" s="20"/>
      <c r="AC204" s="20"/>
      <c r="AD204" s="20">
        <f t="shared" si="23"/>
        <v>0</v>
      </c>
      <c r="AE204" s="20"/>
      <c r="AF204" s="20"/>
      <c r="AG204" s="20"/>
      <c r="AH204" s="20"/>
      <c r="AI204" s="20">
        <f t="shared" si="24"/>
        <v>0</v>
      </c>
      <c r="AJ204" s="20"/>
    </row>
    <row r="205" spans="2:36">
      <c r="B205" s="11" t="s">
        <v>512</v>
      </c>
      <c r="C205" s="12" t="s">
        <v>513</v>
      </c>
      <c r="D205" s="12" t="s">
        <v>38</v>
      </c>
      <c r="E205" s="13" t="s">
        <v>39</v>
      </c>
      <c r="F205" s="14" t="str">
        <f>_xlfn.XLOOKUP(B205,'[1]Synthese suivi modernisation'!A:A,'[1]Synthese suivi modernisation'!S:S)</f>
        <v>NDIOUM</v>
      </c>
      <c r="G205" s="14" t="str">
        <f>_xlfn.XLOOKUP(B205,'[1]Synthese suivi modernisation'!A:A,'[1]Synthese suivi modernisation'!T:T)</f>
        <v>SAINT-LOUIS</v>
      </c>
      <c r="H205" s="20" t="s">
        <v>70</v>
      </c>
      <c r="I205" s="20" t="s">
        <v>71</v>
      </c>
      <c r="J205" s="16" t="s">
        <v>70</v>
      </c>
      <c r="K205" s="24">
        <v>14000</v>
      </c>
      <c r="L205" s="14">
        <v>14</v>
      </c>
      <c r="M205" s="17" t="s">
        <v>73</v>
      </c>
      <c r="N205" s="16" t="s">
        <v>116</v>
      </c>
      <c r="O205" s="16">
        <v>66</v>
      </c>
      <c r="P205" s="18">
        <v>160</v>
      </c>
      <c r="Q205" s="20"/>
      <c r="R205" s="20"/>
      <c r="S205" s="19">
        <v>0.8</v>
      </c>
      <c r="T205" s="20">
        <f t="shared" si="19"/>
        <v>26.515151515151516</v>
      </c>
      <c r="U205" s="20">
        <v>0.27</v>
      </c>
      <c r="V205" s="20">
        <f t="shared" si="20"/>
        <v>3.7800000000000002</v>
      </c>
      <c r="W205" s="20"/>
      <c r="X205" s="20"/>
      <c r="Y205" s="20">
        <f t="shared" si="21"/>
        <v>0</v>
      </c>
      <c r="Z205" s="21">
        <f t="shared" si="22"/>
        <v>-160</v>
      </c>
      <c r="AA205" s="20"/>
      <c r="AB205" s="20"/>
      <c r="AC205" s="20"/>
      <c r="AD205" s="20">
        <f t="shared" si="23"/>
        <v>0</v>
      </c>
      <c r="AE205" s="20"/>
      <c r="AF205" s="20"/>
      <c r="AG205" s="20"/>
      <c r="AH205" s="20"/>
      <c r="AI205" s="20">
        <f t="shared" si="24"/>
        <v>0</v>
      </c>
      <c r="AJ205" s="20"/>
    </row>
    <row r="206" spans="2:36">
      <c r="B206" s="11" t="s">
        <v>514</v>
      </c>
      <c r="C206" s="12" t="s">
        <v>515</v>
      </c>
      <c r="D206" s="12" t="s">
        <v>38</v>
      </c>
      <c r="E206" s="13" t="s">
        <v>39</v>
      </c>
      <c r="F206" s="14" t="str">
        <f>_xlfn.XLOOKUP(B206,'[1]Synthese suivi modernisation'!A:A,'[1]Synthese suivi modernisation'!S:S)</f>
        <v>THIES</v>
      </c>
      <c r="G206" s="14" t="str">
        <f>_xlfn.XLOOKUP(B206,'[1]Synthese suivi modernisation'!A:A,'[1]Synthese suivi modernisation'!T:T)</f>
        <v>THIES</v>
      </c>
      <c r="H206" s="20" t="s">
        <v>70</v>
      </c>
      <c r="I206" s="20" t="s">
        <v>71</v>
      </c>
      <c r="J206" s="16" t="s">
        <v>70</v>
      </c>
      <c r="K206" s="24">
        <v>9000</v>
      </c>
      <c r="L206" s="14">
        <v>13</v>
      </c>
      <c r="M206" s="17" t="s">
        <v>73</v>
      </c>
      <c r="N206" s="16" t="s">
        <v>43</v>
      </c>
      <c r="O206" s="16">
        <v>30</v>
      </c>
      <c r="P206" s="18">
        <v>45</v>
      </c>
      <c r="Q206" s="20"/>
      <c r="R206" s="20"/>
      <c r="S206" s="19">
        <v>0.8</v>
      </c>
      <c r="T206" s="20">
        <f t="shared" si="19"/>
        <v>54.166666666666664</v>
      </c>
      <c r="U206" s="20">
        <v>0.27</v>
      </c>
      <c r="V206" s="20">
        <f t="shared" si="20"/>
        <v>3.5100000000000002</v>
      </c>
      <c r="W206" s="20"/>
      <c r="X206" s="20"/>
      <c r="Y206" s="20">
        <f t="shared" si="21"/>
        <v>0</v>
      </c>
      <c r="Z206" s="21">
        <f t="shared" si="22"/>
        <v>-45</v>
      </c>
      <c r="AA206" s="20"/>
      <c r="AB206" s="20"/>
      <c r="AC206" s="20"/>
      <c r="AD206" s="20">
        <f t="shared" si="23"/>
        <v>0</v>
      </c>
      <c r="AE206" s="20"/>
      <c r="AF206" s="20"/>
      <c r="AG206" s="20"/>
      <c r="AH206" s="20"/>
      <c r="AI206" s="20">
        <f t="shared" si="24"/>
        <v>0</v>
      </c>
      <c r="AJ206" s="20"/>
    </row>
    <row r="207" spans="2:36">
      <c r="B207" s="11" t="s">
        <v>516</v>
      </c>
      <c r="C207" s="12" t="s">
        <v>517</v>
      </c>
      <c r="D207" s="12" t="s">
        <v>38</v>
      </c>
      <c r="E207" s="13" t="s">
        <v>39</v>
      </c>
      <c r="F207" s="14" t="str">
        <f>_xlfn.XLOOKUP(B207,'[1]Synthese suivi modernisation'!A:A,'[1]Synthese suivi modernisation'!S:S)</f>
        <v>KEDOUGOU</v>
      </c>
      <c r="G207" s="14" t="str">
        <f>_xlfn.XLOOKUP(B207,'[1]Synthese suivi modernisation'!A:A,'[1]Synthese suivi modernisation'!T:T)</f>
        <v>TAMBACOUNDA</v>
      </c>
      <c r="H207" s="20" t="s">
        <v>209</v>
      </c>
      <c r="I207" s="14" t="s">
        <v>41</v>
      </c>
      <c r="J207" s="23" t="s">
        <v>134</v>
      </c>
      <c r="K207" s="24">
        <v>2500</v>
      </c>
      <c r="L207" s="14">
        <v>4</v>
      </c>
      <c r="M207" s="17" t="s">
        <v>73</v>
      </c>
      <c r="N207" s="16" t="s">
        <v>111</v>
      </c>
      <c r="O207" s="16">
        <v>22</v>
      </c>
      <c r="P207" s="18">
        <v>586.66666666666663</v>
      </c>
      <c r="Q207" s="20"/>
      <c r="R207" s="20"/>
      <c r="S207" s="19">
        <v>0.8</v>
      </c>
      <c r="T207" s="20">
        <f t="shared" si="19"/>
        <v>22.727272727272727</v>
      </c>
      <c r="U207" s="20">
        <v>0.27</v>
      </c>
      <c r="V207" s="20">
        <f t="shared" si="20"/>
        <v>1.08</v>
      </c>
      <c r="W207" s="20"/>
      <c r="X207" s="20"/>
      <c r="Y207" s="20">
        <f t="shared" si="21"/>
        <v>0</v>
      </c>
      <c r="Z207" s="21">
        <f t="shared" si="22"/>
        <v>-586.66666666666663</v>
      </c>
      <c r="AA207" s="20"/>
      <c r="AB207" s="20"/>
      <c r="AC207" s="20"/>
      <c r="AD207" s="20">
        <f t="shared" si="23"/>
        <v>0</v>
      </c>
      <c r="AE207" s="20"/>
      <c r="AF207" s="20"/>
      <c r="AG207" s="20"/>
      <c r="AH207" s="20"/>
      <c r="AI207" s="20">
        <f t="shared" si="24"/>
        <v>0</v>
      </c>
      <c r="AJ207" s="20"/>
    </row>
    <row r="208" spans="2:36">
      <c r="B208" s="11" t="s">
        <v>518</v>
      </c>
      <c r="C208" s="12" t="s">
        <v>519</v>
      </c>
      <c r="D208" s="12" t="s">
        <v>38</v>
      </c>
      <c r="E208" s="13" t="s">
        <v>39</v>
      </c>
      <c r="F208" s="14" t="str">
        <f>_xlfn.XLOOKUP(B208,'[1]Synthese suivi modernisation'!A:A,'[1]Synthese suivi modernisation'!S:S)</f>
        <v>MATAM</v>
      </c>
      <c r="G208" s="14" t="str">
        <f>_xlfn.XLOOKUP(B208,'[1]Synthese suivi modernisation'!A:A,'[1]Synthese suivi modernisation'!T:T)</f>
        <v>SAINT-LOUIS</v>
      </c>
      <c r="H208" s="20" t="s">
        <v>355</v>
      </c>
      <c r="I208" s="20" t="s">
        <v>71</v>
      </c>
      <c r="J208" s="16" t="s">
        <v>520</v>
      </c>
      <c r="K208" s="24">
        <v>7000</v>
      </c>
      <c r="L208" s="14">
        <v>7</v>
      </c>
      <c r="M208" s="17" t="s">
        <v>73</v>
      </c>
      <c r="N208" s="16" t="s">
        <v>521</v>
      </c>
      <c r="O208" s="16">
        <v>30</v>
      </c>
      <c r="P208" s="18">
        <v>0</v>
      </c>
      <c r="Q208" s="20"/>
      <c r="R208" s="20"/>
      <c r="S208" s="19">
        <v>0.8</v>
      </c>
      <c r="T208" s="20">
        <f t="shared" si="19"/>
        <v>29.166666666666668</v>
      </c>
      <c r="U208" s="20">
        <v>0.27</v>
      </c>
      <c r="V208" s="20">
        <f t="shared" si="20"/>
        <v>1.8900000000000001</v>
      </c>
      <c r="W208" s="20"/>
      <c r="X208" s="20"/>
      <c r="Y208" s="20">
        <f t="shared" si="21"/>
        <v>0</v>
      </c>
      <c r="Z208" s="21">
        <f t="shared" si="22"/>
        <v>0</v>
      </c>
      <c r="AA208" s="20"/>
      <c r="AB208" s="20"/>
      <c r="AC208" s="20"/>
      <c r="AD208" s="20">
        <f t="shared" si="23"/>
        <v>0</v>
      </c>
      <c r="AE208" s="20"/>
      <c r="AF208" s="20"/>
      <c r="AG208" s="20"/>
      <c r="AH208" s="20"/>
      <c r="AI208" s="20">
        <f t="shared" si="24"/>
        <v>0</v>
      </c>
      <c r="AJ208" s="20"/>
    </row>
    <row r="209" spans="2:36">
      <c r="B209" s="11" t="s">
        <v>522</v>
      </c>
      <c r="C209" s="12" t="s">
        <v>523</v>
      </c>
      <c r="D209" s="12" t="s">
        <v>38</v>
      </c>
      <c r="E209" s="13" t="s">
        <v>39</v>
      </c>
      <c r="F209" s="14" t="str">
        <f>_xlfn.XLOOKUP(B209,'[1]Synthese suivi modernisation'!A:A,'[1]Synthese suivi modernisation'!S:S)</f>
        <v>SAINT-LOUIS</v>
      </c>
      <c r="G209" s="14" t="str">
        <f>_xlfn.XLOOKUP(B209,'[1]Synthese suivi modernisation'!A:A,'[1]Synthese suivi modernisation'!T:T)</f>
        <v>SAINT-LOUIS</v>
      </c>
      <c r="H209" s="20" t="s">
        <v>70</v>
      </c>
      <c r="I209" s="20" t="s">
        <v>71</v>
      </c>
      <c r="J209" s="16" t="s">
        <v>70</v>
      </c>
      <c r="K209" s="24">
        <v>10000</v>
      </c>
      <c r="L209" s="14">
        <v>13</v>
      </c>
      <c r="M209" s="17" t="s">
        <v>73</v>
      </c>
      <c r="N209" s="16" t="s">
        <v>524</v>
      </c>
      <c r="O209" s="16">
        <v>33</v>
      </c>
      <c r="P209" s="18">
        <v>85.333333333333329</v>
      </c>
      <c r="Q209" s="20"/>
      <c r="R209" s="20"/>
      <c r="S209" s="19">
        <v>0.8</v>
      </c>
      <c r="T209" s="20">
        <f t="shared" si="19"/>
        <v>49.242424242424235</v>
      </c>
      <c r="U209" s="20">
        <v>0.27</v>
      </c>
      <c r="V209" s="20">
        <f t="shared" si="20"/>
        <v>3.5100000000000002</v>
      </c>
      <c r="W209" s="20"/>
      <c r="X209" s="20"/>
      <c r="Y209" s="20">
        <f t="shared" si="21"/>
        <v>0</v>
      </c>
      <c r="Z209" s="21">
        <f t="shared" si="22"/>
        <v>-85.333333333333329</v>
      </c>
      <c r="AA209" s="20"/>
      <c r="AB209" s="20"/>
      <c r="AC209" s="20"/>
      <c r="AD209" s="20">
        <f t="shared" si="23"/>
        <v>0</v>
      </c>
      <c r="AE209" s="20"/>
      <c r="AF209" s="20"/>
      <c r="AG209" s="20"/>
      <c r="AH209" s="20"/>
      <c r="AI209" s="20">
        <f t="shared" si="24"/>
        <v>0</v>
      </c>
      <c r="AJ209" s="20"/>
    </row>
    <row r="210" spans="2:36">
      <c r="B210" s="11" t="s">
        <v>525</v>
      </c>
      <c r="C210" s="12" t="s">
        <v>526</v>
      </c>
      <c r="D210" s="12" t="s">
        <v>38</v>
      </c>
      <c r="E210" s="13" t="s">
        <v>39</v>
      </c>
      <c r="F210" s="14" t="str">
        <f>_xlfn.XLOOKUP(B210,'[1]Synthese suivi modernisation'!A:A,'[1]Synthese suivi modernisation'!S:S)</f>
        <v>SAINT-LOUIS</v>
      </c>
      <c r="G210" s="14" t="str">
        <f>_xlfn.XLOOKUP(B210,'[1]Synthese suivi modernisation'!A:A,'[1]Synthese suivi modernisation'!T:T)</f>
        <v>SAINT-LOUIS</v>
      </c>
      <c r="H210" s="20" t="s">
        <v>142</v>
      </c>
      <c r="I210" s="20" t="s">
        <v>71</v>
      </c>
      <c r="J210" s="16" t="s">
        <v>70</v>
      </c>
      <c r="K210" s="24">
        <v>10000</v>
      </c>
      <c r="L210" s="14">
        <v>12</v>
      </c>
      <c r="M210" s="17" t="s">
        <v>73</v>
      </c>
      <c r="N210" s="16" t="s">
        <v>173</v>
      </c>
      <c r="O210" s="16">
        <v>22</v>
      </c>
      <c r="P210" s="18">
        <v>73.666666666666671</v>
      </c>
      <c r="Q210" s="20"/>
      <c r="R210" s="20"/>
      <c r="S210" s="19">
        <v>0.8</v>
      </c>
      <c r="T210" s="20">
        <f t="shared" si="19"/>
        <v>68.181818181818173</v>
      </c>
      <c r="U210" s="20">
        <v>0.27</v>
      </c>
      <c r="V210" s="20">
        <f t="shared" si="20"/>
        <v>3.24</v>
      </c>
      <c r="W210" s="20"/>
      <c r="X210" s="20"/>
      <c r="Y210" s="20">
        <f t="shared" si="21"/>
        <v>0</v>
      </c>
      <c r="Z210" s="21">
        <f t="shared" si="22"/>
        <v>-73.666666666666671</v>
      </c>
      <c r="AA210" s="20"/>
      <c r="AB210" s="20"/>
      <c r="AC210" s="20"/>
      <c r="AD210" s="20">
        <f t="shared" si="23"/>
        <v>0</v>
      </c>
      <c r="AE210" s="20"/>
      <c r="AF210" s="20"/>
      <c r="AG210" s="20"/>
      <c r="AH210" s="20"/>
      <c r="AI210" s="20">
        <f t="shared" si="24"/>
        <v>0</v>
      </c>
      <c r="AJ210" s="20"/>
    </row>
    <row r="211" spans="2:36">
      <c r="B211" s="11" t="s">
        <v>527</v>
      </c>
      <c r="C211" s="12" t="s">
        <v>528</v>
      </c>
      <c r="D211" s="12" t="s">
        <v>38</v>
      </c>
      <c r="E211" s="13" t="s">
        <v>39</v>
      </c>
      <c r="F211" s="14" t="str">
        <f>_xlfn.XLOOKUP(B211,'[1]Synthese suivi modernisation'!A:A,'[1]Synthese suivi modernisation'!S:S)</f>
        <v>RUFISQUE</v>
      </c>
      <c r="G211" s="14" t="str">
        <f>_xlfn.XLOOKUP(B211,'[1]Synthese suivi modernisation'!A:A,'[1]Synthese suivi modernisation'!T:T)</f>
        <v>DAKAR</v>
      </c>
      <c r="H211" s="20" t="s">
        <v>70</v>
      </c>
      <c r="I211" s="20" t="s">
        <v>71</v>
      </c>
      <c r="J211" s="16" t="s">
        <v>70</v>
      </c>
      <c r="K211" s="24">
        <v>17000</v>
      </c>
      <c r="L211" s="14">
        <v>15</v>
      </c>
      <c r="M211" s="17" t="s">
        <v>73</v>
      </c>
      <c r="N211" s="16" t="s">
        <v>529</v>
      </c>
      <c r="O211" s="16">
        <v>80</v>
      </c>
      <c r="P211" s="18">
        <v>53.75</v>
      </c>
      <c r="Q211" s="20"/>
      <c r="R211" s="20"/>
      <c r="S211" s="19">
        <v>0.8</v>
      </c>
      <c r="T211" s="20">
        <f t="shared" si="19"/>
        <v>23.4375</v>
      </c>
      <c r="U211" s="20">
        <v>0.27</v>
      </c>
      <c r="V211" s="20">
        <f t="shared" si="20"/>
        <v>4.0500000000000007</v>
      </c>
      <c r="W211" s="20"/>
      <c r="X211" s="20"/>
      <c r="Y211" s="20">
        <f t="shared" si="21"/>
        <v>0</v>
      </c>
      <c r="Z211" s="21">
        <f t="shared" si="22"/>
        <v>-53.75</v>
      </c>
      <c r="AA211" s="20"/>
      <c r="AB211" s="20"/>
      <c r="AC211" s="20"/>
      <c r="AD211" s="20">
        <f t="shared" si="23"/>
        <v>0</v>
      </c>
      <c r="AE211" s="20"/>
      <c r="AF211" s="20"/>
      <c r="AG211" s="20"/>
      <c r="AH211" s="20"/>
      <c r="AI211" s="20">
        <f t="shared" si="24"/>
        <v>0</v>
      </c>
      <c r="AJ211" s="20"/>
    </row>
    <row r="212" spans="2:36">
      <c r="B212" s="11" t="s">
        <v>530</v>
      </c>
      <c r="C212" s="12" t="s">
        <v>531</v>
      </c>
      <c r="D212" s="12" t="s">
        <v>38</v>
      </c>
      <c r="E212" s="13" t="s">
        <v>39</v>
      </c>
      <c r="F212" s="14" t="str">
        <f>_xlfn.XLOOKUP(B212,'[1]Synthese suivi modernisation'!A:A,'[1]Synthese suivi modernisation'!S:S)</f>
        <v>SACRE_COEUR</v>
      </c>
      <c r="G212" s="14" t="str">
        <f>_xlfn.XLOOKUP(B212,'[1]Synthese suivi modernisation'!A:A,'[1]Synthese suivi modernisation'!T:T)</f>
        <v>DAKAR</v>
      </c>
      <c r="H212" s="20" t="s">
        <v>242</v>
      </c>
      <c r="I212" s="20" t="s">
        <v>143</v>
      </c>
      <c r="J212" s="16" t="s">
        <v>242</v>
      </c>
      <c r="K212" s="24">
        <v>5000</v>
      </c>
      <c r="L212" s="14">
        <v>10</v>
      </c>
      <c r="M212" s="17" t="s">
        <v>73</v>
      </c>
      <c r="N212" s="16" t="s">
        <v>532</v>
      </c>
      <c r="O212" s="16">
        <v>300</v>
      </c>
      <c r="P212" s="18">
        <v>71.75</v>
      </c>
      <c r="Q212" s="20"/>
      <c r="R212" s="20"/>
      <c r="S212" s="19">
        <v>0.8</v>
      </c>
      <c r="T212" s="20">
        <f t="shared" si="19"/>
        <v>4.1666666666666661</v>
      </c>
      <c r="U212" s="20">
        <v>0.27</v>
      </c>
      <c r="V212" s="20">
        <f t="shared" si="20"/>
        <v>2.7</v>
      </c>
      <c r="W212" s="20"/>
      <c r="X212" s="20"/>
      <c r="Y212" s="20">
        <f t="shared" si="21"/>
        <v>0</v>
      </c>
      <c r="Z212" s="21">
        <f t="shared" si="22"/>
        <v>-71.75</v>
      </c>
      <c r="AA212" s="20"/>
      <c r="AB212" s="20"/>
      <c r="AC212" s="20"/>
      <c r="AD212" s="20">
        <f t="shared" si="23"/>
        <v>0</v>
      </c>
      <c r="AE212" s="20"/>
      <c r="AF212" s="20"/>
      <c r="AG212" s="20"/>
      <c r="AH212" s="20"/>
      <c r="AI212" s="20">
        <f t="shared" si="24"/>
        <v>0</v>
      </c>
      <c r="AJ212" s="20"/>
    </row>
    <row r="213" spans="2:36">
      <c r="B213" s="11" t="s">
        <v>533</v>
      </c>
      <c r="C213" s="12" t="s">
        <v>534</v>
      </c>
      <c r="D213" s="12" t="s">
        <v>38</v>
      </c>
      <c r="E213" s="13" t="s">
        <v>39</v>
      </c>
      <c r="F213" s="14" t="str">
        <f>_xlfn.XLOOKUP(B213,'[1]Synthese suivi modernisation'!A:A,'[1]Synthese suivi modernisation'!S:S)</f>
        <v>SACRE_COEUR</v>
      </c>
      <c r="G213" s="14" t="str">
        <f>_xlfn.XLOOKUP(B213,'[1]Synthese suivi modernisation'!A:A,'[1]Synthese suivi modernisation'!T:T)</f>
        <v>DAKAR</v>
      </c>
      <c r="H213" s="20" t="s">
        <v>535</v>
      </c>
      <c r="I213" s="20" t="s">
        <v>71</v>
      </c>
      <c r="J213" s="16" t="s">
        <v>535</v>
      </c>
      <c r="K213" s="24">
        <v>4000</v>
      </c>
      <c r="L213" s="14">
        <v>4</v>
      </c>
      <c r="M213" s="17" t="s">
        <v>73</v>
      </c>
      <c r="N213" s="16" t="s">
        <v>536</v>
      </c>
      <c r="O213" s="16">
        <v>220</v>
      </c>
      <c r="P213" s="18">
        <v>65.666666666666671</v>
      </c>
      <c r="Q213" s="20"/>
      <c r="R213" s="20"/>
      <c r="S213" s="19">
        <v>0.8</v>
      </c>
      <c r="T213" s="20">
        <f t="shared" si="19"/>
        <v>2.2727272727272729</v>
      </c>
      <c r="U213" s="20">
        <v>0.27</v>
      </c>
      <c r="V213" s="20">
        <f t="shared" si="20"/>
        <v>1.08</v>
      </c>
      <c r="W213" s="20"/>
      <c r="X213" s="20"/>
      <c r="Y213" s="20">
        <f t="shared" si="21"/>
        <v>0</v>
      </c>
      <c r="Z213" s="21">
        <f t="shared" si="22"/>
        <v>-65.666666666666671</v>
      </c>
      <c r="AA213" s="20"/>
      <c r="AB213" s="20"/>
      <c r="AC213" s="20"/>
      <c r="AD213" s="20">
        <f t="shared" si="23"/>
        <v>0</v>
      </c>
      <c r="AE213" s="20"/>
      <c r="AF213" s="20"/>
      <c r="AG213" s="20"/>
      <c r="AH213" s="20"/>
      <c r="AI213" s="20">
        <f t="shared" si="24"/>
        <v>0</v>
      </c>
      <c r="AJ213" s="20"/>
    </row>
    <row r="214" spans="2:36">
      <c r="B214" s="11" t="s">
        <v>537</v>
      </c>
      <c r="C214" s="12" t="s">
        <v>538</v>
      </c>
      <c r="D214" s="12" t="s">
        <v>38</v>
      </c>
      <c r="E214" s="13" t="s">
        <v>39</v>
      </c>
      <c r="F214" s="14" t="str">
        <f>_xlfn.XLOOKUP(B214,'[1]Synthese suivi modernisation'!A:A,'[1]Synthese suivi modernisation'!S:S)</f>
        <v>TOUBA02</v>
      </c>
      <c r="G214" s="14" t="str">
        <f>_xlfn.XLOOKUP(B214,'[1]Synthese suivi modernisation'!A:A,'[1]Synthese suivi modernisation'!T:T)</f>
        <v>THIES</v>
      </c>
      <c r="H214" s="20" t="s">
        <v>180</v>
      </c>
      <c r="I214" s="20" t="s">
        <v>71</v>
      </c>
      <c r="J214" s="16" t="s">
        <v>180</v>
      </c>
      <c r="K214" s="24">
        <v>3000</v>
      </c>
      <c r="L214" s="14">
        <v>5</v>
      </c>
      <c r="M214" s="17" t="s">
        <v>73</v>
      </c>
      <c r="N214" s="16" t="s">
        <v>63</v>
      </c>
      <c r="O214" s="16">
        <v>30</v>
      </c>
      <c r="P214" s="18">
        <v>34</v>
      </c>
      <c r="Q214" s="20"/>
      <c r="R214" s="20"/>
      <c r="S214" s="19">
        <v>0.8</v>
      </c>
      <c r="T214" s="20">
        <f t="shared" si="19"/>
        <v>20.833333333333336</v>
      </c>
      <c r="U214" s="20">
        <v>0.27</v>
      </c>
      <c r="V214" s="20">
        <f t="shared" si="20"/>
        <v>1.35</v>
      </c>
      <c r="W214" s="20"/>
      <c r="X214" s="20"/>
      <c r="Y214" s="20">
        <f t="shared" si="21"/>
        <v>0</v>
      </c>
      <c r="Z214" s="21">
        <f t="shared" si="22"/>
        <v>-34</v>
      </c>
      <c r="AA214" s="20"/>
      <c r="AB214" s="20"/>
      <c r="AC214" s="20"/>
      <c r="AD214" s="20">
        <f t="shared" si="23"/>
        <v>0</v>
      </c>
      <c r="AE214" s="20"/>
      <c r="AF214" s="20"/>
      <c r="AG214" s="20"/>
      <c r="AH214" s="20"/>
      <c r="AI214" s="20">
        <f t="shared" si="24"/>
        <v>0</v>
      </c>
      <c r="AJ214" s="20"/>
    </row>
    <row r="215" spans="2:36">
      <c r="B215" s="11" t="s">
        <v>539</v>
      </c>
      <c r="C215" s="12" t="s">
        <v>540</v>
      </c>
      <c r="D215" s="12" t="s">
        <v>38</v>
      </c>
      <c r="E215" s="13" t="s">
        <v>39</v>
      </c>
      <c r="F215" s="14" t="str">
        <f>_xlfn.XLOOKUP(B215,'[1]Synthese suivi modernisation'!A:A,'[1]Synthese suivi modernisation'!S:S)</f>
        <v>LOUGA</v>
      </c>
      <c r="G215" s="14" t="str">
        <f>_xlfn.XLOOKUP(B215,'[1]Synthese suivi modernisation'!A:A,'[1]Synthese suivi modernisation'!T:T)</f>
        <v>SAINT-LOUIS</v>
      </c>
      <c r="H215" s="20" t="s">
        <v>70</v>
      </c>
      <c r="I215" s="20" t="s">
        <v>71</v>
      </c>
      <c r="J215" s="16" t="s">
        <v>70</v>
      </c>
      <c r="K215" s="24">
        <v>8000</v>
      </c>
      <c r="L215" s="14">
        <v>8</v>
      </c>
      <c r="M215" s="17" t="s">
        <v>73</v>
      </c>
      <c r="N215" s="16" t="s">
        <v>63</v>
      </c>
      <c r="O215" s="16">
        <v>30</v>
      </c>
      <c r="P215" s="18">
        <v>41</v>
      </c>
      <c r="Q215" s="20"/>
      <c r="R215" s="20"/>
      <c r="S215" s="19">
        <v>0.8</v>
      </c>
      <c r="T215" s="20">
        <f t="shared" si="19"/>
        <v>33.333333333333329</v>
      </c>
      <c r="U215" s="20">
        <v>0.27</v>
      </c>
      <c r="V215" s="20">
        <f t="shared" si="20"/>
        <v>2.16</v>
      </c>
      <c r="W215" s="20"/>
      <c r="X215" s="20"/>
      <c r="Y215" s="20">
        <f t="shared" si="21"/>
        <v>0</v>
      </c>
      <c r="Z215" s="21">
        <f t="shared" si="22"/>
        <v>-41</v>
      </c>
      <c r="AA215" s="20"/>
      <c r="AB215" s="20"/>
      <c r="AC215" s="20"/>
      <c r="AD215" s="20">
        <f t="shared" si="23"/>
        <v>0</v>
      </c>
      <c r="AE215" s="20"/>
      <c r="AF215" s="20"/>
      <c r="AG215" s="20"/>
      <c r="AH215" s="20"/>
      <c r="AI215" s="20">
        <f t="shared" si="24"/>
        <v>0</v>
      </c>
      <c r="AJ215" s="20"/>
    </row>
    <row r="216" spans="2:36">
      <c r="B216" s="11" t="s">
        <v>541</v>
      </c>
      <c r="C216" s="12" t="s">
        <v>542</v>
      </c>
      <c r="D216" s="12" t="s">
        <v>38</v>
      </c>
      <c r="E216" s="13" t="s">
        <v>39</v>
      </c>
      <c r="F216" s="14" t="str">
        <f>_xlfn.XLOOKUP(B216,'[1]Synthese suivi modernisation'!A:A,'[1]Synthese suivi modernisation'!S:S)</f>
        <v>LOUGA</v>
      </c>
      <c r="G216" s="14" t="str">
        <f>_xlfn.XLOOKUP(B216,'[1]Synthese suivi modernisation'!A:A,'[1]Synthese suivi modernisation'!T:T)</f>
        <v>SAINT-LOUIS</v>
      </c>
      <c r="H216" s="20" t="s">
        <v>70</v>
      </c>
      <c r="I216" s="20" t="s">
        <v>71</v>
      </c>
      <c r="J216" s="16" t="s">
        <v>70</v>
      </c>
      <c r="K216" s="24">
        <v>7000</v>
      </c>
      <c r="L216" s="14">
        <v>6</v>
      </c>
      <c r="M216" s="17" t="s">
        <v>73</v>
      </c>
      <c r="N216" s="16" t="s">
        <v>60</v>
      </c>
      <c r="O216" s="16">
        <v>33</v>
      </c>
      <c r="P216" s="18">
        <v>38.25</v>
      </c>
      <c r="Q216" s="20"/>
      <c r="R216" s="20"/>
      <c r="S216" s="19">
        <v>0.8</v>
      </c>
      <c r="T216" s="20">
        <f t="shared" si="19"/>
        <v>22.727272727272727</v>
      </c>
      <c r="U216" s="20">
        <v>0.27</v>
      </c>
      <c r="V216" s="20">
        <f t="shared" si="20"/>
        <v>1.62</v>
      </c>
      <c r="W216" s="20"/>
      <c r="X216" s="20"/>
      <c r="Y216" s="20">
        <f t="shared" si="21"/>
        <v>0</v>
      </c>
      <c r="Z216" s="21">
        <f t="shared" si="22"/>
        <v>-38.25</v>
      </c>
      <c r="AA216" s="20"/>
      <c r="AB216" s="20"/>
      <c r="AC216" s="20"/>
      <c r="AD216" s="20">
        <f t="shared" si="23"/>
        <v>0</v>
      </c>
      <c r="AE216" s="20"/>
      <c r="AF216" s="20"/>
      <c r="AG216" s="20"/>
      <c r="AH216" s="20"/>
      <c r="AI216" s="20">
        <f t="shared" si="24"/>
        <v>0</v>
      </c>
      <c r="AJ216" s="20"/>
    </row>
    <row r="217" spans="2:36">
      <c r="B217" s="11" t="s">
        <v>543</v>
      </c>
      <c r="C217" s="12" t="s">
        <v>544</v>
      </c>
      <c r="D217" s="12" t="s">
        <v>38</v>
      </c>
      <c r="E217" s="13" t="s">
        <v>39</v>
      </c>
      <c r="F217" s="14" t="str">
        <f>_xlfn.XLOOKUP(B217,'[1]Synthese suivi modernisation'!A:A,'[1]Synthese suivi modernisation'!S:S)</f>
        <v>MBOUR</v>
      </c>
      <c r="G217" s="14" t="str">
        <f>_xlfn.XLOOKUP(B217,'[1]Synthese suivi modernisation'!A:A,'[1]Synthese suivi modernisation'!T:T)</f>
        <v>THIES</v>
      </c>
      <c r="H217" s="20" t="s">
        <v>535</v>
      </c>
      <c r="I217" s="20" t="s">
        <v>71</v>
      </c>
      <c r="J217" s="16" t="s">
        <v>535</v>
      </c>
      <c r="K217" s="24">
        <v>12000</v>
      </c>
      <c r="L217" s="14">
        <v>11</v>
      </c>
      <c r="M217" s="17" t="s">
        <v>73</v>
      </c>
      <c r="N217" s="16" t="s">
        <v>362</v>
      </c>
      <c r="O217" s="16">
        <v>165</v>
      </c>
      <c r="P217" s="18">
        <v>68.916666666666671</v>
      </c>
      <c r="Q217" s="20"/>
      <c r="R217" s="20"/>
      <c r="S217" s="19">
        <v>0.8</v>
      </c>
      <c r="T217" s="20">
        <f t="shared" si="19"/>
        <v>8.3333333333333321</v>
      </c>
      <c r="U217" s="20">
        <v>0.27</v>
      </c>
      <c r="V217" s="20">
        <f t="shared" si="20"/>
        <v>2.97</v>
      </c>
      <c r="W217" s="20"/>
      <c r="X217" s="20"/>
      <c r="Y217" s="20">
        <f t="shared" si="21"/>
        <v>0</v>
      </c>
      <c r="Z217" s="21">
        <f t="shared" si="22"/>
        <v>-68.916666666666671</v>
      </c>
      <c r="AA217" s="20"/>
      <c r="AB217" s="20"/>
      <c r="AC217" s="20"/>
      <c r="AD217" s="20">
        <f t="shared" si="23"/>
        <v>0</v>
      </c>
      <c r="AE217" s="20"/>
      <c r="AF217" s="20"/>
      <c r="AG217" s="20"/>
      <c r="AH217" s="20"/>
      <c r="AI217" s="20">
        <f t="shared" si="24"/>
        <v>0</v>
      </c>
      <c r="AJ217" s="20"/>
    </row>
    <row r="218" spans="2:36">
      <c r="B218" s="11" t="s">
        <v>545</v>
      </c>
      <c r="C218" s="12" t="s">
        <v>546</v>
      </c>
      <c r="D218" s="12" t="s">
        <v>38</v>
      </c>
      <c r="E218" s="13" t="s">
        <v>39</v>
      </c>
      <c r="F218" s="14" t="str">
        <f>_xlfn.XLOOKUP(B218,'[1]Synthese suivi modernisation'!A:A,'[1]Synthese suivi modernisation'!S:S)</f>
        <v>DIOURBEL</v>
      </c>
      <c r="G218" s="14" t="str">
        <f>_xlfn.XLOOKUP(B218,'[1]Synthese suivi modernisation'!A:A,'[1]Synthese suivi modernisation'!T:T)</f>
        <v>THIES</v>
      </c>
      <c r="H218" s="20" t="s">
        <v>40</v>
      </c>
      <c r="I218" s="14" t="s">
        <v>41</v>
      </c>
      <c r="J218" s="16" t="s">
        <v>40</v>
      </c>
      <c r="K218" s="24">
        <v>3500</v>
      </c>
      <c r="L218" s="14">
        <v>5</v>
      </c>
      <c r="M218" s="17" t="s">
        <v>42</v>
      </c>
      <c r="N218" s="16" t="s">
        <v>48</v>
      </c>
      <c r="O218" s="16">
        <v>22</v>
      </c>
      <c r="P218" s="18">
        <v>547.66666666666663</v>
      </c>
      <c r="Q218" s="20"/>
      <c r="R218" s="20"/>
      <c r="S218" s="19">
        <v>0.8</v>
      </c>
      <c r="T218" s="20">
        <f t="shared" si="19"/>
        <v>28.409090909090907</v>
      </c>
      <c r="U218" s="20">
        <v>0.27</v>
      </c>
      <c r="V218" s="20">
        <f t="shared" si="20"/>
        <v>1.35</v>
      </c>
      <c r="W218" s="20"/>
      <c r="X218" s="20"/>
      <c r="Y218" s="20">
        <f t="shared" si="21"/>
        <v>0</v>
      </c>
      <c r="Z218" s="21">
        <f t="shared" si="22"/>
        <v>-547.66666666666663</v>
      </c>
      <c r="AA218" s="20"/>
      <c r="AB218" s="20"/>
      <c r="AC218" s="20"/>
      <c r="AD218" s="20">
        <f t="shared" si="23"/>
        <v>0</v>
      </c>
      <c r="AE218" s="20"/>
      <c r="AF218" s="20"/>
      <c r="AG218" s="20"/>
      <c r="AH218" s="20"/>
      <c r="AI218" s="20">
        <f t="shared" si="24"/>
        <v>0</v>
      </c>
      <c r="AJ218" s="20"/>
    </row>
    <row r="219" spans="2:36">
      <c r="B219" s="11" t="s">
        <v>547</v>
      </c>
      <c r="C219" s="12" t="s">
        <v>548</v>
      </c>
      <c r="D219" s="12" t="s">
        <v>38</v>
      </c>
      <c r="E219" s="13" t="s">
        <v>39</v>
      </c>
      <c r="F219" s="14" t="str">
        <f>_xlfn.XLOOKUP(B219,'[1]Synthese suivi modernisation'!A:A,'[1]Synthese suivi modernisation'!S:S)</f>
        <v>KEDOUGOU</v>
      </c>
      <c r="G219" s="14" t="str">
        <f>_xlfn.XLOOKUP(B219,'[1]Synthese suivi modernisation'!A:A,'[1]Synthese suivi modernisation'!T:T)</f>
        <v>TAMBACOUNDA</v>
      </c>
      <c r="H219" s="20" t="s">
        <v>40</v>
      </c>
      <c r="I219" s="14" t="s">
        <v>41</v>
      </c>
      <c r="J219" s="23" t="s">
        <v>40</v>
      </c>
      <c r="K219" s="24">
        <v>2750</v>
      </c>
      <c r="L219" s="14">
        <v>4</v>
      </c>
      <c r="M219" s="17" t="s">
        <v>42</v>
      </c>
      <c r="N219" s="16" t="s">
        <v>549</v>
      </c>
      <c r="O219" s="16">
        <v>15</v>
      </c>
      <c r="P219" s="18">
        <v>13.25</v>
      </c>
      <c r="Q219" s="20"/>
      <c r="R219" s="20"/>
      <c r="S219" s="19">
        <v>0.8</v>
      </c>
      <c r="T219" s="20">
        <f t="shared" si="19"/>
        <v>33.333333333333329</v>
      </c>
      <c r="U219" s="20">
        <v>0.27</v>
      </c>
      <c r="V219" s="20">
        <f t="shared" si="20"/>
        <v>1.08</v>
      </c>
      <c r="W219" s="20"/>
      <c r="X219" s="20"/>
      <c r="Y219" s="20">
        <f t="shared" si="21"/>
        <v>0</v>
      </c>
      <c r="Z219" s="21">
        <f t="shared" si="22"/>
        <v>-13.25</v>
      </c>
      <c r="AA219" s="20"/>
      <c r="AB219" s="20"/>
      <c r="AC219" s="20"/>
      <c r="AD219" s="20">
        <f t="shared" si="23"/>
        <v>0</v>
      </c>
      <c r="AE219" s="20"/>
      <c r="AF219" s="20"/>
      <c r="AG219" s="20"/>
      <c r="AH219" s="20"/>
      <c r="AI219" s="20">
        <f t="shared" si="24"/>
        <v>0</v>
      </c>
      <c r="AJ219" s="20"/>
    </row>
    <row r="220" spans="2:36">
      <c r="B220" s="11" t="s">
        <v>550</v>
      </c>
      <c r="C220" s="12" t="s">
        <v>551</v>
      </c>
      <c r="D220" s="12" t="s">
        <v>38</v>
      </c>
      <c r="E220" s="13" t="s">
        <v>39</v>
      </c>
      <c r="F220" s="14" t="str">
        <f>_xlfn.XLOOKUP(B220,'[1]Synthese suivi modernisation'!A:A,'[1]Synthese suivi modernisation'!S:S)</f>
        <v>TAMBA</v>
      </c>
      <c r="G220" s="14" t="str">
        <f>_xlfn.XLOOKUP(B220,'[1]Synthese suivi modernisation'!A:A,'[1]Synthese suivi modernisation'!T:T)</f>
        <v>TAMBACOUNDA</v>
      </c>
      <c r="H220" s="20" t="s">
        <v>40</v>
      </c>
      <c r="I220" s="14" t="s">
        <v>41</v>
      </c>
      <c r="J220" s="16" t="s">
        <v>40</v>
      </c>
      <c r="K220" s="24">
        <v>1000</v>
      </c>
      <c r="L220" s="14">
        <v>4.5</v>
      </c>
      <c r="M220" s="17" t="s">
        <v>42</v>
      </c>
      <c r="N220" s="16" t="s">
        <v>63</v>
      </c>
      <c r="O220" s="16">
        <v>30</v>
      </c>
      <c r="P220" s="18">
        <v>574.58333333333337</v>
      </c>
      <c r="Q220" s="20"/>
      <c r="R220" s="20"/>
      <c r="S220" s="19">
        <v>0.8</v>
      </c>
      <c r="T220" s="20">
        <f t="shared" si="19"/>
        <v>18.75</v>
      </c>
      <c r="U220" s="20">
        <v>0.27</v>
      </c>
      <c r="V220" s="20">
        <f t="shared" si="20"/>
        <v>1.2150000000000001</v>
      </c>
      <c r="W220" s="20"/>
      <c r="X220" s="20"/>
      <c r="Y220" s="20">
        <f t="shared" si="21"/>
        <v>0</v>
      </c>
      <c r="Z220" s="21">
        <f t="shared" si="22"/>
        <v>-574.58333333333337</v>
      </c>
      <c r="AA220" s="20"/>
      <c r="AB220" s="20"/>
      <c r="AC220" s="20"/>
      <c r="AD220" s="20">
        <f t="shared" si="23"/>
        <v>0</v>
      </c>
      <c r="AE220" s="20"/>
      <c r="AF220" s="20"/>
      <c r="AG220" s="20"/>
      <c r="AH220" s="20"/>
      <c r="AI220" s="20">
        <f t="shared" si="24"/>
        <v>0</v>
      </c>
      <c r="AJ220" s="20"/>
    </row>
    <row r="221" spans="2:36">
      <c r="B221" s="11" t="s">
        <v>552</v>
      </c>
      <c r="C221" s="12" t="s">
        <v>553</v>
      </c>
      <c r="D221" s="12" t="s">
        <v>38</v>
      </c>
      <c r="E221" s="13" t="s">
        <v>39</v>
      </c>
      <c r="F221" s="14" t="str">
        <f>_xlfn.XLOOKUP(B221,'[1]Synthese suivi modernisation'!A:A,'[1]Synthese suivi modernisation'!S:S)</f>
        <v>KAFFRINE</v>
      </c>
      <c r="G221" s="14" t="str">
        <f>_xlfn.XLOOKUP(B221,'[1]Synthese suivi modernisation'!A:A,'[1]Synthese suivi modernisation'!T:T)</f>
        <v>KAOLACK</v>
      </c>
      <c r="H221" s="20" t="s">
        <v>54</v>
      </c>
      <c r="I221" s="14" t="s">
        <v>41</v>
      </c>
      <c r="J221" s="23" t="s">
        <v>40</v>
      </c>
      <c r="K221" s="24">
        <v>1750</v>
      </c>
      <c r="L221" s="14">
        <v>2.75</v>
      </c>
      <c r="M221" s="17" t="s">
        <v>42</v>
      </c>
      <c r="N221" s="16" t="s">
        <v>55</v>
      </c>
      <c r="O221" s="16">
        <v>33</v>
      </c>
      <c r="P221" s="18">
        <v>0</v>
      </c>
      <c r="Q221" s="20"/>
      <c r="R221" s="20"/>
      <c r="S221" s="19">
        <v>0.8</v>
      </c>
      <c r="T221" s="20">
        <f t="shared" si="19"/>
        <v>10.416666666666666</v>
      </c>
      <c r="U221" s="20">
        <v>0.27</v>
      </c>
      <c r="V221" s="20">
        <f t="shared" si="20"/>
        <v>0.74250000000000005</v>
      </c>
      <c r="W221" s="20"/>
      <c r="X221" s="20"/>
      <c r="Y221" s="20">
        <f t="shared" si="21"/>
        <v>0</v>
      </c>
      <c r="Z221" s="21">
        <f t="shared" si="22"/>
        <v>0</v>
      </c>
      <c r="AA221" s="20"/>
      <c r="AB221" s="20"/>
      <c r="AC221" s="20"/>
      <c r="AD221" s="20">
        <f t="shared" si="23"/>
        <v>0</v>
      </c>
      <c r="AE221" s="20"/>
      <c r="AF221" s="20"/>
      <c r="AG221" s="20"/>
      <c r="AH221" s="20"/>
      <c r="AI221" s="20">
        <f t="shared" si="24"/>
        <v>0</v>
      </c>
      <c r="AJ221" s="20"/>
    </row>
    <row r="222" spans="2:36">
      <c r="B222" s="11" t="s">
        <v>554</v>
      </c>
      <c r="C222" s="12" t="s">
        <v>555</v>
      </c>
      <c r="D222" s="12" t="s">
        <v>38</v>
      </c>
      <c r="E222" s="13" t="s">
        <v>39</v>
      </c>
      <c r="F222" s="14" t="str">
        <f>_xlfn.XLOOKUP(B222,'[1]Synthese suivi modernisation'!A:A,'[1]Synthese suivi modernisation'!S:S)</f>
        <v>KEDOUGOU</v>
      </c>
      <c r="G222" s="14" t="str">
        <f>_xlfn.XLOOKUP(B222,'[1]Synthese suivi modernisation'!A:A,'[1]Synthese suivi modernisation'!T:T)</f>
        <v>TAMBACOUNDA</v>
      </c>
      <c r="H222" s="20" t="s">
        <v>556</v>
      </c>
      <c r="I222" s="20" t="s">
        <v>71</v>
      </c>
      <c r="J222" s="16" t="s">
        <v>556</v>
      </c>
      <c r="K222" s="24">
        <v>6000</v>
      </c>
      <c r="L222" s="14">
        <v>9</v>
      </c>
      <c r="M222" s="17" t="s">
        <v>73</v>
      </c>
      <c r="N222" s="16" t="s">
        <v>51</v>
      </c>
      <c r="O222" s="16">
        <v>22</v>
      </c>
      <c r="P222" s="18">
        <v>53.333333333333336</v>
      </c>
      <c r="Q222" s="20"/>
      <c r="R222" s="20"/>
      <c r="S222" s="19">
        <v>0.8</v>
      </c>
      <c r="T222" s="20">
        <f t="shared" si="19"/>
        <v>51.136363636363633</v>
      </c>
      <c r="U222" s="20">
        <v>0.27</v>
      </c>
      <c r="V222" s="20">
        <f t="shared" si="20"/>
        <v>2.4300000000000002</v>
      </c>
      <c r="W222" s="20"/>
      <c r="X222" s="20"/>
      <c r="Y222" s="20">
        <f t="shared" si="21"/>
        <v>0</v>
      </c>
      <c r="Z222" s="21">
        <f t="shared" si="22"/>
        <v>-53.333333333333336</v>
      </c>
      <c r="AA222" s="20"/>
      <c r="AB222" s="20"/>
      <c r="AC222" s="20"/>
      <c r="AD222" s="20">
        <f t="shared" si="23"/>
        <v>0</v>
      </c>
      <c r="AE222" s="20"/>
      <c r="AF222" s="20"/>
      <c r="AG222" s="20"/>
      <c r="AH222" s="20"/>
      <c r="AI222" s="20">
        <f t="shared" si="24"/>
        <v>0</v>
      </c>
      <c r="AJ222" s="20"/>
    </row>
    <row r="223" spans="2:36">
      <c r="B223" s="11" t="s">
        <v>557</v>
      </c>
      <c r="C223" s="12" t="s">
        <v>558</v>
      </c>
      <c r="D223" s="12" t="s">
        <v>38</v>
      </c>
      <c r="E223" s="13" t="s">
        <v>39</v>
      </c>
      <c r="F223" s="14" t="str">
        <f>_xlfn.XLOOKUP(B223,'[1]Synthese suivi modernisation'!A:A,'[1]Synthese suivi modernisation'!S:S)</f>
        <v>MATAM</v>
      </c>
      <c r="G223" s="14" t="str">
        <f>_xlfn.XLOOKUP(B223,'[1]Synthese suivi modernisation'!A:A,'[1]Synthese suivi modernisation'!T:T)</f>
        <v>SAINT-LOUIS</v>
      </c>
      <c r="H223" s="20" t="s">
        <v>40</v>
      </c>
      <c r="I223" s="14" t="s">
        <v>41</v>
      </c>
      <c r="J223" s="16" t="s">
        <v>40</v>
      </c>
      <c r="K223" s="24">
        <v>4000</v>
      </c>
      <c r="L223" s="14">
        <v>4.5</v>
      </c>
      <c r="M223" s="17" t="s">
        <v>42</v>
      </c>
      <c r="N223" s="16" t="s">
        <v>173</v>
      </c>
      <c r="O223" s="16">
        <v>22</v>
      </c>
      <c r="P223" s="18">
        <v>627.66666666666663</v>
      </c>
      <c r="Q223" s="20"/>
      <c r="R223" s="20"/>
      <c r="S223" s="19">
        <v>0.8</v>
      </c>
      <c r="T223" s="20">
        <f t="shared" si="19"/>
        <v>25.568181818181817</v>
      </c>
      <c r="U223" s="20">
        <v>0.27</v>
      </c>
      <c r="V223" s="20">
        <f t="shared" si="20"/>
        <v>1.2150000000000001</v>
      </c>
      <c r="W223" s="20"/>
      <c r="X223" s="20"/>
      <c r="Y223" s="20">
        <f t="shared" si="21"/>
        <v>0</v>
      </c>
      <c r="Z223" s="21">
        <f t="shared" si="22"/>
        <v>-627.66666666666663</v>
      </c>
      <c r="AA223" s="20"/>
      <c r="AB223" s="20"/>
      <c r="AC223" s="20"/>
      <c r="AD223" s="20">
        <f t="shared" si="23"/>
        <v>0</v>
      </c>
      <c r="AE223" s="20"/>
      <c r="AF223" s="20"/>
      <c r="AG223" s="20"/>
      <c r="AH223" s="20"/>
      <c r="AI223" s="20">
        <f t="shared" si="24"/>
        <v>0</v>
      </c>
      <c r="AJ223" s="20"/>
    </row>
    <row r="224" spans="2:36">
      <c r="B224" s="11" t="s">
        <v>559</v>
      </c>
      <c r="C224" s="12" t="s">
        <v>560</v>
      </c>
      <c r="D224" s="12" t="s">
        <v>38</v>
      </c>
      <c r="E224" s="13" t="s">
        <v>39</v>
      </c>
      <c r="F224" s="14" t="str">
        <f>_xlfn.XLOOKUP(B224,'[1]Synthese suivi modernisation'!A:A,'[1]Synthese suivi modernisation'!S:S)</f>
        <v>TOUBA02</v>
      </c>
      <c r="G224" s="14" t="str">
        <f>_xlfn.XLOOKUP(B224,'[1]Synthese suivi modernisation'!A:A,'[1]Synthese suivi modernisation'!T:T)</f>
        <v>THIES</v>
      </c>
      <c r="H224" s="20" t="s">
        <v>180</v>
      </c>
      <c r="I224" s="20" t="s">
        <v>71</v>
      </c>
      <c r="J224" s="16" t="s">
        <v>180</v>
      </c>
      <c r="K224" s="24">
        <v>5000</v>
      </c>
      <c r="L224" s="14">
        <v>6</v>
      </c>
      <c r="M224" s="17" t="s">
        <v>73</v>
      </c>
      <c r="N224" s="16" t="s">
        <v>561</v>
      </c>
      <c r="O224" s="16">
        <v>33</v>
      </c>
      <c r="P224" s="18">
        <v>32</v>
      </c>
      <c r="Q224" s="20"/>
      <c r="R224" s="20"/>
      <c r="S224" s="19">
        <v>0.8</v>
      </c>
      <c r="T224" s="20">
        <f t="shared" si="19"/>
        <v>22.727272727272727</v>
      </c>
      <c r="U224" s="20">
        <v>0.27</v>
      </c>
      <c r="V224" s="20">
        <f t="shared" si="20"/>
        <v>1.62</v>
      </c>
      <c r="W224" s="20"/>
      <c r="X224" s="20"/>
      <c r="Y224" s="20">
        <f t="shared" si="21"/>
        <v>0</v>
      </c>
      <c r="Z224" s="21">
        <f t="shared" si="22"/>
        <v>-32</v>
      </c>
      <c r="AA224" s="20"/>
      <c r="AB224" s="20"/>
      <c r="AC224" s="20"/>
      <c r="AD224" s="20">
        <f t="shared" si="23"/>
        <v>0</v>
      </c>
      <c r="AE224" s="20"/>
      <c r="AF224" s="20"/>
      <c r="AG224" s="20"/>
      <c r="AH224" s="20"/>
      <c r="AI224" s="20">
        <f t="shared" si="24"/>
        <v>0</v>
      </c>
      <c r="AJ224" s="20"/>
    </row>
    <row r="225" spans="2:36">
      <c r="B225" s="11" t="s">
        <v>562</v>
      </c>
      <c r="C225" s="12" t="s">
        <v>563</v>
      </c>
      <c r="D225" s="12" t="s">
        <v>38</v>
      </c>
      <c r="E225" s="13" t="s">
        <v>39</v>
      </c>
      <c r="F225" s="14" t="str">
        <f>_xlfn.XLOOKUP(B225,'[1]Synthese suivi modernisation'!A:A,'[1]Synthese suivi modernisation'!S:S)</f>
        <v>KOLDA</v>
      </c>
      <c r="G225" s="14" t="str">
        <f>_xlfn.XLOOKUP(B225,'[1]Synthese suivi modernisation'!A:A,'[1]Synthese suivi modernisation'!T:T)</f>
        <v>ZIGUINCHOR</v>
      </c>
      <c r="H225" s="20" t="s">
        <v>180</v>
      </c>
      <c r="I225" s="20" t="s">
        <v>71</v>
      </c>
      <c r="J225" s="16" t="s">
        <v>180</v>
      </c>
      <c r="K225" s="24">
        <v>4000</v>
      </c>
      <c r="L225" s="14">
        <v>6</v>
      </c>
      <c r="M225" s="17" t="s">
        <v>73</v>
      </c>
      <c r="N225" s="16" t="s">
        <v>48</v>
      </c>
      <c r="O225" s="16">
        <v>22</v>
      </c>
      <c r="P225" s="18">
        <v>36.416666666666664</v>
      </c>
      <c r="Q225" s="20"/>
      <c r="R225" s="20"/>
      <c r="S225" s="19">
        <v>0.8</v>
      </c>
      <c r="T225" s="20">
        <f t="shared" si="19"/>
        <v>34.090909090909086</v>
      </c>
      <c r="U225" s="20">
        <v>0.27</v>
      </c>
      <c r="V225" s="20">
        <f t="shared" si="20"/>
        <v>1.62</v>
      </c>
      <c r="W225" s="20"/>
      <c r="X225" s="20"/>
      <c r="Y225" s="20">
        <f t="shared" si="21"/>
        <v>0</v>
      </c>
      <c r="Z225" s="21">
        <f t="shared" si="22"/>
        <v>-36.416666666666664</v>
      </c>
      <c r="AA225" s="20"/>
      <c r="AB225" s="20"/>
      <c r="AC225" s="20"/>
      <c r="AD225" s="20">
        <f t="shared" si="23"/>
        <v>0</v>
      </c>
      <c r="AE225" s="20"/>
      <c r="AF225" s="20"/>
      <c r="AG225" s="20"/>
      <c r="AH225" s="20"/>
      <c r="AI225" s="20">
        <f t="shared" si="24"/>
        <v>0</v>
      </c>
      <c r="AJ225" s="20"/>
    </row>
    <row r="226" spans="2:36">
      <c r="B226" s="11" t="s">
        <v>564</v>
      </c>
      <c r="C226" s="12" t="s">
        <v>565</v>
      </c>
      <c r="D226" s="12" t="s">
        <v>38</v>
      </c>
      <c r="E226" s="13" t="s">
        <v>39</v>
      </c>
      <c r="F226" s="14" t="str">
        <f>_xlfn.XLOOKUP(B226,'[1]Synthese suivi modernisation'!A:A,'[1]Synthese suivi modernisation'!S:S)</f>
        <v>MBOUR</v>
      </c>
      <c r="G226" s="14" t="str">
        <f>_xlfn.XLOOKUP(B226,'[1]Synthese suivi modernisation'!A:A,'[1]Synthese suivi modernisation'!T:T)</f>
        <v>DAKAR</v>
      </c>
      <c r="H226" s="20" t="s">
        <v>242</v>
      </c>
      <c r="I226" s="20" t="s">
        <v>143</v>
      </c>
      <c r="J226" s="16" t="s">
        <v>242</v>
      </c>
      <c r="K226" s="24">
        <v>5000</v>
      </c>
      <c r="L226" s="14">
        <v>6</v>
      </c>
      <c r="M226" s="17" t="s">
        <v>73</v>
      </c>
      <c r="N226" s="16" t="s">
        <v>566</v>
      </c>
      <c r="O226" s="16">
        <v>150</v>
      </c>
      <c r="P226" s="18">
        <v>64.833333333333329</v>
      </c>
      <c r="Q226" s="20"/>
      <c r="R226" s="20"/>
      <c r="S226" s="19">
        <v>0.8</v>
      </c>
      <c r="T226" s="20">
        <f t="shared" si="19"/>
        <v>5</v>
      </c>
      <c r="U226" s="20">
        <v>0.27</v>
      </c>
      <c r="V226" s="20">
        <f t="shared" si="20"/>
        <v>1.62</v>
      </c>
      <c r="W226" s="20"/>
      <c r="X226" s="20"/>
      <c r="Y226" s="20">
        <f t="shared" si="21"/>
        <v>0</v>
      </c>
      <c r="Z226" s="21">
        <f t="shared" si="22"/>
        <v>-64.833333333333329</v>
      </c>
      <c r="AA226" s="20"/>
      <c r="AB226" s="20"/>
      <c r="AC226" s="20"/>
      <c r="AD226" s="20">
        <f t="shared" si="23"/>
        <v>0</v>
      </c>
      <c r="AE226" s="20"/>
      <c r="AF226" s="20"/>
      <c r="AG226" s="20"/>
      <c r="AH226" s="20"/>
      <c r="AI226" s="20">
        <f t="shared" si="24"/>
        <v>0</v>
      </c>
      <c r="AJ226" s="20"/>
    </row>
    <row r="227" spans="2:36">
      <c r="B227" s="11" t="s">
        <v>567</v>
      </c>
      <c r="C227" s="12" t="s">
        <v>568</v>
      </c>
      <c r="D227" s="12" t="s">
        <v>38</v>
      </c>
      <c r="E227" s="13" t="s">
        <v>39</v>
      </c>
      <c r="F227" s="14" t="str">
        <f>_xlfn.XLOOKUP(B227,'[1]Synthese suivi modernisation'!A:A,'[1]Synthese suivi modernisation'!S:S)</f>
        <v>RUFISQUE</v>
      </c>
      <c r="G227" s="14" t="str">
        <f>_xlfn.XLOOKUP(B227,'[1]Synthese suivi modernisation'!A:A,'[1]Synthese suivi modernisation'!T:T)</f>
        <v>DAKAR</v>
      </c>
      <c r="H227" s="20" t="s">
        <v>142</v>
      </c>
      <c r="I227" s="20" t="s">
        <v>71</v>
      </c>
      <c r="J227" s="23" t="s">
        <v>70</v>
      </c>
      <c r="K227" s="24">
        <v>12000</v>
      </c>
      <c r="L227" s="14">
        <v>10</v>
      </c>
      <c r="M227" s="17" t="s">
        <v>73</v>
      </c>
      <c r="N227" s="16" t="s">
        <v>67</v>
      </c>
      <c r="O227" s="16">
        <v>50</v>
      </c>
      <c r="P227" s="18">
        <v>31.833333333333332</v>
      </c>
      <c r="Q227" s="20"/>
      <c r="R227" s="20"/>
      <c r="S227" s="19">
        <v>0.8</v>
      </c>
      <c r="T227" s="20">
        <f t="shared" si="19"/>
        <v>25</v>
      </c>
      <c r="U227" s="20">
        <v>0.27</v>
      </c>
      <c r="V227" s="20">
        <f t="shared" si="20"/>
        <v>2.7</v>
      </c>
      <c r="W227" s="20"/>
      <c r="X227" s="20"/>
      <c r="Y227" s="20">
        <f t="shared" si="21"/>
        <v>0</v>
      </c>
      <c r="Z227" s="21">
        <f t="shared" si="22"/>
        <v>-31.833333333333332</v>
      </c>
      <c r="AA227" s="20"/>
      <c r="AB227" s="20"/>
      <c r="AC227" s="20"/>
      <c r="AD227" s="20">
        <f t="shared" si="23"/>
        <v>0</v>
      </c>
      <c r="AE227" s="20"/>
      <c r="AF227" s="20"/>
      <c r="AG227" s="20"/>
      <c r="AH227" s="20"/>
      <c r="AI227" s="20">
        <f t="shared" si="24"/>
        <v>0</v>
      </c>
      <c r="AJ227" s="20"/>
    </row>
    <row r="228" spans="2:36">
      <c r="B228" s="11" t="s">
        <v>569</v>
      </c>
      <c r="C228" s="12" t="s">
        <v>570</v>
      </c>
      <c r="D228" s="12" t="s">
        <v>38</v>
      </c>
      <c r="E228" s="13" t="s">
        <v>39</v>
      </c>
      <c r="F228" s="14" t="str">
        <f>_xlfn.XLOOKUP(B228,'[1]Synthese suivi modernisation'!A:A,'[1]Synthese suivi modernisation'!S:S)</f>
        <v>SEDHIOU</v>
      </c>
      <c r="G228" s="14" t="str">
        <f>_xlfn.XLOOKUP(B228,'[1]Synthese suivi modernisation'!A:A,'[1]Synthese suivi modernisation'!T:T)</f>
        <v>ZIGUINCHOR</v>
      </c>
      <c r="H228" s="20" t="s">
        <v>70</v>
      </c>
      <c r="I228" s="20" t="s">
        <v>71</v>
      </c>
      <c r="J228" s="16" t="s">
        <v>70</v>
      </c>
      <c r="K228" s="24">
        <v>10000</v>
      </c>
      <c r="L228" s="14">
        <v>11</v>
      </c>
      <c r="M228" s="17" t="s">
        <v>73</v>
      </c>
      <c r="N228" s="16" t="s">
        <v>116</v>
      </c>
      <c r="O228" s="16">
        <v>66</v>
      </c>
      <c r="P228" s="18">
        <v>59.5</v>
      </c>
      <c r="Q228" s="20"/>
      <c r="R228" s="20"/>
      <c r="S228" s="19">
        <v>0.8</v>
      </c>
      <c r="T228" s="20">
        <f t="shared" si="19"/>
        <v>20.833333333333332</v>
      </c>
      <c r="U228" s="20">
        <v>0.27</v>
      </c>
      <c r="V228" s="20">
        <f t="shared" si="20"/>
        <v>2.97</v>
      </c>
      <c r="W228" s="20"/>
      <c r="X228" s="20"/>
      <c r="Y228" s="20">
        <f t="shared" si="21"/>
        <v>0</v>
      </c>
      <c r="Z228" s="21">
        <f t="shared" si="22"/>
        <v>-59.5</v>
      </c>
      <c r="AA228" s="20"/>
      <c r="AB228" s="20"/>
      <c r="AC228" s="20"/>
      <c r="AD228" s="20">
        <f t="shared" si="23"/>
        <v>0</v>
      </c>
      <c r="AE228" s="20"/>
      <c r="AF228" s="20"/>
      <c r="AG228" s="20"/>
      <c r="AH228" s="20"/>
      <c r="AI228" s="20">
        <f t="shared" si="24"/>
        <v>0</v>
      </c>
      <c r="AJ228" s="20"/>
    </row>
    <row r="229" spans="2:36">
      <c r="B229" s="11" t="s">
        <v>571</v>
      </c>
      <c r="C229" s="12" t="s">
        <v>572</v>
      </c>
      <c r="D229" s="12" t="s">
        <v>38</v>
      </c>
      <c r="E229" s="13" t="s">
        <v>39</v>
      </c>
      <c r="F229" s="14" t="str">
        <f>_xlfn.XLOOKUP(B229,'[1]Synthese suivi modernisation'!A:A,'[1]Synthese suivi modernisation'!S:S)</f>
        <v>MATAM</v>
      </c>
      <c r="G229" s="14" t="str">
        <f>_xlfn.XLOOKUP(B229,'[1]Synthese suivi modernisation'!A:A,'[1]Synthese suivi modernisation'!T:T)</f>
        <v>SAINT-LOUIS</v>
      </c>
      <c r="H229" s="20" t="s">
        <v>70</v>
      </c>
      <c r="I229" s="20" t="s">
        <v>71</v>
      </c>
      <c r="J229" s="16" t="s">
        <v>72</v>
      </c>
      <c r="K229" s="24">
        <v>6000</v>
      </c>
      <c r="L229" s="14">
        <v>6</v>
      </c>
      <c r="M229" s="17" t="s">
        <v>73</v>
      </c>
      <c r="N229" s="16" t="s">
        <v>96</v>
      </c>
      <c r="O229" s="16">
        <v>22</v>
      </c>
      <c r="P229" s="18">
        <v>0</v>
      </c>
      <c r="Q229" s="20"/>
      <c r="R229" s="20"/>
      <c r="S229" s="19">
        <v>0.8</v>
      </c>
      <c r="T229" s="20">
        <f t="shared" si="19"/>
        <v>34.090909090909086</v>
      </c>
      <c r="U229" s="20">
        <v>0.27</v>
      </c>
      <c r="V229" s="20">
        <f t="shared" si="20"/>
        <v>1.62</v>
      </c>
      <c r="W229" s="20"/>
      <c r="X229" s="20"/>
      <c r="Y229" s="20">
        <f t="shared" si="21"/>
        <v>0</v>
      </c>
      <c r="Z229" s="21">
        <f t="shared" si="22"/>
        <v>0</v>
      </c>
      <c r="AA229" s="20"/>
      <c r="AB229" s="20"/>
      <c r="AC229" s="20"/>
      <c r="AD229" s="20">
        <f t="shared" si="23"/>
        <v>0</v>
      </c>
      <c r="AE229" s="20"/>
      <c r="AF229" s="20"/>
      <c r="AG229" s="20"/>
      <c r="AH229" s="20"/>
      <c r="AI229" s="20">
        <f t="shared" si="24"/>
        <v>0</v>
      </c>
      <c r="AJ229" s="20"/>
    </row>
    <row r="230" spans="2:36">
      <c r="B230" s="11" t="s">
        <v>573</v>
      </c>
      <c r="C230" s="12" t="s">
        <v>574</v>
      </c>
      <c r="D230" s="12" t="s">
        <v>38</v>
      </c>
      <c r="E230" s="13" t="s">
        <v>39</v>
      </c>
      <c r="F230" s="14" t="str">
        <f>_xlfn.XLOOKUP(B230,'[1]Synthese suivi modernisation'!A:A,'[1]Synthese suivi modernisation'!S:S)</f>
        <v>ZIGUINCHOR</v>
      </c>
      <c r="G230" s="14" t="str">
        <f>_xlfn.XLOOKUP(B230,'[1]Synthese suivi modernisation'!A:A,'[1]Synthese suivi modernisation'!T:T)</f>
        <v>ZIGUINCHOR</v>
      </c>
      <c r="H230" s="20" t="s">
        <v>70</v>
      </c>
      <c r="I230" s="20" t="s">
        <v>71</v>
      </c>
      <c r="J230" s="16" t="s">
        <v>70</v>
      </c>
      <c r="K230" s="24">
        <v>6000</v>
      </c>
      <c r="L230" s="14">
        <v>6</v>
      </c>
      <c r="M230" s="17" t="s">
        <v>73</v>
      </c>
      <c r="N230" s="16" t="s">
        <v>139</v>
      </c>
      <c r="O230" s="16">
        <v>18</v>
      </c>
      <c r="P230" s="18">
        <v>32.75</v>
      </c>
      <c r="Q230" s="20"/>
      <c r="R230" s="20"/>
      <c r="S230" s="19">
        <v>0.8</v>
      </c>
      <c r="T230" s="20">
        <f t="shared" si="19"/>
        <v>41.666666666666664</v>
      </c>
      <c r="U230" s="20">
        <v>0.27</v>
      </c>
      <c r="V230" s="20">
        <f t="shared" si="20"/>
        <v>1.62</v>
      </c>
      <c r="W230" s="20"/>
      <c r="X230" s="20"/>
      <c r="Y230" s="20">
        <f t="shared" si="21"/>
        <v>0</v>
      </c>
      <c r="Z230" s="21">
        <f t="shared" si="22"/>
        <v>-32.75</v>
      </c>
      <c r="AA230" s="20"/>
      <c r="AB230" s="20"/>
      <c r="AC230" s="20"/>
      <c r="AD230" s="20">
        <f t="shared" si="23"/>
        <v>0</v>
      </c>
      <c r="AE230" s="20"/>
      <c r="AF230" s="20"/>
      <c r="AG230" s="20"/>
      <c r="AH230" s="20"/>
      <c r="AI230" s="20">
        <f t="shared" si="24"/>
        <v>0</v>
      </c>
      <c r="AJ230" s="20"/>
    </row>
    <row r="231" spans="2:36">
      <c r="B231" s="11" t="s">
        <v>575</v>
      </c>
      <c r="C231" s="12" t="s">
        <v>576</v>
      </c>
      <c r="D231" s="12" t="s">
        <v>38</v>
      </c>
      <c r="E231" s="13" t="s">
        <v>39</v>
      </c>
      <c r="F231" s="14" t="str">
        <f>_xlfn.XLOOKUP(B231,'[1]Synthese suivi modernisation'!A:A,'[1]Synthese suivi modernisation'!S:S)</f>
        <v>MATAM</v>
      </c>
      <c r="G231" s="14" t="str">
        <f>_xlfn.XLOOKUP(B231,'[1]Synthese suivi modernisation'!A:A,'[1]Synthese suivi modernisation'!T:T)</f>
        <v>SAINT-LOUIS</v>
      </c>
      <c r="H231" s="20" t="s">
        <v>70</v>
      </c>
      <c r="I231" s="20" t="s">
        <v>71</v>
      </c>
      <c r="J231" s="16" t="s">
        <v>70</v>
      </c>
      <c r="K231" s="24">
        <v>7000</v>
      </c>
      <c r="L231" s="14">
        <v>9</v>
      </c>
      <c r="M231" s="17" t="s">
        <v>73</v>
      </c>
      <c r="N231" s="16" t="s">
        <v>43</v>
      </c>
      <c r="O231" s="16">
        <v>30</v>
      </c>
      <c r="P231" s="18">
        <v>36.833333333333336</v>
      </c>
      <c r="Q231" s="20"/>
      <c r="R231" s="20"/>
      <c r="S231" s="19">
        <v>0.8</v>
      </c>
      <c r="T231" s="20">
        <f t="shared" si="19"/>
        <v>37.5</v>
      </c>
      <c r="U231" s="20">
        <v>0.27</v>
      </c>
      <c r="V231" s="20">
        <f t="shared" si="20"/>
        <v>2.4300000000000002</v>
      </c>
      <c r="W231" s="20"/>
      <c r="X231" s="20"/>
      <c r="Y231" s="20">
        <f t="shared" si="21"/>
        <v>0</v>
      </c>
      <c r="Z231" s="21">
        <f t="shared" si="22"/>
        <v>-36.833333333333336</v>
      </c>
      <c r="AA231" s="20"/>
      <c r="AB231" s="20"/>
      <c r="AC231" s="20"/>
      <c r="AD231" s="20">
        <f t="shared" si="23"/>
        <v>0</v>
      </c>
      <c r="AE231" s="20"/>
      <c r="AF231" s="20"/>
      <c r="AG231" s="20"/>
      <c r="AH231" s="20"/>
      <c r="AI231" s="20">
        <f t="shared" si="24"/>
        <v>0</v>
      </c>
      <c r="AJ231" s="20"/>
    </row>
    <row r="232" spans="2:36">
      <c r="B232" s="11" t="s">
        <v>577</v>
      </c>
      <c r="C232" s="12" t="s">
        <v>578</v>
      </c>
      <c r="D232" s="12" t="s">
        <v>38</v>
      </c>
      <c r="E232" s="13" t="s">
        <v>39</v>
      </c>
      <c r="F232" s="14" t="str">
        <f>_xlfn.XLOOKUP(B232,'[1]Synthese suivi modernisation'!A:A,'[1]Synthese suivi modernisation'!S:S)</f>
        <v>SAINT-LOUIS</v>
      </c>
      <c r="G232" s="14" t="str">
        <f>_xlfn.XLOOKUP(B232,'[1]Synthese suivi modernisation'!A:A,'[1]Synthese suivi modernisation'!T:T)</f>
        <v>SAINT-LOUIS</v>
      </c>
      <c r="H232" s="20" t="s">
        <v>40</v>
      </c>
      <c r="I232" s="14" t="s">
        <v>41</v>
      </c>
      <c r="J232" s="23" t="s">
        <v>40</v>
      </c>
      <c r="K232" s="24">
        <v>4000</v>
      </c>
      <c r="L232" s="14">
        <v>3.5</v>
      </c>
      <c r="M232" s="17" t="s">
        <v>73</v>
      </c>
      <c r="N232" s="16" t="s">
        <v>67</v>
      </c>
      <c r="O232" s="16">
        <v>50</v>
      </c>
      <c r="P232" s="18">
        <v>205.41666666666666</v>
      </c>
      <c r="Q232" s="20"/>
      <c r="R232" s="20"/>
      <c r="S232" s="19">
        <v>0.8</v>
      </c>
      <c r="T232" s="20">
        <f t="shared" si="19"/>
        <v>8.75</v>
      </c>
      <c r="U232" s="20">
        <v>0.27</v>
      </c>
      <c r="V232" s="20">
        <f t="shared" si="20"/>
        <v>0.94500000000000006</v>
      </c>
      <c r="W232" s="20"/>
      <c r="X232" s="20"/>
      <c r="Y232" s="20">
        <f t="shared" si="21"/>
        <v>0</v>
      </c>
      <c r="Z232" s="21">
        <f t="shared" si="22"/>
        <v>-205.41666666666666</v>
      </c>
      <c r="AA232" s="20"/>
      <c r="AB232" s="20"/>
      <c r="AC232" s="20"/>
      <c r="AD232" s="20">
        <f t="shared" si="23"/>
        <v>0</v>
      </c>
      <c r="AE232" s="20"/>
      <c r="AF232" s="20"/>
      <c r="AG232" s="20"/>
      <c r="AH232" s="20"/>
      <c r="AI232" s="20">
        <f t="shared" si="24"/>
        <v>0</v>
      </c>
      <c r="AJ232" s="20"/>
    </row>
    <row r="233" spans="2:36">
      <c r="B233" s="11" t="s">
        <v>579</v>
      </c>
      <c r="C233" s="12" t="s">
        <v>580</v>
      </c>
      <c r="D233" s="12" t="s">
        <v>38</v>
      </c>
      <c r="E233" s="13" t="s">
        <v>39</v>
      </c>
      <c r="F233" s="14" t="str">
        <f>_xlfn.XLOOKUP(B233,'[1]Synthese suivi modernisation'!A:A,'[1]Synthese suivi modernisation'!S:S)</f>
        <v>GOUDIRY</v>
      </c>
      <c r="G233" s="14" t="str">
        <f>_xlfn.XLOOKUP(B233,'[1]Synthese suivi modernisation'!A:A,'[1]Synthese suivi modernisation'!T:T)</f>
        <v>TAMBACOUNDA</v>
      </c>
      <c r="H233" s="20" t="s">
        <v>40</v>
      </c>
      <c r="I233" s="14" t="s">
        <v>41</v>
      </c>
      <c r="J233" s="16" t="s">
        <v>40</v>
      </c>
      <c r="K233" s="24">
        <v>3500</v>
      </c>
      <c r="L233" s="14">
        <v>2</v>
      </c>
      <c r="M233" s="17" t="s">
        <v>42</v>
      </c>
      <c r="N233" s="16" t="s">
        <v>85</v>
      </c>
      <c r="O233" s="16">
        <v>33</v>
      </c>
      <c r="P233" s="18">
        <v>75.583333333333329</v>
      </c>
      <c r="Q233" s="20"/>
      <c r="R233" s="20"/>
      <c r="S233" s="19">
        <v>0.8</v>
      </c>
      <c r="T233" s="20">
        <f t="shared" si="19"/>
        <v>7.5757575757575744</v>
      </c>
      <c r="U233" s="20">
        <v>0.27</v>
      </c>
      <c r="V233" s="20">
        <f t="shared" si="20"/>
        <v>0.54</v>
      </c>
      <c r="W233" s="20"/>
      <c r="X233" s="20"/>
      <c r="Y233" s="20">
        <f t="shared" si="21"/>
        <v>0</v>
      </c>
      <c r="Z233" s="21">
        <f t="shared" si="22"/>
        <v>-75.583333333333329</v>
      </c>
      <c r="AA233" s="20"/>
      <c r="AB233" s="20"/>
      <c r="AC233" s="20"/>
      <c r="AD233" s="20">
        <f t="shared" si="23"/>
        <v>0</v>
      </c>
      <c r="AE233" s="20"/>
      <c r="AF233" s="20"/>
      <c r="AG233" s="20"/>
      <c r="AH233" s="20"/>
      <c r="AI233" s="20">
        <f t="shared" si="24"/>
        <v>0</v>
      </c>
      <c r="AJ233" s="20"/>
    </row>
    <row r="234" spans="2:36">
      <c r="B234" s="11" t="s">
        <v>581</v>
      </c>
      <c r="C234" s="12" t="s">
        <v>582</v>
      </c>
      <c r="D234" s="12" t="s">
        <v>38</v>
      </c>
      <c r="E234" s="13" t="s">
        <v>39</v>
      </c>
      <c r="F234" s="14" t="str">
        <f>_xlfn.XLOOKUP(B234,'[1]Synthese suivi modernisation'!A:A,'[1]Synthese suivi modernisation'!S:S)</f>
        <v>MBOUR</v>
      </c>
      <c r="G234" s="14" t="str">
        <f>_xlfn.XLOOKUP(B234,'[1]Synthese suivi modernisation'!A:A,'[1]Synthese suivi modernisation'!T:T)</f>
        <v>THIES</v>
      </c>
      <c r="H234" s="20" t="s">
        <v>70</v>
      </c>
      <c r="I234" s="20" t="s">
        <v>71</v>
      </c>
      <c r="J234" s="16" t="s">
        <v>70</v>
      </c>
      <c r="K234" s="24">
        <v>7000</v>
      </c>
      <c r="L234" s="14">
        <v>13</v>
      </c>
      <c r="M234" s="17" t="s">
        <v>73</v>
      </c>
      <c r="N234" s="16" t="s">
        <v>63</v>
      </c>
      <c r="O234" s="16">
        <v>30</v>
      </c>
      <c r="P234" s="18">
        <v>45</v>
      </c>
      <c r="Q234" s="20"/>
      <c r="R234" s="20"/>
      <c r="S234" s="19">
        <v>0.8</v>
      </c>
      <c r="T234" s="20">
        <f t="shared" si="19"/>
        <v>54.166666666666664</v>
      </c>
      <c r="U234" s="20">
        <v>0.27</v>
      </c>
      <c r="V234" s="20">
        <f t="shared" si="20"/>
        <v>3.5100000000000002</v>
      </c>
      <c r="W234" s="20"/>
      <c r="X234" s="20"/>
      <c r="Y234" s="20">
        <f t="shared" si="21"/>
        <v>0</v>
      </c>
      <c r="Z234" s="21">
        <f t="shared" si="22"/>
        <v>-45</v>
      </c>
      <c r="AA234" s="20"/>
      <c r="AB234" s="20"/>
      <c r="AC234" s="20"/>
      <c r="AD234" s="20">
        <f t="shared" si="23"/>
        <v>0</v>
      </c>
      <c r="AE234" s="20"/>
      <c r="AF234" s="20"/>
      <c r="AG234" s="20"/>
      <c r="AH234" s="20"/>
      <c r="AI234" s="20">
        <f t="shared" si="24"/>
        <v>0</v>
      </c>
      <c r="AJ234" s="20"/>
    </row>
    <row r="235" spans="2:36">
      <c r="B235" s="11" t="s">
        <v>583</v>
      </c>
      <c r="C235" s="12" t="s">
        <v>584</v>
      </c>
      <c r="D235" s="12" t="s">
        <v>38</v>
      </c>
      <c r="E235" s="13" t="s">
        <v>39</v>
      </c>
      <c r="F235" s="14" t="str">
        <f>_xlfn.XLOOKUP(B235,'[1]Synthese suivi modernisation'!A:A,'[1]Synthese suivi modernisation'!S:S)</f>
        <v>MATAM</v>
      </c>
      <c r="G235" s="14" t="str">
        <f>_xlfn.XLOOKUP(B235,'[1]Synthese suivi modernisation'!A:A,'[1]Synthese suivi modernisation'!T:T)</f>
        <v>SAINT-LOUIS</v>
      </c>
      <c r="H235" s="20" t="s">
        <v>355</v>
      </c>
      <c r="I235" s="20" t="s">
        <v>71</v>
      </c>
      <c r="J235" s="16" t="s">
        <v>355</v>
      </c>
      <c r="K235" s="24">
        <v>7000</v>
      </c>
      <c r="L235" s="14">
        <v>8</v>
      </c>
      <c r="M235" s="17" t="s">
        <v>73</v>
      </c>
      <c r="N235" s="16" t="s">
        <v>48</v>
      </c>
      <c r="O235" s="16">
        <v>22</v>
      </c>
      <c r="P235" s="18">
        <v>39.25</v>
      </c>
      <c r="Q235" s="20"/>
      <c r="R235" s="20"/>
      <c r="S235" s="19">
        <v>0.8</v>
      </c>
      <c r="T235" s="20">
        <f t="shared" si="19"/>
        <v>45.454545454545453</v>
      </c>
      <c r="U235" s="20">
        <v>0.27</v>
      </c>
      <c r="V235" s="20">
        <f t="shared" si="20"/>
        <v>2.16</v>
      </c>
      <c r="W235" s="20"/>
      <c r="X235" s="20"/>
      <c r="Y235" s="20">
        <f t="shared" si="21"/>
        <v>0</v>
      </c>
      <c r="Z235" s="21">
        <f t="shared" si="22"/>
        <v>-39.25</v>
      </c>
      <c r="AA235" s="20"/>
      <c r="AB235" s="20"/>
      <c r="AC235" s="20"/>
      <c r="AD235" s="20">
        <f t="shared" si="23"/>
        <v>0</v>
      </c>
      <c r="AE235" s="20"/>
      <c r="AF235" s="20"/>
      <c r="AG235" s="20"/>
      <c r="AH235" s="20"/>
      <c r="AI235" s="20">
        <f t="shared" si="24"/>
        <v>0</v>
      </c>
      <c r="AJ235" s="20"/>
    </row>
    <row r="236" spans="2:36">
      <c r="B236" s="11" t="s">
        <v>585</v>
      </c>
      <c r="C236" s="12" t="s">
        <v>586</v>
      </c>
      <c r="D236" s="12" t="s">
        <v>38</v>
      </c>
      <c r="E236" s="13" t="s">
        <v>39</v>
      </c>
      <c r="F236" s="14" t="str">
        <f>_xlfn.XLOOKUP(B236,'[1]Synthese suivi modernisation'!A:A,'[1]Synthese suivi modernisation'!S:S)</f>
        <v>MBOUR</v>
      </c>
      <c r="G236" s="14" t="str">
        <f>_xlfn.XLOOKUP(B236,'[1]Synthese suivi modernisation'!A:A,'[1]Synthese suivi modernisation'!T:T)</f>
        <v>KAOLACK</v>
      </c>
      <c r="H236" s="20" t="s">
        <v>166</v>
      </c>
      <c r="I236" s="14" t="s">
        <v>41</v>
      </c>
      <c r="J236" s="16" t="s">
        <v>166</v>
      </c>
      <c r="K236" s="24">
        <v>4500</v>
      </c>
      <c r="L236" s="14">
        <v>5.5</v>
      </c>
      <c r="M236" s="17" t="s">
        <v>42</v>
      </c>
      <c r="N236" s="16" t="s">
        <v>67</v>
      </c>
      <c r="O236" s="16">
        <v>50</v>
      </c>
      <c r="P236" s="18">
        <v>695.5</v>
      </c>
      <c r="Q236" s="20"/>
      <c r="R236" s="20"/>
      <c r="S236" s="19">
        <v>0.8</v>
      </c>
      <c r="T236" s="20">
        <f t="shared" si="19"/>
        <v>13.750000000000002</v>
      </c>
      <c r="U236" s="20">
        <v>0.27</v>
      </c>
      <c r="V236" s="20">
        <f t="shared" si="20"/>
        <v>1.4850000000000001</v>
      </c>
      <c r="W236" s="20"/>
      <c r="X236" s="20"/>
      <c r="Y236" s="20">
        <f t="shared" si="21"/>
        <v>0</v>
      </c>
      <c r="Z236" s="21">
        <f t="shared" si="22"/>
        <v>-695.5</v>
      </c>
      <c r="AA236" s="20"/>
      <c r="AB236" s="20"/>
      <c r="AC236" s="20"/>
      <c r="AD236" s="20">
        <f t="shared" si="23"/>
        <v>0</v>
      </c>
      <c r="AE236" s="20"/>
      <c r="AF236" s="20"/>
      <c r="AG236" s="20"/>
      <c r="AH236" s="20"/>
      <c r="AI236" s="20">
        <f t="shared" si="24"/>
        <v>0</v>
      </c>
      <c r="AJ236" s="20"/>
    </row>
    <row r="237" spans="2:36">
      <c r="B237" s="11" t="s">
        <v>587</v>
      </c>
      <c r="C237" s="12" t="s">
        <v>588</v>
      </c>
      <c r="D237" s="12" t="s">
        <v>38</v>
      </c>
      <c r="E237" s="13" t="s">
        <v>39</v>
      </c>
      <c r="F237" s="14" t="str">
        <f>_xlfn.XLOOKUP(B237,'[1]Synthese suivi modernisation'!A:A,'[1]Synthese suivi modernisation'!S:S)</f>
        <v>DIOURBEL</v>
      </c>
      <c r="G237" s="14" t="str">
        <f>_xlfn.XLOOKUP(B237,'[1]Synthese suivi modernisation'!A:A,'[1]Synthese suivi modernisation'!T:T)</f>
        <v>THIES</v>
      </c>
      <c r="H237" s="20" t="s">
        <v>40</v>
      </c>
      <c r="I237" s="14" t="s">
        <v>41</v>
      </c>
      <c r="J237" s="16" t="s">
        <v>40</v>
      </c>
      <c r="K237" s="24">
        <v>3500</v>
      </c>
      <c r="L237" s="14">
        <v>5</v>
      </c>
      <c r="M237" s="17" t="s">
        <v>42</v>
      </c>
      <c r="N237" s="16" t="s">
        <v>48</v>
      </c>
      <c r="O237" s="16">
        <v>22</v>
      </c>
      <c r="P237" s="18">
        <v>547.66666666666663</v>
      </c>
      <c r="Q237" s="20"/>
      <c r="R237" s="20"/>
      <c r="S237" s="19">
        <v>0.8</v>
      </c>
      <c r="T237" s="20">
        <f t="shared" si="19"/>
        <v>28.409090909090907</v>
      </c>
      <c r="U237" s="20">
        <v>0.27</v>
      </c>
      <c r="V237" s="20">
        <f t="shared" si="20"/>
        <v>1.35</v>
      </c>
      <c r="W237" s="20"/>
      <c r="X237" s="20"/>
      <c r="Y237" s="20">
        <f t="shared" si="21"/>
        <v>0</v>
      </c>
      <c r="Z237" s="21">
        <f t="shared" si="22"/>
        <v>-547.66666666666663</v>
      </c>
      <c r="AA237" s="20"/>
      <c r="AB237" s="20"/>
      <c r="AC237" s="20"/>
      <c r="AD237" s="20">
        <f t="shared" si="23"/>
        <v>0</v>
      </c>
      <c r="AE237" s="20"/>
      <c r="AF237" s="20"/>
      <c r="AG237" s="20"/>
      <c r="AH237" s="20"/>
      <c r="AI237" s="20">
        <f t="shared" si="24"/>
        <v>0</v>
      </c>
      <c r="AJ237" s="20"/>
    </row>
    <row r="238" spans="2:36">
      <c r="B238" s="11" t="s">
        <v>589</v>
      </c>
      <c r="C238" s="12" t="s">
        <v>590</v>
      </c>
      <c r="D238" s="12" t="s">
        <v>38</v>
      </c>
      <c r="E238" s="13" t="s">
        <v>39</v>
      </c>
      <c r="F238" s="14" t="str">
        <f>_xlfn.XLOOKUP(B238,'[1]Synthese suivi modernisation'!A:A,'[1]Synthese suivi modernisation'!S:S)</f>
        <v>MBOUR</v>
      </c>
      <c r="G238" s="14" t="str">
        <f>_xlfn.XLOOKUP(B238,'[1]Synthese suivi modernisation'!A:A,'[1]Synthese suivi modernisation'!T:T)</f>
        <v>THIES</v>
      </c>
      <c r="H238" s="20" t="s">
        <v>70</v>
      </c>
      <c r="I238" s="20" t="s">
        <v>71</v>
      </c>
      <c r="J238" s="16" t="s">
        <v>70</v>
      </c>
      <c r="K238" s="24">
        <v>10000</v>
      </c>
      <c r="L238" s="14">
        <v>8</v>
      </c>
      <c r="M238" s="17" t="s">
        <v>73</v>
      </c>
      <c r="N238" s="16" t="s">
        <v>566</v>
      </c>
      <c r="O238" s="16">
        <v>150</v>
      </c>
      <c r="P238" s="18">
        <v>26.333333333333332</v>
      </c>
      <c r="Q238" s="20"/>
      <c r="R238" s="20"/>
      <c r="S238" s="19">
        <v>0.8</v>
      </c>
      <c r="T238" s="20">
        <f t="shared" si="19"/>
        <v>6.666666666666667</v>
      </c>
      <c r="U238" s="20">
        <v>0.27</v>
      </c>
      <c r="V238" s="20">
        <f t="shared" si="20"/>
        <v>2.16</v>
      </c>
      <c r="W238" s="20"/>
      <c r="X238" s="20"/>
      <c r="Y238" s="20">
        <f t="shared" si="21"/>
        <v>0</v>
      </c>
      <c r="Z238" s="21">
        <f t="shared" si="22"/>
        <v>-26.333333333333332</v>
      </c>
      <c r="AA238" s="20"/>
      <c r="AB238" s="20"/>
      <c r="AC238" s="20"/>
      <c r="AD238" s="20">
        <f t="shared" si="23"/>
        <v>0</v>
      </c>
      <c r="AE238" s="20"/>
      <c r="AF238" s="20"/>
      <c r="AG238" s="20"/>
      <c r="AH238" s="20"/>
      <c r="AI238" s="20">
        <f t="shared" si="24"/>
        <v>0</v>
      </c>
      <c r="AJ238" s="20"/>
    </row>
    <row r="239" spans="2:36">
      <c r="B239" s="11" t="s">
        <v>591</v>
      </c>
      <c r="C239" s="12" t="s">
        <v>592</v>
      </c>
      <c r="D239" s="12" t="s">
        <v>38</v>
      </c>
      <c r="E239" s="13" t="s">
        <v>39</v>
      </c>
      <c r="F239" s="14" t="str">
        <f>_xlfn.XLOOKUP(B239,'[1]Synthese suivi modernisation'!A:A,'[1]Synthese suivi modernisation'!S:S)</f>
        <v>SACRE_COEUR</v>
      </c>
      <c r="G239" s="14" t="str">
        <f>_xlfn.XLOOKUP(B239,'[1]Synthese suivi modernisation'!A:A,'[1]Synthese suivi modernisation'!T:T)</f>
        <v>DAKAR</v>
      </c>
      <c r="H239" s="20" t="s">
        <v>142</v>
      </c>
      <c r="I239" s="20" t="s">
        <v>143</v>
      </c>
      <c r="J239" s="16" t="s">
        <v>142</v>
      </c>
      <c r="K239" s="24">
        <v>12000</v>
      </c>
      <c r="L239" s="14">
        <v>13</v>
      </c>
      <c r="M239" s="17" t="s">
        <v>73</v>
      </c>
      <c r="N239" s="16" t="s">
        <v>593</v>
      </c>
      <c r="O239" s="16">
        <v>1250</v>
      </c>
      <c r="P239" s="18">
        <v>0</v>
      </c>
      <c r="Q239" s="20"/>
      <c r="R239" s="20"/>
      <c r="S239" s="19">
        <v>0.8</v>
      </c>
      <c r="T239" s="20">
        <f t="shared" si="19"/>
        <v>1.3</v>
      </c>
      <c r="U239" s="20">
        <v>0.27</v>
      </c>
      <c r="V239" s="20">
        <f t="shared" si="20"/>
        <v>3.5100000000000002</v>
      </c>
      <c r="W239" s="20"/>
      <c r="X239" s="20"/>
      <c r="Y239" s="20">
        <f t="shared" si="21"/>
        <v>0</v>
      </c>
      <c r="Z239" s="21">
        <f t="shared" si="22"/>
        <v>0</v>
      </c>
      <c r="AA239" s="20"/>
      <c r="AB239" s="20"/>
      <c r="AC239" s="20"/>
      <c r="AD239" s="20">
        <f t="shared" si="23"/>
        <v>0</v>
      </c>
      <c r="AE239" s="20"/>
      <c r="AF239" s="20"/>
      <c r="AG239" s="20"/>
      <c r="AH239" s="20"/>
      <c r="AI239" s="20">
        <f t="shared" si="24"/>
        <v>0</v>
      </c>
      <c r="AJ239" s="20"/>
    </row>
    <row r="240" spans="2:36">
      <c r="B240" s="11" t="s">
        <v>594</v>
      </c>
      <c r="C240" s="12" t="s">
        <v>595</v>
      </c>
      <c r="D240" s="12" t="s">
        <v>38</v>
      </c>
      <c r="E240" s="13" t="s">
        <v>39</v>
      </c>
      <c r="F240" s="14" t="str">
        <f>_xlfn.XLOOKUP(B240,'[1]Synthese suivi modernisation'!A:A,'[1]Synthese suivi modernisation'!S:S)</f>
        <v>SOKONE</v>
      </c>
      <c r="G240" s="14" t="str">
        <f>_xlfn.XLOOKUP(B240,'[1]Synthese suivi modernisation'!A:A,'[1]Synthese suivi modernisation'!T:T)</f>
        <v>KAOLACK</v>
      </c>
      <c r="H240" s="20" t="s">
        <v>66</v>
      </c>
      <c r="I240" s="14" t="s">
        <v>41</v>
      </c>
      <c r="J240" s="16" t="s">
        <v>66</v>
      </c>
      <c r="K240" s="24">
        <v>5000</v>
      </c>
      <c r="L240" s="14">
        <v>6</v>
      </c>
      <c r="M240" s="17" t="s">
        <v>42</v>
      </c>
      <c r="N240" s="16" t="s">
        <v>67</v>
      </c>
      <c r="O240" s="16">
        <v>50</v>
      </c>
      <c r="P240" s="18">
        <v>715.08333333333337</v>
      </c>
      <c r="Q240" s="20"/>
      <c r="R240" s="20"/>
      <c r="S240" s="19">
        <v>0.8</v>
      </c>
      <c r="T240" s="20">
        <f t="shared" si="19"/>
        <v>15</v>
      </c>
      <c r="U240" s="20">
        <v>0.27</v>
      </c>
      <c r="V240" s="20">
        <f t="shared" si="20"/>
        <v>1.62</v>
      </c>
      <c r="W240" s="20"/>
      <c r="X240" s="20"/>
      <c r="Y240" s="20">
        <f t="shared" si="21"/>
        <v>0</v>
      </c>
      <c r="Z240" s="21">
        <f t="shared" si="22"/>
        <v>-715.08333333333337</v>
      </c>
      <c r="AA240" s="20"/>
      <c r="AB240" s="20"/>
      <c r="AC240" s="20"/>
      <c r="AD240" s="20">
        <f t="shared" si="23"/>
        <v>0</v>
      </c>
      <c r="AE240" s="20"/>
      <c r="AF240" s="20"/>
      <c r="AG240" s="20"/>
      <c r="AH240" s="20"/>
      <c r="AI240" s="20">
        <f t="shared" si="24"/>
        <v>0</v>
      </c>
      <c r="AJ240" s="20"/>
    </row>
    <row r="241" spans="2:36">
      <c r="B241" s="11" t="s">
        <v>596</v>
      </c>
      <c r="C241" s="12" t="s">
        <v>597</v>
      </c>
      <c r="D241" s="12" t="s">
        <v>38</v>
      </c>
      <c r="E241" s="13" t="s">
        <v>39</v>
      </c>
      <c r="F241" s="14" t="str">
        <f>_xlfn.XLOOKUP(B241,'[1]Synthese suivi modernisation'!A:A,'[1]Synthese suivi modernisation'!S:S)</f>
        <v>MBOUR</v>
      </c>
      <c r="G241" s="14" t="str">
        <f>_xlfn.XLOOKUP(B241,'[1]Synthese suivi modernisation'!A:A,'[1]Synthese suivi modernisation'!T:T)</f>
        <v>THIES</v>
      </c>
      <c r="H241" s="20" t="s">
        <v>40</v>
      </c>
      <c r="I241" s="14" t="s">
        <v>41</v>
      </c>
      <c r="J241" s="16" t="s">
        <v>40</v>
      </c>
      <c r="K241" s="24">
        <v>1250</v>
      </c>
      <c r="L241" s="14">
        <v>3</v>
      </c>
      <c r="M241" s="17" t="s">
        <v>42</v>
      </c>
      <c r="N241" s="16" t="s">
        <v>80</v>
      </c>
      <c r="O241" s="16">
        <v>33</v>
      </c>
      <c r="P241" s="18">
        <v>290.66666666666669</v>
      </c>
      <c r="Q241" s="20"/>
      <c r="R241" s="20"/>
      <c r="S241" s="19">
        <v>0.8</v>
      </c>
      <c r="T241" s="20">
        <f t="shared" si="19"/>
        <v>11.363636363636363</v>
      </c>
      <c r="U241" s="20">
        <v>0.27</v>
      </c>
      <c r="V241" s="20">
        <f t="shared" si="20"/>
        <v>0.81</v>
      </c>
      <c r="W241" s="20"/>
      <c r="X241" s="20"/>
      <c r="Y241" s="20">
        <f t="shared" si="21"/>
        <v>0</v>
      </c>
      <c r="Z241" s="21">
        <f t="shared" si="22"/>
        <v>-290.66666666666669</v>
      </c>
      <c r="AA241" s="20"/>
      <c r="AB241" s="20"/>
      <c r="AC241" s="20"/>
      <c r="AD241" s="20">
        <f t="shared" si="23"/>
        <v>0</v>
      </c>
      <c r="AE241" s="20"/>
      <c r="AF241" s="20"/>
      <c r="AG241" s="20"/>
      <c r="AH241" s="20"/>
      <c r="AI241" s="20">
        <f t="shared" si="24"/>
        <v>0</v>
      </c>
      <c r="AJ241" s="20"/>
    </row>
    <row r="242" spans="2:36">
      <c r="B242" s="11" t="s">
        <v>598</v>
      </c>
      <c r="C242" s="12" t="s">
        <v>599</v>
      </c>
      <c r="D242" s="12" t="s">
        <v>38</v>
      </c>
      <c r="E242" s="13" t="s">
        <v>39</v>
      </c>
      <c r="F242" s="14" t="str">
        <f>_xlfn.XLOOKUP(B242,'[1]Synthese suivi modernisation'!A:A,'[1]Synthese suivi modernisation'!S:S)</f>
        <v>VELINGARA</v>
      </c>
      <c r="G242" s="14" t="str">
        <f>_xlfn.XLOOKUP(B242,'[1]Synthese suivi modernisation'!A:A,'[1]Synthese suivi modernisation'!T:T)</f>
        <v>ZIGUINCHOR</v>
      </c>
      <c r="H242" s="20" t="s">
        <v>54</v>
      </c>
      <c r="I242" s="14" t="s">
        <v>41</v>
      </c>
      <c r="J242" s="23" t="s">
        <v>40</v>
      </c>
      <c r="K242" s="24">
        <v>1500</v>
      </c>
      <c r="L242" s="14">
        <v>2.5</v>
      </c>
      <c r="M242" s="17" t="s">
        <v>42</v>
      </c>
      <c r="N242" s="16" t="s">
        <v>55</v>
      </c>
      <c r="O242" s="16">
        <v>33</v>
      </c>
      <c r="P242" s="18">
        <v>109.33333333333333</v>
      </c>
      <c r="Q242" s="20"/>
      <c r="R242" s="20"/>
      <c r="S242" s="19">
        <v>0.8</v>
      </c>
      <c r="T242" s="20">
        <f t="shared" si="19"/>
        <v>9.4696969696969688</v>
      </c>
      <c r="U242" s="20">
        <v>0.27</v>
      </c>
      <c r="V242" s="20">
        <f t="shared" si="20"/>
        <v>0.67500000000000004</v>
      </c>
      <c r="W242" s="20"/>
      <c r="X242" s="20"/>
      <c r="Y242" s="20">
        <f t="shared" si="21"/>
        <v>0</v>
      </c>
      <c r="Z242" s="21">
        <f t="shared" si="22"/>
        <v>-109.33333333333333</v>
      </c>
      <c r="AA242" s="20"/>
      <c r="AB242" s="20"/>
      <c r="AC242" s="20"/>
      <c r="AD242" s="20">
        <f t="shared" si="23"/>
        <v>0</v>
      </c>
      <c r="AE242" s="20"/>
      <c r="AF242" s="20"/>
      <c r="AG242" s="20"/>
      <c r="AH242" s="20"/>
      <c r="AI242" s="20">
        <f t="shared" si="24"/>
        <v>0</v>
      </c>
      <c r="AJ242" s="20"/>
    </row>
    <row r="243" spans="2:36">
      <c r="B243" s="11" t="s">
        <v>600</v>
      </c>
      <c r="C243" s="12" t="s">
        <v>601</v>
      </c>
      <c r="D243" s="12" t="s">
        <v>38</v>
      </c>
      <c r="E243" s="13" t="s">
        <v>39</v>
      </c>
      <c r="F243" s="14" t="str">
        <f>_xlfn.XLOOKUP(B243,'[1]Synthese suivi modernisation'!A:A,'[1]Synthese suivi modernisation'!S:S)</f>
        <v>SOKONE</v>
      </c>
      <c r="G243" s="14" t="str">
        <f>_xlfn.XLOOKUP(B243,'[1]Synthese suivi modernisation'!A:A,'[1]Synthese suivi modernisation'!T:T)</f>
        <v>KAOLACK</v>
      </c>
      <c r="H243" s="20" t="s">
        <v>40</v>
      </c>
      <c r="I243" s="14" t="s">
        <v>41</v>
      </c>
      <c r="J243" s="16" t="s">
        <v>40</v>
      </c>
      <c r="K243" s="24">
        <v>2250</v>
      </c>
      <c r="L243" s="14">
        <v>4.5</v>
      </c>
      <c r="M243" s="17" t="s">
        <v>42</v>
      </c>
      <c r="N243" s="16" t="s">
        <v>163</v>
      </c>
      <c r="O243" s="16">
        <v>30</v>
      </c>
      <c r="P243" s="18">
        <v>660.25</v>
      </c>
      <c r="Q243" s="20"/>
      <c r="R243" s="20"/>
      <c r="S243" s="19">
        <v>0.8</v>
      </c>
      <c r="T243" s="20">
        <f t="shared" si="19"/>
        <v>18.75</v>
      </c>
      <c r="U243" s="20">
        <v>0.27</v>
      </c>
      <c r="V243" s="20">
        <f t="shared" si="20"/>
        <v>1.2150000000000001</v>
      </c>
      <c r="W243" s="20"/>
      <c r="X243" s="20"/>
      <c r="Y243" s="20">
        <f t="shared" si="21"/>
        <v>0</v>
      </c>
      <c r="Z243" s="21">
        <f t="shared" si="22"/>
        <v>-660.25</v>
      </c>
      <c r="AA243" s="20"/>
      <c r="AB243" s="20"/>
      <c r="AC243" s="20"/>
      <c r="AD243" s="20">
        <f t="shared" si="23"/>
        <v>0</v>
      </c>
      <c r="AE243" s="20"/>
      <c r="AF243" s="20"/>
      <c r="AG243" s="20"/>
      <c r="AH243" s="20"/>
      <c r="AI243" s="20">
        <f t="shared" si="24"/>
        <v>0</v>
      </c>
      <c r="AJ243" s="20"/>
    </row>
    <row r="244" spans="2:36">
      <c r="B244" s="11" t="s">
        <v>602</v>
      </c>
      <c r="C244" s="12" t="s">
        <v>603</v>
      </c>
      <c r="D244" s="12" t="s">
        <v>38</v>
      </c>
      <c r="E244" s="13" t="s">
        <v>39</v>
      </c>
      <c r="F244" s="14" t="str">
        <f>_xlfn.XLOOKUP(B244,'[1]Synthese suivi modernisation'!A:A,'[1]Synthese suivi modernisation'!S:S)</f>
        <v>TOUBA02</v>
      </c>
      <c r="G244" s="14" t="str">
        <f>_xlfn.XLOOKUP(B244,'[1]Synthese suivi modernisation'!A:A,'[1]Synthese suivi modernisation'!T:T)</f>
        <v>THIES</v>
      </c>
      <c r="H244" s="20" t="s">
        <v>70</v>
      </c>
      <c r="I244" s="20" t="s">
        <v>71</v>
      </c>
      <c r="J244" s="16" t="s">
        <v>70</v>
      </c>
      <c r="K244" s="24">
        <v>5000</v>
      </c>
      <c r="L244" s="14">
        <v>6</v>
      </c>
      <c r="M244" s="17" t="s">
        <v>73</v>
      </c>
      <c r="N244" s="16" t="s">
        <v>63</v>
      </c>
      <c r="O244" s="16">
        <v>30</v>
      </c>
      <c r="P244" s="18">
        <v>29.416666666666668</v>
      </c>
      <c r="Q244" s="20"/>
      <c r="R244" s="20"/>
      <c r="S244" s="19">
        <v>0.8</v>
      </c>
      <c r="T244" s="20">
        <f t="shared" si="19"/>
        <v>25</v>
      </c>
      <c r="U244" s="20">
        <v>0.27</v>
      </c>
      <c r="V244" s="20">
        <f t="shared" si="20"/>
        <v>1.62</v>
      </c>
      <c r="W244" s="20"/>
      <c r="X244" s="20"/>
      <c r="Y244" s="20">
        <f t="shared" si="21"/>
        <v>0</v>
      </c>
      <c r="Z244" s="21">
        <f t="shared" si="22"/>
        <v>-29.416666666666668</v>
      </c>
      <c r="AA244" s="20"/>
      <c r="AB244" s="20"/>
      <c r="AC244" s="20"/>
      <c r="AD244" s="20">
        <f t="shared" si="23"/>
        <v>0</v>
      </c>
      <c r="AE244" s="20"/>
      <c r="AF244" s="20"/>
      <c r="AG244" s="20"/>
      <c r="AH244" s="20"/>
      <c r="AI244" s="20">
        <f t="shared" si="24"/>
        <v>0</v>
      </c>
      <c r="AJ244" s="20"/>
    </row>
    <row r="245" spans="2:36">
      <c r="B245" s="11" t="s">
        <v>604</v>
      </c>
      <c r="C245" s="12" t="s">
        <v>605</v>
      </c>
      <c r="D245" s="12" t="s">
        <v>38</v>
      </c>
      <c r="E245" s="13" t="s">
        <v>39</v>
      </c>
      <c r="F245" s="14" t="str">
        <f>_xlfn.XLOOKUP(B245,'[1]Synthese suivi modernisation'!A:A,'[1]Synthese suivi modernisation'!S:S)</f>
        <v>TAMBA</v>
      </c>
      <c r="G245" s="14" t="str">
        <f>_xlfn.XLOOKUP(B245,'[1]Synthese suivi modernisation'!A:A,'[1]Synthese suivi modernisation'!T:T)</f>
        <v>TAMBACOUNDA</v>
      </c>
      <c r="H245" s="20" t="s">
        <v>257</v>
      </c>
      <c r="I245" s="20" t="s">
        <v>71</v>
      </c>
      <c r="J245" s="23" t="s">
        <v>606</v>
      </c>
      <c r="K245" s="24">
        <v>5000</v>
      </c>
      <c r="L245" s="14">
        <v>5.5</v>
      </c>
      <c r="M245" s="17" t="s">
        <v>73</v>
      </c>
      <c r="N245" s="16" t="s">
        <v>55</v>
      </c>
      <c r="O245" s="16">
        <v>33</v>
      </c>
      <c r="P245" s="18">
        <v>43.583333333333336</v>
      </c>
      <c r="Q245" s="20"/>
      <c r="R245" s="20"/>
      <c r="S245" s="19">
        <v>0.8</v>
      </c>
      <c r="T245" s="20">
        <f t="shared" si="19"/>
        <v>20.833333333333332</v>
      </c>
      <c r="U245" s="20">
        <v>0.27</v>
      </c>
      <c r="V245" s="20">
        <f t="shared" si="20"/>
        <v>1.4850000000000001</v>
      </c>
      <c r="W245" s="20"/>
      <c r="X245" s="20"/>
      <c r="Y245" s="20">
        <f t="shared" si="21"/>
        <v>0</v>
      </c>
      <c r="Z245" s="21">
        <f t="shared" si="22"/>
        <v>-43.583333333333336</v>
      </c>
      <c r="AA245" s="20"/>
      <c r="AB245" s="20"/>
      <c r="AC245" s="20"/>
      <c r="AD245" s="20">
        <f t="shared" si="23"/>
        <v>0</v>
      </c>
      <c r="AE245" s="20"/>
      <c r="AF245" s="20"/>
      <c r="AG245" s="20"/>
      <c r="AH245" s="20"/>
      <c r="AI245" s="20">
        <f t="shared" si="24"/>
        <v>0</v>
      </c>
      <c r="AJ245" s="20"/>
    </row>
    <row r="246" spans="2:36">
      <c r="B246" s="11" t="s">
        <v>607</v>
      </c>
      <c r="C246" s="12" t="s">
        <v>608</v>
      </c>
      <c r="D246" s="12" t="s">
        <v>38</v>
      </c>
      <c r="E246" s="13" t="s">
        <v>39</v>
      </c>
      <c r="F246" s="14" t="str">
        <f>_xlfn.XLOOKUP(B246,'[1]Synthese suivi modernisation'!A:A,'[1]Synthese suivi modernisation'!S:S)</f>
        <v>KOLDA</v>
      </c>
      <c r="G246" s="14" t="str">
        <f>_xlfn.XLOOKUP(B246,'[1]Synthese suivi modernisation'!A:A,'[1]Synthese suivi modernisation'!T:T)</f>
        <v>ZIGUINCHOR</v>
      </c>
      <c r="H246" s="20" t="s">
        <v>70</v>
      </c>
      <c r="I246" s="20" t="s">
        <v>71</v>
      </c>
      <c r="J246" s="16" t="s">
        <v>70</v>
      </c>
      <c r="K246" s="24">
        <v>8000</v>
      </c>
      <c r="L246" s="14">
        <v>8</v>
      </c>
      <c r="M246" s="17" t="s">
        <v>73</v>
      </c>
      <c r="N246" s="16" t="s">
        <v>101</v>
      </c>
      <c r="O246" s="16">
        <v>50</v>
      </c>
      <c r="P246" s="18">
        <v>36.916666666666664</v>
      </c>
      <c r="Q246" s="20"/>
      <c r="R246" s="20"/>
      <c r="S246" s="19">
        <v>0.8</v>
      </c>
      <c r="T246" s="20">
        <f t="shared" si="19"/>
        <v>20</v>
      </c>
      <c r="U246" s="20">
        <v>0.27</v>
      </c>
      <c r="V246" s="20">
        <f t="shared" si="20"/>
        <v>2.16</v>
      </c>
      <c r="W246" s="20"/>
      <c r="X246" s="20"/>
      <c r="Y246" s="20">
        <f t="shared" si="21"/>
        <v>0</v>
      </c>
      <c r="Z246" s="21">
        <f t="shared" si="22"/>
        <v>-36.916666666666664</v>
      </c>
      <c r="AA246" s="20"/>
      <c r="AB246" s="20"/>
      <c r="AC246" s="20"/>
      <c r="AD246" s="20">
        <f t="shared" si="23"/>
        <v>0</v>
      </c>
      <c r="AE246" s="20"/>
      <c r="AF246" s="20"/>
      <c r="AG246" s="20"/>
      <c r="AH246" s="20"/>
      <c r="AI246" s="20">
        <f t="shared" si="24"/>
        <v>0</v>
      </c>
      <c r="AJ246" s="20"/>
    </row>
    <row r="247" spans="2:36">
      <c r="B247" s="11" t="s">
        <v>609</v>
      </c>
      <c r="C247" s="12" t="s">
        <v>610</v>
      </c>
      <c r="D247" s="12" t="s">
        <v>38</v>
      </c>
      <c r="E247" s="13" t="s">
        <v>39</v>
      </c>
      <c r="F247" s="14" t="str">
        <f>_xlfn.XLOOKUP(B247,'[1]Synthese suivi modernisation'!A:A,'[1]Synthese suivi modernisation'!S:S)</f>
        <v>FATICK</v>
      </c>
      <c r="G247" s="14" t="str">
        <f>_xlfn.XLOOKUP(B247,'[1]Synthese suivi modernisation'!A:A,'[1]Synthese suivi modernisation'!T:T)</f>
        <v>KAOLACK</v>
      </c>
      <c r="H247" s="20" t="s">
        <v>40</v>
      </c>
      <c r="I247" s="14" t="s">
        <v>41</v>
      </c>
      <c r="J247" s="16" t="s">
        <v>40</v>
      </c>
      <c r="K247" s="24">
        <v>3500</v>
      </c>
      <c r="L247" s="14">
        <v>4.5</v>
      </c>
      <c r="M247" s="17" t="s">
        <v>42</v>
      </c>
      <c r="N247" s="16" t="s">
        <v>80</v>
      </c>
      <c r="O247" s="16">
        <v>33</v>
      </c>
      <c r="P247" s="18">
        <v>614.16666666666663</v>
      </c>
      <c r="Q247" s="20"/>
      <c r="R247" s="20"/>
      <c r="S247" s="19">
        <v>0.8</v>
      </c>
      <c r="T247" s="20">
        <f t="shared" si="19"/>
        <v>17.045454545454543</v>
      </c>
      <c r="U247" s="20">
        <v>0.27</v>
      </c>
      <c r="V247" s="20">
        <f t="shared" si="20"/>
        <v>1.2150000000000001</v>
      </c>
      <c r="W247" s="20"/>
      <c r="X247" s="20"/>
      <c r="Y247" s="20">
        <f t="shared" si="21"/>
        <v>0</v>
      </c>
      <c r="Z247" s="21">
        <f t="shared" si="22"/>
        <v>-614.16666666666663</v>
      </c>
      <c r="AA247" s="20"/>
      <c r="AB247" s="20"/>
      <c r="AC247" s="20"/>
      <c r="AD247" s="20">
        <f t="shared" si="23"/>
        <v>0</v>
      </c>
      <c r="AE247" s="20"/>
      <c r="AF247" s="20"/>
      <c r="AG247" s="20"/>
      <c r="AH247" s="20"/>
      <c r="AI247" s="20">
        <f t="shared" si="24"/>
        <v>0</v>
      </c>
      <c r="AJ247" s="20"/>
    </row>
    <row r="248" spans="2:36">
      <c r="B248" s="11" t="s">
        <v>611</v>
      </c>
      <c r="C248" s="12" t="s">
        <v>612</v>
      </c>
      <c r="D248" s="12" t="s">
        <v>38</v>
      </c>
      <c r="E248" s="13" t="s">
        <v>39</v>
      </c>
      <c r="F248" s="14" t="str">
        <f>_xlfn.XLOOKUP(B248,'[1]Synthese suivi modernisation'!A:A,'[1]Synthese suivi modernisation'!S:S)</f>
        <v>ZIGUINCHOR</v>
      </c>
      <c r="G248" s="14" t="str">
        <f>_xlfn.XLOOKUP(B248,'[1]Synthese suivi modernisation'!A:A,'[1]Synthese suivi modernisation'!T:T)</f>
        <v>ZIGUINCHOR</v>
      </c>
      <c r="H248" s="20" t="s">
        <v>40</v>
      </c>
      <c r="I248" s="14" t="s">
        <v>41</v>
      </c>
      <c r="J248" s="16" t="s">
        <v>40</v>
      </c>
      <c r="K248" s="24">
        <v>4000</v>
      </c>
      <c r="L248" s="14">
        <v>1.5</v>
      </c>
      <c r="M248" s="17" t="s">
        <v>42</v>
      </c>
      <c r="N248" s="16" t="s">
        <v>85</v>
      </c>
      <c r="O248" s="16">
        <v>33</v>
      </c>
      <c r="P248" s="18">
        <v>106</v>
      </c>
      <c r="Q248" s="20"/>
      <c r="R248" s="20"/>
      <c r="S248" s="19">
        <v>0.8</v>
      </c>
      <c r="T248" s="20">
        <f t="shared" si="19"/>
        <v>5.6818181818181817</v>
      </c>
      <c r="U248" s="20">
        <v>0.27</v>
      </c>
      <c r="V248" s="20">
        <f t="shared" si="20"/>
        <v>0.40500000000000003</v>
      </c>
      <c r="W248" s="20"/>
      <c r="X248" s="20"/>
      <c r="Y248" s="20">
        <f t="shared" si="21"/>
        <v>0</v>
      </c>
      <c r="Z248" s="21">
        <f t="shared" si="22"/>
        <v>-106</v>
      </c>
      <c r="AA248" s="20"/>
      <c r="AB248" s="20"/>
      <c r="AC248" s="20"/>
      <c r="AD248" s="20">
        <f t="shared" si="23"/>
        <v>0</v>
      </c>
      <c r="AE248" s="20"/>
      <c r="AF248" s="20"/>
      <c r="AG248" s="20"/>
      <c r="AH248" s="20"/>
      <c r="AI248" s="20">
        <f t="shared" si="24"/>
        <v>0</v>
      </c>
      <c r="AJ248" s="20"/>
    </row>
    <row r="249" spans="2:36">
      <c r="B249" s="11" t="s">
        <v>613</v>
      </c>
      <c r="C249" s="12" t="s">
        <v>614</v>
      </c>
      <c r="D249" s="12" t="s">
        <v>38</v>
      </c>
      <c r="E249" s="13" t="s">
        <v>39</v>
      </c>
      <c r="F249" s="14" t="str">
        <f>_xlfn.XLOOKUP(B249,'[1]Synthese suivi modernisation'!A:A,'[1]Synthese suivi modernisation'!S:S)</f>
        <v>THIES</v>
      </c>
      <c r="G249" s="14" t="str">
        <f>_xlfn.XLOOKUP(B249,'[1]Synthese suivi modernisation'!A:A,'[1]Synthese suivi modernisation'!T:T)</f>
        <v>THIES</v>
      </c>
      <c r="H249" s="20" t="s">
        <v>147</v>
      </c>
      <c r="I249" s="14" t="s">
        <v>41</v>
      </c>
      <c r="J249" s="16" t="s">
        <v>147</v>
      </c>
      <c r="K249" s="24">
        <v>3500</v>
      </c>
      <c r="L249" s="14">
        <v>2.5</v>
      </c>
      <c r="M249" s="17" t="s">
        <v>42</v>
      </c>
      <c r="N249" s="16" t="s">
        <v>51</v>
      </c>
      <c r="O249" s="16">
        <v>22</v>
      </c>
      <c r="P249" s="18">
        <v>254.33333333333334</v>
      </c>
      <c r="Q249" s="20"/>
      <c r="R249" s="20"/>
      <c r="S249" s="19">
        <v>0.8</v>
      </c>
      <c r="T249" s="20">
        <f t="shared" si="19"/>
        <v>14.204545454545453</v>
      </c>
      <c r="U249" s="20">
        <v>0.27</v>
      </c>
      <c r="V249" s="20">
        <f t="shared" si="20"/>
        <v>0.67500000000000004</v>
      </c>
      <c r="W249" s="20"/>
      <c r="X249" s="20"/>
      <c r="Y249" s="20">
        <f t="shared" si="21"/>
        <v>0</v>
      </c>
      <c r="Z249" s="21">
        <f t="shared" si="22"/>
        <v>-254.33333333333334</v>
      </c>
      <c r="AA249" s="20"/>
      <c r="AB249" s="20"/>
      <c r="AC249" s="20"/>
      <c r="AD249" s="20">
        <f t="shared" si="23"/>
        <v>0</v>
      </c>
      <c r="AE249" s="20"/>
      <c r="AF249" s="20"/>
      <c r="AG249" s="20"/>
      <c r="AH249" s="20"/>
      <c r="AI249" s="20">
        <f t="shared" si="24"/>
        <v>0</v>
      </c>
      <c r="AJ249" s="20"/>
    </row>
    <row r="250" spans="2:36">
      <c r="B250" s="11" t="s">
        <v>615</v>
      </c>
      <c r="C250" s="12" t="s">
        <v>616</v>
      </c>
      <c r="D250" s="12" t="s">
        <v>38</v>
      </c>
      <c r="E250" s="13" t="s">
        <v>39</v>
      </c>
      <c r="F250" s="14" t="str">
        <f>_xlfn.XLOOKUP(B250,'[1]Synthese suivi modernisation'!A:A,'[1]Synthese suivi modernisation'!S:S)</f>
        <v>MBOUR</v>
      </c>
      <c r="G250" s="14" t="str">
        <f>_xlfn.XLOOKUP(B250,'[1]Synthese suivi modernisation'!A:A,'[1]Synthese suivi modernisation'!T:T)</f>
        <v>THIES</v>
      </c>
      <c r="H250" s="20" t="s">
        <v>70</v>
      </c>
      <c r="I250" s="20" t="s">
        <v>71</v>
      </c>
      <c r="J250" s="16" t="s">
        <v>70</v>
      </c>
      <c r="K250" s="24">
        <v>13000</v>
      </c>
      <c r="L250" s="14">
        <v>18</v>
      </c>
      <c r="M250" s="17" t="s">
        <v>73</v>
      </c>
      <c r="N250" s="16" t="s">
        <v>196</v>
      </c>
      <c r="O250" s="16">
        <v>66</v>
      </c>
      <c r="P250" s="18">
        <v>85.416666666666671</v>
      </c>
      <c r="Q250" s="20"/>
      <c r="R250" s="20"/>
      <c r="S250" s="19">
        <v>0.8</v>
      </c>
      <c r="T250" s="20">
        <f t="shared" si="19"/>
        <v>34.090909090909086</v>
      </c>
      <c r="U250" s="20">
        <v>0.27</v>
      </c>
      <c r="V250" s="20">
        <f t="shared" si="20"/>
        <v>4.8600000000000003</v>
      </c>
      <c r="W250" s="20"/>
      <c r="X250" s="20"/>
      <c r="Y250" s="20">
        <f t="shared" si="21"/>
        <v>0</v>
      </c>
      <c r="Z250" s="21">
        <f t="shared" si="22"/>
        <v>-85.416666666666671</v>
      </c>
      <c r="AA250" s="20"/>
      <c r="AB250" s="20"/>
      <c r="AC250" s="20"/>
      <c r="AD250" s="20">
        <f t="shared" si="23"/>
        <v>0</v>
      </c>
      <c r="AE250" s="20"/>
      <c r="AF250" s="20"/>
      <c r="AG250" s="20"/>
      <c r="AH250" s="20"/>
      <c r="AI250" s="20">
        <f t="shared" si="24"/>
        <v>0</v>
      </c>
      <c r="AJ250" s="20"/>
    </row>
    <row r="251" spans="2:36">
      <c r="B251" s="11" t="s">
        <v>617</v>
      </c>
      <c r="C251" s="12" t="s">
        <v>618</v>
      </c>
      <c r="D251" s="12" t="s">
        <v>38</v>
      </c>
      <c r="E251" s="13" t="s">
        <v>39</v>
      </c>
      <c r="F251" s="14" t="str">
        <f>_xlfn.XLOOKUP(B251,'[1]Synthese suivi modernisation'!A:A,'[1]Synthese suivi modernisation'!S:S)</f>
        <v>LOUGA</v>
      </c>
      <c r="G251" s="14" t="str">
        <f>_xlfn.XLOOKUP(B251,'[1]Synthese suivi modernisation'!A:A,'[1]Synthese suivi modernisation'!T:T)</f>
        <v>SAINT-LOUIS</v>
      </c>
      <c r="H251" s="20" t="s">
        <v>70</v>
      </c>
      <c r="I251" s="20" t="s">
        <v>71</v>
      </c>
      <c r="J251" s="16" t="s">
        <v>70</v>
      </c>
      <c r="K251" s="24">
        <v>8000</v>
      </c>
      <c r="L251" s="14">
        <v>10</v>
      </c>
      <c r="M251" s="17" t="s">
        <v>73</v>
      </c>
      <c r="N251" s="16" t="s">
        <v>63</v>
      </c>
      <c r="O251" s="16">
        <v>30</v>
      </c>
      <c r="P251" s="18">
        <v>58.333333333333336</v>
      </c>
      <c r="Q251" s="20"/>
      <c r="R251" s="20"/>
      <c r="S251" s="19">
        <v>0.8</v>
      </c>
      <c r="T251" s="20">
        <f t="shared" si="19"/>
        <v>41.666666666666671</v>
      </c>
      <c r="U251" s="20">
        <v>0.27</v>
      </c>
      <c r="V251" s="20">
        <f t="shared" si="20"/>
        <v>2.7</v>
      </c>
      <c r="W251" s="20"/>
      <c r="X251" s="20"/>
      <c r="Y251" s="20">
        <f t="shared" si="21"/>
        <v>0</v>
      </c>
      <c r="Z251" s="21">
        <f t="shared" si="22"/>
        <v>-58.333333333333336</v>
      </c>
      <c r="AA251" s="20"/>
      <c r="AB251" s="20"/>
      <c r="AC251" s="20"/>
      <c r="AD251" s="20">
        <f t="shared" si="23"/>
        <v>0</v>
      </c>
      <c r="AE251" s="20"/>
      <c r="AF251" s="20"/>
      <c r="AG251" s="20"/>
      <c r="AH251" s="20"/>
      <c r="AI251" s="20">
        <f t="shared" si="24"/>
        <v>0</v>
      </c>
      <c r="AJ251" s="20"/>
    </row>
    <row r="252" spans="2:36">
      <c r="B252" s="11" t="s">
        <v>619</v>
      </c>
      <c r="C252" s="12" t="s">
        <v>620</v>
      </c>
      <c r="D252" s="12" t="s">
        <v>38</v>
      </c>
      <c r="E252" s="13" t="s">
        <v>39</v>
      </c>
      <c r="F252" s="14" t="str">
        <f>_xlfn.XLOOKUP(B252,'[1]Synthese suivi modernisation'!A:A,'[1]Synthese suivi modernisation'!S:S)</f>
        <v>DIOURBEL</v>
      </c>
      <c r="G252" s="14" t="str">
        <f>_xlfn.XLOOKUP(B252,'[1]Synthese suivi modernisation'!A:A,'[1]Synthese suivi modernisation'!T:T)</f>
        <v>THIES</v>
      </c>
      <c r="H252" s="20" t="s">
        <v>166</v>
      </c>
      <c r="I252" s="14" t="s">
        <v>41</v>
      </c>
      <c r="J252" s="16" t="s">
        <v>166</v>
      </c>
      <c r="K252" s="24">
        <v>4500</v>
      </c>
      <c r="L252" s="14">
        <v>6</v>
      </c>
      <c r="M252" s="17" t="s">
        <v>42</v>
      </c>
      <c r="N252" s="16" t="s">
        <v>60</v>
      </c>
      <c r="O252" s="16">
        <v>33</v>
      </c>
      <c r="P252" s="18">
        <v>681.41666666666663</v>
      </c>
      <c r="Q252" s="20"/>
      <c r="R252" s="20"/>
      <c r="S252" s="19">
        <v>0.8</v>
      </c>
      <c r="T252" s="20">
        <f t="shared" si="19"/>
        <v>22.727272727272727</v>
      </c>
      <c r="U252" s="20">
        <v>0.27</v>
      </c>
      <c r="V252" s="20">
        <f t="shared" si="20"/>
        <v>1.62</v>
      </c>
      <c r="W252" s="20"/>
      <c r="X252" s="20"/>
      <c r="Y252" s="20">
        <f t="shared" si="21"/>
        <v>0</v>
      </c>
      <c r="Z252" s="21">
        <f t="shared" si="22"/>
        <v>-681.41666666666663</v>
      </c>
      <c r="AA252" s="20"/>
      <c r="AB252" s="20"/>
      <c r="AC252" s="20"/>
      <c r="AD252" s="20">
        <f t="shared" si="23"/>
        <v>0</v>
      </c>
      <c r="AE252" s="20"/>
      <c r="AF252" s="20"/>
      <c r="AG252" s="20"/>
      <c r="AH252" s="20"/>
      <c r="AI252" s="20">
        <f t="shared" si="24"/>
        <v>0</v>
      </c>
      <c r="AJ252" s="20"/>
    </row>
    <row r="253" spans="2:36">
      <c r="B253" s="11" t="s">
        <v>621</v>
      </c>
      <c r="C253" s="12" t="s">
        <v>622</v>
      </c>
      <c r="D253" s="12" t="s">
        <v>38</v>
      </c>
      <c r="E253" s="13" t="s">
        <v>39</v>
      </c>
      <c r="F253" s="14" t="str">
        <f>_xlfn.XLOOKUP(B253,'[1]Synthese suivi modernisation'!A:A,'[1]Synthese suivi modernisation'!S:S)</f>
        <v>KAOLACK</v>
      </c>
      <c r="G253" s="14" t="str">
        <f>_xlfn.XLOOKUP(B253,'[1]Synthese suivi modernisation'!A:A,'[1]Synthese suivi modernisation'!T:T)</f>
        <v>KAOLACK</v>
      </c>
      <c r="H253" s="20" t="s">
        <v>66</v>
      </c>
      <c r="I253" s="14" t="s">
        <v>41</v>
      </c>
      <c r="J253" s="16" t="s">
        <v>66</v>
      </c>
      <c r="K253" s="24">
        <v>3500</v>
      </c>
      <c r="L253" s="14">
        <v>3</v>
      </c>
      <c r="M253" s="17" t="s">
        <v>42</v>
      </c>
      <c r="N253" s="16" t="s">
        <v>80</v>
      </c>
      <c r="O253" s="16">
        <v>33</v>
      </c>
      <c r="P253" s="18">
        <v>246.41666666666666</v>
      </c>
      <c r="Q253" s="20"/>
      <c r="R253" s="20"/>
      <c r="S253" s="19">
        <v>0.8</v>
      </c>
      <c r="T253" s="20">
        <f t="shared" si="19"/>
        <v>11.363636363636363</v>
      </c>
      <c r="U253" s="20">
        <v>0.27</v>
      </c>
      <c r="V253" s="20">
        <f t="shared" si="20"/>
        <v>0.81</v>
      </c>
      <c r="W253" s="20"/>
      <c r="X253" s="20"/>
      <c r="Y253" s="20">
        <f t="shared" si="21"/>
        <v>0</v>
      </c>
      <c r="Z253" s="21">
        <f t="shared" si="22"/>
        <v>-246.41666666666666</v>
      </c>
      <c r="AA253" s="20"/>
      <c r="AB253" s="20"/>
      <c r="AC253" s="20"/>
      <c r="AD253" s="20">
        <f t="shared" si="23"/>
        <v>0</v>
      </c>
      <c r="AE253" s="20"/>
      <c r="AF253" s="20"/>
      <c r="AG253" s="20"/>
      <c r="AH253" s="20"/>
      <c r="AI253" s="20">
        <f t="shared" si="24"/>
        <v>0</v>
      </c>
      <c r="AJ253" s="20"/>
    </row>
    <row r="254" spans="2:36">
      <c r="B254" s="11" t="s">
        <v>623</v>
      </c>
      <c r="C254" s="12" t="s">
        <v>624</v>
      </c>
      <c r="D254" s="12" t="s">
        <v>38</v>
      </c>
      <c r="E254" s="13" t="s">
        <v>39</v>
      </c>
      <c r="F254" s="14" t="str">
        <f>_xlfn.XLOOKUP(B254,'[1]Synthese suivi modernisation'!A:A,'[1]Synthese suivi modernisation'!S:S)</f>
        <v>NDIOUM</v>
      </c>
      <c r="G254" s="14" t="str">
        <f>_xlfn.XLOOKUP(B254,'[1]Synthese suivi modernisation'!A:A,'[1]Synthese suivi modernisation'!T:T)</f>
        <v>SAINT-LOUIS</v>
      </c>
      <c r="H254" s="20" t="s">
        <v>40</v>
      </c>
      <c r="I254" s="14" t="s">
        <v>41</v>
      </c>
      <c r="J254" s="16" t="s">
        <v>40</v>
      </c>
      <c r="K254" s="24">
        <v>1750</v>
      </c>
      <c r="L254" s="14">
        <v>3.5</v>
      </c>
      <c r="M254" s="17" t="s">
        <v>42</v>
      </c>
      <c r="N254" s="16" t="s">
        <v>48</v>
      </c>
      <c r="O254" s="16">
        <v>22</v>
      </c>
      <c r="P254" s="18">
        <v>207.66666666666666</v>
      </c>
      <c r="Q254" s="20"/>
      <c r="R254" s="20"/>
      <c r="S254" s="19">
        <v>0.8</v>
      </c>
      <c r="T254" s="20">
        <f t="shared" si="19"/>
        <v>19.886363636363637</v>
      </c>
      <c r="U254" s="20">
        <v>0.27</v>
      </c>
      <c r="V254" s="20">
        <f t="shared" si="20"/>
        <v>0.94500000000000006</v>
      </c>
      <c r="W254" s="20"/>
      <c r="X254" s="20"/>
      <c r="Y254" s="20">
        <f t="shared" si="21"/>
        <v>0</v>
      </c>
      <c r="Z254" s="21">
        <f t="shared" si="22"/>
        <v>-207.66666666666666</v>
      </c>
      <c r="AA254" s="20"/>
      <c r="AB254" s="20"/>
      <c r="AC254" s="20"/>
      <c r="AD254" s="20">
        <f t="shared" si="23"/>
        <v>0</v>
      </c>
      <c r="AE254" s="20"/>
      <c r="AF254" s="20"/>
      <c r="AG254" s="20"/>
      <c r="AH254" s="20"/>
      <c r="AI254" s="20">
        <f t="shared" si="24"/>
        <v>0</v>
      </c>
      <c r="AJ254" s="20"/>
    </row>
    <row r="255" spans="2:36">
      <c r="B255" s="11" t="s">
        <v>625</v>
      </c>
      <c r="C255" s="12" t="s">
        <v>626</v>
      </c>
      <c r="D255" s="12" t="s">
        <v>38</v>
      </c>
      <c r="E255" s="13" t="s">
        <v>39</v>
      </c>
      <c r="F255" s="14" t="str">
        <f>_xlfn.XLOOKUP(B255,'[1]Synthese suivi modernisation'!A:A,'[1]Synthese suivi modernisation'!S:S)</f>
        <v>TOUBA02</v>
      </c>
      <c r="G255" s="14" t="str">
        <f>_xlfn.XLOOKUP(B255,'[1]Synthese suivi modernisation'!A:A,'[1]Synthese suivi modernisation'!T:T)</f>
        <v>THIES</v>
      </c>
      <c r="H255" s="20" t="s">
        <v>40</v>
      </c>
      <c r="I255" s="14" t="s">
        <v>41</v>
      </c>
      <c r="J255" s="16" t="s">
        <v>40</v>
      </c>
      <c r="K255" s="24">
        <v>4500</v>
      </c>
      <c r="L255" s="14">
        <v>3.5</v>
      </c>
      <c r="M255" s="17" t="s">
        <v>42</v>
      </c>
      <c r="N255" s="16" t="s">
        <v>60</v>
      </c>
      <c r="O255" s="16">
        <v>33</v>
      </c>
      <c r="P255" s="18">
        <v>206.91666666666666</v>
      </c>
      <c r="Q255" s="20"/>
      <c r="R255" s="20"/>
      <c r="S255" s="19">
        <v>0.8</v>
      </c>
      <c r="T255" s="20">
        <f t="shared" si="19"/>
        <v>13.257575757575758</v>
      </c>
      <c r="U255" s="20">
        <v>0.27</v>
      </c>
      <c r="V255" s="20">
        <f t="shared" si="20"/>
        <v>0.94500000000000006</v>
      </c>
      <c r="W255" s="20"/>
      <c r="X255" s="20"/>
      <c r="Y255" s="20">
        <f t="shared" si="21"/>
        <v>0</v>
      </c>
      <c r="Z255" s="21">
        <f t="shared" si="22"/>
        <v>-206.91666666666666</v>
      </c>
      <c r="AA255" s="20"/>
      <c r="AB255" s="20"/>
      <c r="AC255" s="20"/>
      <c r="AD255" s="20">
        <f t="shared" si="23"/>
        <v>0</v>
      </c>
      <c r="AE255" s="20"/>
      <c r="AF255" s="20"/>
      <c r="AG255" s="20"/>
      <c r="AH255" s="20"/>
      <c r="AI255" s="20">
        <f t="shared" si="24"/>
        <v>0</v>
      </c>
      <c r="AJ255" s="20"/>
    </row>
    <row r="256" spans="2:36">
      <c r="B256" s="11" t="s">
        <v>627</v>
      </c>
      <c r="C256" s="12" t="s">
        <v>628</v>
      </c>
      <c r="D256" s="12" t="s">
        <v>38</v>
      </c>
      <c r="E256" s="13" t="s">
        <v>39</v>
      </c>
      <c r="F256" s="14" t="str">
        <f>_xlfn.XLOOKUP(B256,'[1]Synthese suivi modernisation'!A:A,'[1]Synthese suivi modernisation'!S:S)</f>
        <v>DIOURBEL</v>
      </c>
      <c r="G256" s="14" t="str">
        <f>_xlfn.XLOOKUP(B256,'[1]Synthese suivi modernisation'!A:A,'[1]Synthese suivi modernisation'!T:T)</f>
        <v>THIES</v>
      </c>
      <c r="H256" s="20" t="s">
        <v>40</v>
      </c>
      <c r="I256" s="14" t="s">
        <v>41</v>
      </c>
      <c r="J256" s="23" t="s">
        <v>40</v>
      </c>
      <c r="K256" s="24">
        <v>2250</v>
      </c>
      <c r="L256" s="14">
        <v>4</v>
      </c>
      <c r="M256" s="17" t="s">
        <v>42</v>
      </c>
      <c r="N256" s="16" t="s">
        <v>67</v>
      </c>
      <c r="O256" s="16">
        <v>50</v>
      </c>
      <c r="P256" s="18">
        <v>372.16666666666669</v>
      </c>
      <c r="Q256" s="20"/>
      <c r="R256" s="20"/>
      <c r="S256" s="19">
        <v>0.8</v>
      </c>
      <c r="T256" s="20">
        <f t="shared" si="19"/>
        <v>10</v>
      </c>
      <c r="U256" s="20">
        <v>0.27</v>
      </c>
      <c r="V256" s="20">
        <f t="shared" si="20"/>
        <v>1.08</v>
      </c>
      <c r="W256" s="20"/>
      <c r="X256" s="20"/>
      <c r="Y256" s="20">
        <f t="shared" si="21"/>
        <v>0</v>
      </c>
      <c r="Z256" s="21">
        <f t="shared" si="22"/>
        <v>-372.16666666666669</v>
      </c>
      <c r="AA256" s="20"/>
      <c r="AB256" s="20"/>
      <c r="AC256" s="20"/>
      <c r="AD256" s="20">
        <f t="shared" si="23"/>
        <v>0</v>
      </c>
      <c r="AE256" s="20"/>
      <c r="AF256" s="20"/>
      <c r="AG256" s="20"/>
      <c r="AH256" s="20"/>
      <c r="AI256" s="20">
        <f t="shared" si="24"/>
        <v>0</v>
      </c>
      <c r="AJ256" s="20"/>
    </row>
    <row r="257" spans="2:36">
      <c r="B257" s="11" t="s">
        <v>629</v>
      </c>
      <c r="C257" s="12" t="s">
        <v>630</v>
      </c>
      <c r="D257" s="12" t="s">
        <v>38</v>
      </c>
      <c r="E257" s="13" t="s">
        <v>39</v>
      </c>
      <c r="F257" s="14" t="str">
        <f>_xlfn.XLOOKUP(B257,'[1]Synthese suivi modernisation'!A:A,'[1]Synthese suivi modernisation'!S:S)</f>
        <v>NDIOUM</v>
      </c>
      <c r="G257" s="14" t="str">
        <f>_xlfn.XLOOKUP(B257,'[1]Synthese suivi modernisation'!A:A,'[1]Synthese suivi modernisation'!T:T)</f>
        <v>SAINT-LOUIS</v>
      </c>
      <c r="H257" s="20" t="s">
        <v>54</v>
      </c>
      <c r="I257" s="14" t="s">
        <v>41</v>
      </c>
      <c r="J257" s="23" t="s">
        <v>40</v>
      </c>
      <c r="K257" s="24">
        <v>2000</v>
      </c>
      <c r="L257" s="14">
        <v>3.25</v>
      </c>
      <c r="M257" s="17" t="s">
        <v>42</v>
      </c>
      <c r="N257" s="16" t="s">
        <v>55</v>
      </c>
      <c r="O257" s="16">
        <v>33</v>
      </c>
      <c r="P257" s="18">
        <v>205.41666666666666</v>
      </c>
      <c r="Q257" s="20"/>
      <c r="R257" s="20"/>
      <c r="S257" s="19">
        <v>0.8</v>
      </c>
      <c r="T257" s="20">
        <f t="shared" si="19"/>
        <v>12.310606060606059</v>
      </c>
      <c r="U257" s="20">
        <v>0.27</v>
      </c>
      <c r="V257" s="20">
        <f t="shared" si="20"/>
        <v>0.87750000000000006</v>
      </c>
      <c r="W257" s="20"/>
      <c r="X257" s="20"/>
      <c r="Y257" s="20">
        <f t="shared" si="21"/>
        <v>0</v>
      </c>
      <c r="Z257" s="21">
        <f t="shared" si="22"/>
        <v>-205.41666666666666</v>
      </c>
      <c r="AA257" s="20"/>
      <c r="AB257" s="20"/>
      <c r="AC257" s="20"/>
      <c r="AD257" s="20">
        <f t="shared" si="23"/>
        <v>0</v>
      </c>
      <c r="AE257" s="20"/>
      <c r="AF257" s="20"/>
      <c r="AG257" s="20"/>
      <c r="AH257" s="20"/>
      <c r="AI257" s="20">
        <f t="shared" si="24"/>
        <v>0</v>
      </c>
      <c r="AJ257" s="20"/>
    </row>
    <row r="258" spans="2:36">
      <c r="B258" s="11" t="s">
        <v>631</v>
      </c>
      <c r="C258" s="12" t="s">
        <v>632</v>
      </c>
      <c r="D258" s="12" t="s">
        <v>38</v>
      </c>
      <c r="E258" s="13" t="s">
        <v>39</v>
      </c>
      <c r="F258" s="14" t="str">
        <f>_xlfn.XLOOKUP(B258,'[1]Synthese suivi modernisation'!A:A,'[1]Synthese suivi modernisation'!S:S)</f>
        <v>NDIOUM</v>
      </c>
      <c r="G258" s="14" t="str">
        <f>_xlfn.XLOOKUP(B258,'[1]Synthese suivi modernisation'!A:A,'[1]Synthese suivi modernisation'!T:T)</f>
        <v>SAINT-LOUIS</v>
      </c>
      <c r="H258" s="20" t="s">
        <v>40</v>
      </c>
      <c r="I258" s="14" t="s">
        <v>41</v>
      </c>
      <c r="J258" s="16" t="s">
        <v>40</v>
      </c>
      <c r="K258" s="24">
        <v>1750</v>
      </c>
      <c r="L258" s="14">
        <v>3.5</v>
      </c>
      <c r="M258" s="17" t="s">
        <v>42</v>
      </c>
      <c r="N258" s="16" t="s">
        <v>80</v>
      </c>
      <c r="O258" s="16">
        <v>33</v>
      </c>
      <c r="P258" s="18">
        <v>205.41666666666666</v>
      </c>
      <c r="Q258" s="20"/>
      <c r="R258" s="20"/>
      <c r="S258" s="19">
        <v>0.8</v>
      </c>
      <c r="T258" s="20">
        <f t="shared" si="19"/>
        <v>13.257575757575758</v>
      </c>
      <c r="U258" s="20">
        <v>0.27</v>
      </c>
      <c r="V258" s="20">
        <f t="shared" si="20"/>
        <v>0.94500000000000006</v>
      </c>
      <c r="W258" s="20"/>
      <c r="X258" s="20"/>
      <c r="Y258" s="20">
        <f t="shared" si="21"/>
        <v>0</v>
      </c>
      <c r="Z258" s="21">
        <f t="shared" si="22"/>
        <v>-205.41666666666666</v>
      </c>
      <c r="AA258" s="20"/>
      <c r="AB258" s="20"/>
      <c r="AC258" s="20"/>
      <c r="AD258" s="20">
        <f t="shared" si="23"/>
        <v>0</v>
      </c>
      <c r="AE258" s="20"/>
      <c r="AF258" s="20"/>
      <c r="AG258" s="20"/>
      <c r="AH258" s="20"/>
      <c r="AI258" s="20">
        <f t="shared" si="24"/>
        <v>0</v>
      </c>
      <c r="AJ258" s="20"/>
    </row>
    <row r="259" spans="2:36">
      <c r="B259" s="11" t="s">
        <v>633</v>
      </c>
      <c r="C259" s="12" t="s">
        <v>634</v>
      </c>
      <c r="D259" s="12" t="s">
        <v>38</v>
      </c>
      <c r="E259" s="13" t="s">
        <v>39</v>
      </c>
      <c r="F259" s="14" t="str">
        <f>_xlfn.XLOOKUP(B259,'[1]Synthese suivi modernisation'!A:A,'[1]Synthese suivi modernisation'!S:S)</f>
        <v>MATAM</v>
      </c>
      <c r="G259" s="14" t="str">
        <f>_xlfn.XLOOKUP(B259,'[1]Synthese suivi modernisation'!A:A,'[1]Synthese suivi modernisation'!T:T)</f>
        <v>SAINT-LOUIS</v>
      </c>
      <c r="H259" s="20" t="s">
        <v>70</v>
      </c>
      <c r="I259" s="20" t="s">
        <v>71</v>
      </c>
      <c r="J259" s="16" t="s">
        <v>70</v>
      </c>
      <c r="K259" s="24">
        <v>16000</v>
      </c>
      <c r="L259" s="14">
        <v>14</v>
      </c>
      <c r="M259" s="17" t="s">
        <v>73</v>
      </c>
      <c r="N259" s="16" t="s">
        <v>196</v>
      </c>
      <c r="O259" s="16">
        <v>66</v>
      </c>
      <c r="P259" s="18">
        <v>95</v>
      </c>
      <c r="Q259" s="20"/>
      <c r="R259" s="20"/>
      <c r="S259" s="19">
        <v>0.8</v>
      </c>
      <c r="T259" s="20">
        <f t="shared" si="19"/>
        <v>26.515151515151516</v>
      </c>
      <c r="U259" s="20">
        <v>0.27</v>
      </c>
      <c r="V259" s="20">
        <f t="shared" si="20"/>
        <v>3.7800000000000002</v>
      </c>
      <c r="W259" s="20"/>
      <c r="X259" s="20"/>
      <c r="Y259" s="20">
        <f t="shared" si="21"/>
        <v>0</v>
      </c>
      <c r="Z259" s="21">
        <f t="shared" si="22"/>
        <v>-95</v>
      </c>
      <c r="AA259" s="20"/>
      <c r="AB259" s="20"/>
      <c r="AC259" s="20"/>
      <c r="AD259" s="20">
        <f t="shared" si="23"/>
        <v>0</v>
      </c>
      <c r="AE259" s="20"/>
      <c r="AF259" s="20"/>
      <c r="AG259" s="20"/>
      <c r="AH259" s="20"/>
      <c r="AI259" s="20">
        <f t="shared" si="24"/>
        <v>0</v>
      </c>
      <c r="AJ259" s="20"/>
    </row>
    <row r="260" spans="2:36">
      <c r="B260" s="11" t="s">
        <v>635</v>
      </c>
      <c r="C260" s="12" t="s">
        <v>636</v>
      </c>
      <c r="D260" s="12" t="s">
        <v>38</v>
      </c>
      <c r="E260" s="13" t="s">
        <v>39</v>
      </c>
      <c r="F260" s="14" t="str">
        <f>_xlfn.XLOOKUP(B260,'[1]Synthese suivi modernisation'!A:A,'[1]Synthese suivi modernisation'!S:S)</f>
        <v>MATAM</v>
      </c>
      <c r="G260" s="14" t="str">
        <f>_xlfn.XLOOKUP(B260,'[1]Synthese suivi modernisation'!A:A,'[1]Synthese suivi modernisation'!T:T)</f>
        <v>SAINT-LOUIS</v>
      </c>
      <c r="H260" s="20" t="s">
        <v>192</v>
      </c>
      <c r="I260" s="14" t="s">
        <v>41</v>
      </c>
      <c r="J260" s="16" t="s">
        <v>192</v>
      </c>
      <c r="K260" s="24">
        <v>1000</v>
      </c>
      <c r="L260" s="14">
        <v>0.5</v>
      </c>
      <c r="M260" s="17" t="s">
        <v>42</v>
      </c>
      <c r="N260" s="16" t="s">
        <v>111</v>
      </c>
      <c r="O260" s="16">
        <v>22</v>
      </c>
      <c r="P260" s="18">
        <v>72.833333333333329</v>
      </c>
      <c r="Q260" s="20"/>
      <c r="R260" s="20"/>
      <c r="S260" s="19">
        <v>0.8</v>
      </c>
      <c r="T260" s="20">
        <f t="shared" si="19"/>
        <v>2.8409090909090908</v>
      </c>
      <c r="U260" s="20">
        <v>0.27</v>
      </c>
      <c r="V260" s="20">
        <f t="shared" si="20"/>
        <v>0.13500000000000001</v>
      </c>
      <c r="W260" s="20"/>
      <c r="X260" s="20"/>
      <c r="Y260" s="20">
        <f t="shared" si="21"/>
        <v>0</v>
      </c>
      <c r="Z260" s="21">
        <f t="shared" si="22"/>
        <v>-72.833333333333329</v>
      </c>
      <c r="AA260" s="20"/>
      <c r="AB260" s="20"/>
      <c r="AC260" s="20"/>
      <c r="AD260" s="20">
        <f t="shared" si="23"/>
        <v>0</v>
      </c>
      <c r="AE260" s="20"/>
      <c r="AF260" s="20"/>
      <c r="AG260" s="20"/>
      <c r="AH260" s="20"/>
      <c r="AI260" s="20">
        <f t="shared" si="24"/>
        <v>0</v>
      </c>
      <c r="AJ260" s="20"/>
    </row>
    <row r="261" spans="2:36">
      <c r="B261" s="11" t="s">
        <v>637</v>
      </c>
      <c r="C261" s="12" t="s">
        <v>638</v>
      </c>
      <c r="D261" s="12" t="s">
        <v>38</v>
      </c>
      <c r="E261" s="13" t="s">
        <v>39</v>
      </c>
      <c r="F261" s="14" t="str">
        <f>_xlfn.XLOOKUP(B261,'[1]Synthese suivi modernisation'!A:A,'[1]Synthese suivi modernisation'!S:S)</f>
        <v>ZIGUINCHOR</v>
      </c>
      <c r="G261" s="14" t="str">
        <f>_xlfn.XLOOKUP(B261,'[1]Synthese suivi modernisation'!A:A,'[1]Synthese suivi modernisation'!T:T)</f>
        <v>ZIGUINCHOR</v>
      </c>
      <c r="H261" s="20" t="s">
        <v>40</v>
      </c>
      <c r="I261" s="14" t="s">
        <v>41</v>
      </c>
      <c r="J261" s="23" t="s">
        <v>40</v>
      </c>
      <c r="K261" s="24">
        <v>500</v>
      </c>
      <c r="L261" s="14">
        <v>3.5</v>
      </c>
      <c r="M261" s="17" t="s">
        <v>42</v>
      </c>
      <c r="N261" s="16" t="s">
        <v>313</v>
      </c>
      <c r="O261" s="16">
        <v>22</v>
      </c>
      <c r="P261" s="18">
        <v>243.33333333333334</v>
      </c>
      <c r="Q261" s="20"/>
      <c r="R261" s="20"/>
      <c r="S261" s="19">
        <v>0.8</v>
      </c>
      <c r="T261" s="20">
        <f t="shared" si="19"/>
        <v>19.886363636363637</v>
      </c>
      <c r="U261" s="20">
        <v>0.27</v>
      </c>
      <c r="V261" s="20">
        <f t="shared" si="20"/>
        <v>0.94500000000000006</v>
      </c>
      <c r="W261" s="20"/>
      <c r="X261" s="20"/>
      <c r="Y261" s="20">
        <f t="shared" si="21"/>
        <v>0</v>
      </c>
      <c r="Z261" s="21">
        <f t="shared" si="22"/>
        <v>-243.33333333333334</v>
      </c>
      <c r="AA261" s="20"/>
      <c r="AB261" s="20"/>
      <c r="AC261" s="20"/>
      <c r="AD261" s="20">
        <f t="shared" si="23"/>
        <v>0</v>
      </c>
      <c r="AE261" s="20"/>
      <c r="AF261" s="20"/>
      <c r="AG261" s="20"/>
      <c r="AH261" s="20"/>
      <c r="AI261" s="20">
        <f t="shared" si="24"/>
        <v>0</v>
      </c>
      <c r="AJ261" s="20"/>
    </row>
    <row r="262" spans="2:36">
      <c r="B262" s="11" t="s">
        <v>639</v>
      </c>
      <c r="C262" s="12" t="s">
        <v>640</v>
      </c>
      <c r="D262" s="12" t="s">
        <v>38</v>
      </c>
      <c r="E262" s="13" t="s">
        <v>39</v>
      </c>
      <c r="F262" s="14" t="str">
        <f>_xlfn.XLOOKUP(B262,'[1]Synthese suivi modernisation'!A:A,'[1]Synthese suivi modernisation'!S:S)</f>
        <v>DIOURBEL</v>
      </c>
      <c r="G262" s="14" t="str">
        <f>_xlfn.XLOOKUP(B262,'[1]Synthese suivi modernisation'!A:A,'[1]Synthese suivi modernisation'!T:T)</f>
        <v>THIES</v>
      </c>
      <c r="H262" s="20" t="s">
        <v>40</v>
      </c>
      <c r="I262" s="14" t="s">
        <v>41</v>
      </c>
      <c r="J262" s="16" t="s">
        <v>40</v>
      </c>
      <c r="K262" s="24">
        <v>4000</v>
      </c>
      <c r="L262" s="14">
        <v>6</v>
      </c>
      <c r="M262" s="17" t="s">
        <v>42</v>
      </c>
      <c r="N262" s="16" t="s">
        <v>48</v>
      </c>
      <c r="O262" s="16">
        <v>22</v>
      </c>
      <c r="P262" s="18">
        <v>917</v>
      </c>
      <c r="Q262" s="20"/>
      <c r="R262" s="20"/>
      <c r="S262" s="19">
        <v>0.8</v>
      </c>
      <c r="T262" s="20">
        <f t="shared" ref="T262:T325" si="25">(((Q262*R262)/(1000*S262)+L262)/(O262*0.8))*100</f>
        <v>34.090909090909086</v>
      </c>
      <c r="U262" s="20">
        <v>0.27</v>
      </c>
      <c r="V262" s="20">
        <f t="shared" ref="V262:V325" si="26">(((Q262*R262)/(1000*S262)+L262))*U262</f>
        <v>1.62</v>
      </c>
      <c r="W262" s="20"/>
      <c r="X262" s="20"/>
      <c r="Y262" s="20">
        <f t="shared" ref="Y262:Y325" si="27">+X262*V262</f>
        <v>0</v>
      </c>
      <c r="Z262" s="21">
        <f t="shared" ref="Z262:Z325" si="28">Y262-P262</f>
        <v>-917</v>
      </c>
      <c r="AA262" s="20"/>
      <c r="AB262" s="20"/>
      <c r="AC262" s="20"/>
      <c r="AD262" s="20">
        <f t="shared" ref="AD262:AD325" si="29">AC262-Y262</f>
        <v>0</v>
      </c>
      <c r="AE262" s="20"/>
      <c r="AF262" s="20"/>
      <c r="AG262" s="20"/>
      <c r="AH262" s="20"/>
      <c r="AI262" s="20">
        <f t="shared" ref="AI262:AI325" si="30">AG262-AH262</f>
        <v>0</v>
      </c>
      <c r="AJ262" s="20"/>
    </row>
    <row r="263" spans="2:36">
      <c r="B263" s="11" t="s">
        <v>641</v>
      </c>
      <c r="C263" s="12" t="s">
        <v>642</v>
      </c>
      <c r="D263" s="12" t="s">
        <v>38</v>
      </c>
      <c r="E263" s="13" t="s">
        <v>39</v>
      </c>
      <c r="F263" s="14" t="str">
        <f>_xlfn.XLOOKUP(B263,'[1]Synthese suivi modernisation'!A:A,'[1]Synthese suivi modernisation'!S:S)</f>
        <v>KOUNGHEUL</v>
      </c>
      <c r="G263" s="14" t="str">
        <f>_xlfn.XLOOKUP(B263,'[1]Synthese suivi modernisation'!A:A,'[1]Synthese suivi modernisation'!T:T)</f>
        <v>TAMBACOUNDA</v>
      </c>
      <c r="H263" s="20" t="s">
        <v>147</v>
      </c>
      <c r="I263" s="14" t="s">
        <v>41</v>
      </c>
      <c r="J263" s="16" t="s">
        <v>147</v>
      </c>
      <c r="K263" s="24">
        <v>3500</v>
      </c>
      <c r="L263" s="14">
        <v>3</v>
      </c>
      <c r="M263" s="17" t="s">
        <v>42</v>
      </c>
      <c r="N263" s="16" t="s">
        <v>139</v>
      </c>
      <c r="O263" s="16">
        <v>18</v>
      </c>
      <c r="P263" s="18">
        <v>493.83333333333331</v>
      </c>
      <c r="Q263" s="20"/>
      <c r="R263" s="20"/>
      <c r="S263" s="19">
        <v>0.8</v>
      </c>
      <c r="T263" s="20">
        <f t="shared" si="25"/>
        <v>20.833333333333332</v>
      </c>
      <c r="U263" s="20">
        <v>0.27</v>
      </c>
      <c r="V263" s="20">
        <f t="shared" si="26"/>
        <v>0.81</v>
      </c>
      <c r="W263" s="20"/>
      <c r="X263" s="20"/>
      <c r="Y263" s="20">
        <f t="shared" si="27"/>
        <v>0</v>
      </c>
      <c r="Z263" s="21">
        <f t="shared" si="28"/>
        <v>-493.83333333333331</v>
      </c>
      <c r="AA263" s="20"/>
      <c r="AB263" s="20"/>
      <c r="AC263" s="20"/>
      <c r="AD263" s="20">
        <f t="shared" si="29"/>
        <v>0</v>
      </c>
      <c r="AE263" s="20"/>
      <c r="AF263" s="20"/>
      <c r="AG263" s="20"/>
      <c r="AH263" s="20"/>
      <c r="AI263" s="20">
        <f t="shared" si="30"/>
        <v>0</v>
      </c>
      <c r="AJ263" s="20"/>
    </row>
    <row r="264" spans="2:36">
      <c r="B264" s="11" t="s">
        <v>643</v>
      </c>
      <c r="C264" s="12" t="s">
        <v>644</v>
      </c>
      <c r="D264" s="12" t="s">
        <v>38</v>
      </c>
      <c r="E264" s="13" t="s">
        <v>39</v>
      </c>
      <c r="F264" s="14" t="str">
        <f>_xlfn.XLOOKUP(B264,'[1]Synthese suivi modernisation'!A:A,'[1]Synthese suivi modernisation'!S:S)</f>
        <v>NDIOUM</v>
      </c>
      <c r="G264" s="14" t="str">
        <f>_xlfn.XLOOKUP(B264,'[1]Synthese suivi modernisation'!A:A,'[1]Synthese suivi modernisation'!T:T)</f>
        <v>SAINT-LOUIS</v>
      </c>
      <c r="H264" s="20" t="s">
        <v>40</v>
      </c>
      <c r="I264" s="14" t="s">
        <v>41</v>
      </c>
      <c r="J264" s="16" t="s">
        <v>40</v>
      </c>
      <c r="K264" s="24">
        <v>2000</v>
      </c>
      <c r="L264" s="14">
        <v>4</v>
      </c>
      <c r="M264" s="17" t="s">
        <v>42</v>
      </c>
      <c r="N264" s="16" t="s">
        <v>55</v>
      </c>
      <c r="O264" s="16">
        <v>33</v>
      </c>
      <c r="P264" s="18">
        <v>305.16666666666669</v>
      </c>
      <c r="Q264" s="20"/>
      <c r="R264" s="20"/>
      <c r="S264" s="19">
        <v>0.8</v>
      </c>
      <c r="T264" s="20">
        <f t="shared" si="25"/>
        <v>15.151515151515149</v>
      </c>
      <c r="U264" s="20">
        <v>0.27</v>
      </c>
      <c r="V264" s="20">
        <f t="shared" si="26"/>
        <v>1.08</v>
      </c>
      <c r="W264" s="20"/>
      <c r="X264" s="20"/>
      <c r="Y264" s="20">
        <f t="shared" si="27"/>
        <v>0</v>
      </c>
      <c r="Z264" s="21">
        <f t="shared" si="28"/>
        <v>-305.16666666666669</v>
      </c>
      <c r="AA264" s="20"/>
      <c r="AB264" s="20"/>
      <c r="AC264" s="20"/>
      <c r="AD264" s="20">
        <f t="shared" si="29"/>
        <v>0</v>
      </c>
      <c r="AE264" s="20"/>
      <c r="AF264" s="20"/>
      <c r="AG264" s="20"/>
      <c r="AH264" s="20"/>
      <c r="AI264" s="20">
        <f t="shared" si="30"/>
        <v>0</v>
      </c>
      <c r="AJ264" s="20"/>
    </row>
    <row r="265" spans="2:36">
      <c r="B265" s="11" t="s">
        <v>645</v>
      </c>
      <c r="C265" s="12" t="s">
        <v>646</v>
      </c>
      <c r="D265" s="12" t="s">
        <v>38</v>
      </c>
      <c r="E265" s="13" t="s">
        <v>39</v>
      </c>
      <c r="F265" s="14" t="str">
        <f>_xlfn.XLOOKUP(B265,'[1]Synthese suivi modernisation'!A:A,'[1]Synthese suivi modernisation'!S:S)</f>
        <v>THIES</v>
      </c>
      <c r="G265" s="14" t="str">
        <f>_xlfn.XLOOKUP(B265,'[1]Synthese suivi modernisation'!A:A,'[1]Synthese suivi modernisation'!T:T)</f>
        <v>THIES</v>
      </c>
      <c r="H265" s="20" t="s">
        <v>647</v>
      </c>
      <c r="I265" s="20" t="s">
        <v>71</v>
      </c>
      <c r="J265" s="16" t="s">
        <v>647</v>
      </c>
      <c r="K265" s="24">
        <v>6000</v>
      </c>
      <c r="L265" s="14">
        <v>4</v>
      </c>
      <c r="M265" s="17" t="s">
        <v>73</v>
      </c>
      <c r="N265" s="16" t="s">
        <v>529</v>
      </c>
      <c r="O265" s="16">
        <v>80</v>
      </c>
      <c r="P265" s="18">
        <v>43</v>
      </c>
      <c r="Q265" s="20"/>
      <c r="R265" s="20"/>
      <c r="S265" s="19">
        <v>0.8</v>
      </c>
      <c r="T265" s="20">
        <f t="shared" si="25"/>
        <v>6.25</v>
      </c>
      <c r="U265" s="20">
        <v>0.27</v>
      </c>
      <c r="V265" s="20">
        <f t="shared" si="26"/>
        <v>1.08</v>
      </c>
      <c r="W265" s="20"/>
      <c r="X265" s="20"/>
      <c r="Y265" s="20">
        <f t="shared" si="27"/>
        <v>0</v>
      </c>
      <c r="Z265" s="21">
        <f t="shared" si="28"/>
        <v>-43</v>
      </c>
      <c r="AA265" s="20"/>
      <c r="AB265" s="20"/>
      <c r="AC265" s="20"/>
      <c r="AD265" s="20">
        <f t="shared" si="29"/>
        <v>0</v>
      </c>
      <c r="AE265" s="20"/>
      <c r="AF265" s="20"/>
      <c r="AG265" s="20"/>
      <c r="AH265" s="20"/>
      <c r="AI265" s="20">
        <f t="shared" si="30"/>
        <v>0</v>
      </c>
      <c r="AJ265" s="20"/>
    </row>
    <row r="266" spans="2:36">
      <c r="B266" s="11" t="s">
        <v>648</v>
      </c>
      <c r="C266" s="12" t="s">
        <v>649</v>
      </c>
      <c r="D266" s="12" t="s">
        <v>38</v>
      </c>
      <c r="E266" s="13" t="s">
        <v>39</v>
      </c>
      <c r="F266" s="14" t="str">
        <f>_xlfn.XLOOKUP(B266,'[1]Synthese suivi modernisation'!A:A,'[1]Synthese suivi modernisation'!S:S)</f>
        <v>SAINT-LOUIS</v>
      </c>
      <c r="G266" s="14" t="str">
        <f>_xlfn.XLOOKUP(B266,'[1]Synthese suivi modernisation'!A:A,'[1]Synthese suivi modernisation'!T:T)</f>
        <v>SAINT-LOUIS</v>
      </c>
      <c r="H266" s="20" t="s">
        <v>40</v>
      </c>
      <c r="I266" s="14" t="s">
        <v>41</v>
      </c>
      <c r="J266" s="16" t="s">
        <v>40</v>
      </c>
      <c r="K266" s="24">
        <v>4000</v>
      </c>
      <c r="L266" s="14">
        <v>4</v>
      </c>
      <c r="M266" s="17" t="s">
        <v>42</v>
      </c>
      <c r="N266" s="16" t="s">
        <v>51</v>
      </c>
      <c r="O266" s="16">
        <v>22</v>
      </c>
      <c r="P266" s="18">
        <v>316.33333333333331</v>
      </c>
      <c r="Q266" s="20"/>
      <c r="R266" s="20"/>
      <c r="S266" s="19">
        <v>0.8</v>
      </c>
      <c r="T266" s="20">
        <f t="shared" si="25"/>
        <v>22.727272727272727</v>
      </c>
      <c r="U266" s="20">
        <v>0.27</v>
      </c>
      <c r="V266" s="20">
        <f t="shared" si="26"/>
        <v>1.08</v>
      </c>
      <c r="W266" s="20"/>
      <c r="X266" s="20"/>
      <c r="Y266" s="20">
        <f t="shared" si="27"/>
        <v>0</v>
      </c>
      <c r="Z266" s="21">
        <f t="shared" si="28"/>
        <v>-316.33333333333331</v>
      </c>
      <c r="AA266" s="20"/>
      <c r="AB266" s="20"/>
      <c r="AC266" s="20"/>
      <c r="AD266" s="20">
        <f t="shared" si="29"/>
        <v>0</v>
      </c>
      <c r="AE266" s="20"/>
      <c r="AF266" s="20"/>
      <c r="AG266" s="20"/>
      <c r="AH266" s="20"/>
      <c r="AI266" s="20">
        <f t="shared" si="30"/>
        <v>0</v>
      </c>
      <c r="AJ266" s="20"/>
    </row>
    <row r="267" spans="2:36">
      <c r="B267" s="11" t="s">
        <v>650</v>
      </c>
      <c r="C267" s="12" t="s">
        <v>651</v>
      </c>
      <c r="D267" s="12" t="s">
        <v>38</v>
      </c>
      <c r="E267" s="13" t="s">
        <v>39</v>
      </c>
      <c r="F267" s="14" t="str">
        <f>_xlfn.XLOOKUP(B267,'[1]Synthese suivi modernisation'!A:A,'[1]Synthese suivi modernisation'!S:S)</f>
        <v>KEDOUGOU</v>
      </c>
      <c r="G267" s="14" t="str">
        <f>_xlfn.XLOOKUP(B267,'[1]Synthese suivi modernisation'!A:A,'[1]Synthese suivi modernisation'!T:T)</f>
        <v>TAMBACOUNDA</v>
      </c>
      <c r="H267" s="20" t="s">
        <v>40</v>
      </c>
      <c r="I267" s="14" t="s">
        <v>41</v>
      </c>
      <c r="J267" s="16" t="s">
        <v>40</v>
      </c>
      <c r="K267" s="24">
        <v>4000</v>
      </c>
      <c r="L267" s="14">
        <v>6</v>
      </c>
      <c r="M267" s="17" t="s">
        <v>42</v>
      </c>
      <c r="N267" s="16" t="s">
        <v>80</v>
      </c>
      <c r="O267" s="16">
        <v>33</v>
      </c>
      <c r="P267" s="18">
        <v>775.58333333333337</v>
      </c>
      <c r="Q267" s="20"/>
      <c r="R267" s="20"/>
      <c r="S267" s="19">
        <v>0.8</v>
      </c>
      <c r="T267" s="20">
        <f t="shared" si="25"/>
        <v>22.727272727272727</v>
      </c>
      <c r="U267" s="20">
        <v>0.27</v>
      </c>
      <c r="V267" s="20">
        <f t="shared" si="26"/>
        <v>1.62</v>
      </c>
      <c r="W267" s="20"/>
      <c r="X267" s="20"/>
      <c r="Y267" s="20">
        <f t="shared" si="27"/>
        <v>0</v>
      </c>
      <c r="Z267" s="21">
        <f t="shared" si="28"/>
        <v>-775.58333333333337</v>
      </c>
      <c r="AA267" s="20"/>
      <c r="AB267" s="20"/>
      <c r="AC267" s="20"/>
      <c r="AD267" s="20">
        <f t="shared" si="29"/>
        <v>0</v>
      </c>
      <c r="AE267" s="20"/>
      <c r="AF267" s="20"/>
      <c r="AG267" s="20"/>
      <c r="AH267" s="20"/>
      <c r="AI267" s="20">
        <f t="shared" si="30"/>
        <v>0</v>
      </c>
      <c r="AJ267" s="20"/>
    </row>
    <row r="268" spans="2:36">
      <c r="B268" s="11" t="s">
        <v>652</v>
      </c>
      <c r="C268" s="12" t="s">
        <v>653</v>
      </c>
      <c r="D268" s="12" t="s">
        <v>38</v>
      </c>
      <c r="E268" s="13" t="s">
        <v>39</v>
      </c>
      <c r="F268" s="14" t="str">
        <f>_xlfn.XLOOKUP(B268,'[1]Synthese suivi modernisation'!A:A,'[1]Synthese suivi modernisation'!S:S)</f>
        <v>KEDOUGOU</v>
      </c>
      <c r="G268" s="14" t="str">
        <f>_xlfn.XLOOKUP(B268,'[1]Synthese suivi modernisation'!A:A,'[1]Synthese suivi modernisation'!T:T)</f>
        <v>TAMBACOUNDA</v>
      </c>
      <c r="H268" s="20" t="s">
        <v>654</v>
      </c>
      <c r="I268" s="20" t="s">
        <v>71</v>
      </c>
      <c r="J268" s="23" t="s">
        <v>436</v>
      </c>
      <c r="K268" s="24">
        <v>3000</v>
      </c>
      <c r="L268" s="14">
        <v>9.5</v>
      </c>
      <c r="M268" s="17" t="s">
        <v>73</v>
      </c>
      <c r="N268" s="16" t="s">
        <v>51</v>
      </c>
      <c r="O268" s="16">
        <v>22</v>
      </c>
      <c r="P268" s="18">
        <v>28.583333333333332</v>
      </c>
      <c r="Q268" s="20"/>
      <c r="R268" s="20"/>
      <c r="S268" s="19">
        <v>0.8</v>
      </c>
      <c r="T268" s="20">
        <f t="shared" si="25"/>
        <v>53.97727272727272</v>
      </c>
      <c r="U268" s="20">
        <v>0.27</v>
      </c>
      <c r="V268" s="20">
        <f t="shared" si="26"/>
        <v>2.5650000000000004</v>
      </c>
      <c r="W268" s="20"/>
      <c r="X268" s="20"/>
      <c r="Y268" s="20">
        <f t="shared" si="27"/>
        <v>0</v>
      </c>
      <c r="Z268" s="21">
        <f t="shared" si="28"/>
        <v>-28.583333333333332</v>
      </c>
      <c r="AA268" s="20"/>
      <c r="AB268" s="20"/>
      <c r="AC268" s="20"/>
      <c r="AD268" s="20">
        <f t="shared" si="29"/>
        <v>0</v>
      </c>
      <c r="AE268" s="20"/>
      <c r="AF268" s="20"/>
      <c r="AG268" s="20"/>
      <c r="AH268" s="20"/>
      <c r="AI268" s="20">
        <f t="shared" si="30"/>
        <v>0</v>
      </c>
      <c r="AJ268" s="20"/>
    </row>
    <row r="269" spans="2:36">
      <c r="B269" s="11" t="s">
        <v>655</v>
      </c>
      <c r="C269" s="12" t="s">
        <v>656</v>
      </c>
      <c r="D269" s="12" t="s">
        <v>38</v>
      </c>
      <c r="E269" s="13" t="s">
        <v>39</v>
      </c>
      <c r="F269" s="14" t="str">
        <f>_xlfn.XLOOKUP(B269,'[1]Synthese suivi modernisation'!A:A,'[1]Synthese suivi modernisation'!S:S)</f>
        <v>TIVAOUANE</v>
      </c>
      <c r="G269" s="14" t="str">
        <f>_xlfn.XLOOKUP(B269,'[1]Synthese suivi modernisation'!A:A,'[1]Synthese suivi modernisation'!T:T)</f>
        <v>THIES</v>
      </c>
      <c r="H269" s="20" t="s">
        <v>70</v>
      </c>
      <c r="I269" s="20" t="s">
        <v>71</v>
      </c>
      <c r="J269" s="16" t="s">
        <v>70</v>
      </c>
      <c r="K269" s="24">
        <v>7000</v>
      </c>
      <c r="L269" s="14">
        <v>30</v>
      </c>
      <c r="M269" s="17" t="s">
        <v>73</v>
      </c>
      <c r="N269" s="16" t="s">
        <v>63</v>
      </c>
      <c r="O269" s="16">
        <v>33</v>
      </c>
      <c r="P269" s="18">
        <v>29.416666666666668</v>
      </c>
      <c r="Q269" s="20"/>
      <c r="R269" s="20"/>
      <c r="S269" s="19">
        <v>0.8</v>
      </c>
      <c r="T269" s="20">
        <f t="shared" si="25"/>
        <v>113.63636363636363</v>
      </c>
      <c r="U269" s="20">
        <v>0.27</v>
      </c>
      <c r="V269" s="20">
        <f t="shared" si="26"/>
        <v>8.1000000000000014</v>
      </c>
      <c r="W269" s="20"/>
      <c r="X269" s="20"/>
      <c r="Y269" s="20">
        <f t="shared" si="27"/>
        <v>0</v>
      </c>
      <c r="Z269" s="21">
        <f t="shared" si="28"/>
        <v>-29.416666666666668</v>
      </c>
      <c r="AA269" s="20"/>
      <c r="AB269" s="20"/>
      <c r="AC269" s="20"/>
      <c r="AD269" s="20">
        <f t="shared" si="29"/>
        <v>0</v>
      </c>
      <c r="AE269" s="20"/>
      <c r="AF269" s="20"/>
      <c r="AG269" s="20"/>
      <c r="AH269" s="20"/>
      <c r="AI269" s="20">
        <f t="shared" si="30"/>
        <v>0</v>
      </c>
      <c r="AJ269" s="20"/>
    </row>
    <row r="270" spans="2:36">
      <c r="B270" s="11" t="s">
        <v>657</v>
      </c>
      <c r="C270" s="12" t="s">
        <v>658</v>
      </c>
      <c r="D270" s="12" t="s">
        <v>38</v>
      </c>
      <c r="E270" s="13" t="s">
        <v>39</v>
      </c>
      <c r="F270" s="14" t="str">
        <f>_xlfn.XLOOKUP(B270,'[1]Synthese suivi modernisation'!A:A,'[1]Synthese suivi modernisation'!S:S)</f>
        <v>KEDOUGOU</v>
      </c>
      <c r="G270" s="14" t="str">
        <f>_xlfn.XLOOKUP(B270,'[1]Synthese suivi modernisation'!A:A,'[1]Synthese suivi modernisation'!T:T)</f>
        <v>TAMBACOUNDA</v>
      </c>
      <c r="H270" s="20" t="s">
        <v>40</v>
      </c>
      <c r="I270" s="14" t="s">
        <v>41</v>
      </c>
      <c r="J270" s="16" t="s">
        <v>40</v>
      </c>
      <c r="K270" s="24">
        <v>2750</v>
      </c>
      <c r="L270" s="14">
        <v>3.5</v>
      </c>
      <c r="M270" s="17" t="s">
        <v>42</v>
      </c>
      <c r="N270" s="16" t="s">
        <v>324</v>
      </c>
      <c r="O270" s="16">
        <v>22</v>
      </c>
      <c r="P270" s="18">
        <v>225.91666666666666</v>
      </c>
      <c r="Q270" s="20"/>
      <c r="R270" s="20"/>
      <c r="S270" s="19">
        <v>0.8</v>
      </c>
      <c r="T270" s="20">
        <f t="shared" si="25"/>
        <v>19.886363636363637</v>
      </c>
      <c r="U270" s="20">
        <v>0.27</v>
      </c>
      <c r="V270" s="20">
        <f t="shared" si="26"/>
        <v>0.94500000000000006</v>
      </c>
      <c r="W270" s="20"/>
      <c r="X270" s="20"/>
      <c r="Y270" s="20">
        <f t="shared" si="27"/>
        <v>0</v>
      </c>
      <c r="Z270" s="21">
        <f t="shared" si="28"/>
        <v>-225.91666666666666</v>
      </c>
      <c r="AA270" s="20"/>
      <c r="AB270" s="20"/>
      <c r="AC270" s="20"/>
      <c r="AD270" s="20">
        <f t="shared" si="29"/>
        <v>0</v>
      </c>
      <c r="AE270" s="20"/>
      <c r="AF270" s="20"/>
      <c r="AG270" s="20"/>
      <c r="AH270" s="20"/>
      <c r="AI270" s="20">
        <f t="shared" si="30"/>
        <v>0</v>
      </c>
      <c r="AJ270" s="20"/>
    </row>
    <row r="271" spans="2:36">
      <c r="B271" s="11" t="s">
        <v>659</v>
      </c>
      <c r="C271" s="12" t="s">
        <v>660</v>
      </c>
      <c r="D271" s="12" t="s">
        <v>38</v>
      </c>
      <c r="E271" s="13" t="s">
        <v>39</v>
      </c>
      <c r="F271" s="14" t="str">
        <f>_xlfn.XLOOKUP(B271,'[1]Synthese suivi modernisation'!A:A,'[1]Synthese suivi modernisation'!S:S)</f>
        <v>KAOLACK</v>
      </c>
      <c r="G271" s="14" t="str">
        <f>_xlfn.XLOOKUP(B271,'[1]Synthese suivi modernisation'!A:A,'[1]Synthese suivi modernisation'!T:T)</f>
        <v>KAOLACK</v>
      </c>
      <c r="H271" s="20" t="s">
        <v>134</v>
      </c>
      <c r="I271" s="14" t="s">
        <v>41</v>
      </c>
      <c r="J271" s="16" t="s">
        <v>134</v>
      </c>
      <c r="K271" s="24">
        <v>2500</v>
      </c>
      <c r="L271" s="14">
        <v>2.5</v>
      </c>
      <c r="M271" s="17" t="s">
        <v>42</v>
      </c>
      <c r="N271" s="16" t="s">
        <v>48</v>
      </c>
      <c r="O271" s="16">
        <v>22</v>
      </c>
      <c r="P271" s="18">
        <v>216.58333333333334</v>
      </c>
      <c r="Q271" s="20"/>
      <c r="R271" s="20"/>
      <c r="S271" s="19">
        <v>0.8</v>
      </c>
      <c r="T271" s="20">
        <f t="shared" si="25"/>
        <v>14.204545454545453</v>
      </c>
      <c r="U271" s="20">
        <v>0.27</v>
      </c>
      <c r="V271" s="20">
        <f t="shared" si="26"/>
        <v>0.67500000000000004</v>
      </c>
      <c r="W271" s="20"/>
      <c r="X271" s="20"/>
      <c r="Y271" s="20">
        <f t="shared" si="27"/>
        <v>0</v>
      </c>
      <c r="Z271" s="21">
        <f t="shared" si="28"/>
        <v>-216.58333333333334</v>
      </c>
      <c r="AA271" s="20"/>
      <c r="AB271" s="20"/>
      <c r="AC271" s="20"/>
      <c r="AD271" s="20">
        <f t="shared" si="29"/>
        <v>0</v>
      </c>
      <c r="AE271" s="20"/>
      <c r="AF271" s="20"/>
      <c r="AG271" s="20"/>
      <c r="AH271" s="20"/>
      <c r="AI271" s="20">
        <f t="shared" si="30"/>
        <v>0</v>
      </c>
      <c r="AJ271" s="20"/>
    </row>
    <row r="272" spans="2:36">
      <c r="B272" s="11" t="s">
        <v>661</v>
      </c>
      <c r="C272" s="12" t="s">
        <v>662</v>
      </c>
      <c r="D272" s="12" t="s">
        <v>38</v>
      </c>
      <c r="E272" s="13" t="s">
        <v>39</v>
      </c>
      <c r="F272" s="14" t="str">
        <f>_xlfn.XLOOKUP(B272,'[1]Synthese suivi modernisation'!A:A,'[1]Synthese suivi modernisation'!S:S)</f>
        <v>LINGUERE</v>
      </c>
      <c r="G272" s="14" t="str">
        <f>_xlfn.XLOOKUP(B272,'[1]Synthese suivi modernisation'!A:A,'[1]Synthese suivi modernisation'!T:T)</f>
        <v>THIES</v>
      </c>
      <c r="H272" s="20" t="s">
        <v>40</v>
      </c>
      <c r="I272" s="14" t="s">
        <v>41</v>
      </c>
      <c r="J272" s="16" t="s">
        <v>40</v>
      </c>
      <c r="K272" s="24">
        <v>1250</v>
      </c>
      <c r="L272" s="14">
        <v>3.5</v>
      </c>
      <c r="M272" s="17" t="s">
        <v>42</v>
      </c>
      <c r="N272" s="16" t="s">
        <v>51</v>
      </c>
      <c r="O272" s="16">
        <v>22</v>
      </c>
      <c r="P272" s="18">
        <v>225.91666666666666</v>
      </c>
      <c r="Q272" s="20"/>
      <c r="R272" s="20"/>
      <c r="S272" s="19">
        <v>0.8</v>
      </c>
      <c r="T272" s="20">
        <f t="shared" si="25"/>
        <v>19.886363636363637</v>
      </c>
      <c r="U272" s="20">
        <v>0.27</v>
      </c>
      <c r="V272" s="20">
        <f t="shared" si="26"/>
        <v>0.94500000000000006</v>
      </c>
      <c r="W272" s="20"/>
      <c r="X272" s="20"/>
      <c r="Y272" s="20">
        <f t="shared" si="27"/>
        <v>0</v>
      </c>
      <c r="Z272" s="21">
        <f t="shared" si="28"/>
        <v>-225.91666666666666</v>
      </c>
      <c r="AA272" s="20"/>
      <c r="AB272" s="20"/>
      <c r="AC272" s="20"/>
      <c r="AD272" s="20">
        <f t="shared" si="29"/>
        <v>0</v>
      </c>
      <c r="AE272" s="20"/>
      <c r="AF272" s="20"/>
      <c r="AG272" s="20"/>
      <c r="AH272" s="20"/>
      <c r="AI272" s="20">
        <f t="shared" si="30"/>
        <v>0</v>
      </c>
      <c r="AJ272" s="20"/>
    </row>
    <row r="273" spans="2:36">
      <c r="B273" s="11" t="s">
        <v>663</v>
      </c>
      <c r="C273" s="12" t="s">
        <v>664</v>
      </c>
      <c r="D273" s="12" t="s">
        <v>38</v>
      </c>
      <c r="E273" s="13" t="s">
        <v>39</v>
      </c>
      <c r="F273" s="14" t="str">
        <f>_xlfn.XLOOKUP(B273,'[1]Synthese suivi modernisation'!A:A,'[1]Synthese suivi modernisation'!S:S)</f>
        <v>THIES</v>
      </c>
      <c r="G273" s="14" t="str">
        <f>_xlfn.XLOOKUP(B273,'[1]Synthese suivi modernisation'!A:A,'[1]Synthese suivi modernisation'!T:T)</f>
        <v>THIES</v>
      </c>
      <c r="H273" s="20" t="s">
        <v>70</v>
      </c>
      <c r="I273" s="20" t="s">
        <v>71</v>
      </c>
      <c r="J273" s="16" t="s">
        <v>70</v>
      </c>
      <c r="K273" s="24">
        <v>8000</v>
      </c>
      <c r="L273" s="14">
        <v>7</v>
      </c>
      <c r="M273" s="17" t="s">
        <v>73</v>
      </c>
      <c r="N273" s="16" t="s">
        <v>63</v>
      </c>
      <c r="O273" s="16">
        <v>30</v>
      </c>
      <c r="P273" s="18">
        <v>33</v>
      </c>
      <c r="Q273" s="20"/>
      <c r="R273" s="20"/>
      <c r="S273" s="19">
        <v>0.8</v>
      </c>
      <c r="T273" s="20">
        <f t="shared" si="25"/>
        <v>29.166666666666668</v>
      </c>
      <c r="U273" s="20">
        <v>0.27</v>
      </c>
      <c r="V273" s="20">
        <f t="shared" si="26"/>
        <v>1.8900000000000001</v>
      </c>
      <c r="W273" s="20"/>
      <c r="X273" s="20"/>
      <c r="Y273" s="20">
        <f t="shared" si="27"/>
        <v>0</v>
      </c>
      <c r="Z273" s="21">
        <f t="shared" si="28"/>
        <v>-33</v>
      </c>
      <c r="AA273" s="20"/>
      <c r="AB273" s="20"/>
      <c r="AC273" s="20"/>
      <c r="AD273" s="20">
        <f t="shared" si="29"/>
        <v>0</v>
      </c>
      <c r="AE273" s="20"/>
      <c r="AF273" s="20"/>
      <c r="AG273" s="20"/>
      <c r="AH273" s="20"/>
      <c r="AI273" s="20">
        <f t="shared" si="30"/>
        <v>0</v>
      </c>
      <c r="AJ273" s="20"/>
    </row>
    <row r="274" spans="2:36">
      <c r="B274" s="11" t="s">
        <v>665</v>
      </c>
      <c r="C274" s="12" t="s">
        <v>666</v>
      </c>
      <c r="D274" s="12" t="s">
        <v>38</v>
      </c>
      <c r="E274" s="13" t="s">
        <v>39</v>
      </c>
      <c r="F274" s="14" t="str">
        <f>_xlfn.XLOOKUP(B274,'[1]Synthese suivi modernisation'!A:A,'[1]Synthese suivi modernisation'!S:S)</f>
        <v>LOUGA</v>
      </c>
      <c r="G274" s="14" t="str">
        <f>_xlfn.XLOOKUP(B274,'[1]Synthese suivi modernisation'!A:A,'[1]Synthese suivi modernisation'!T:T)</f>
        <v>SAINT-LOUIS</v>
      </c>
      <c r="H274" s="20" t="s">
        <v>40</v>
      </c>
      <c r="I274" s="14" t="s">
        <v>41</v>
      </c>
      <c r="J274" s="16" t="s">
        <v>40</v>
      </c>
      <c r="K274" s="24">
        <v>1750</v>
      </c>
      <c r="L274" s="14">
        <v>3</v>
      </c>
      <c r="M274" s="17" t="s">
        <v>42</v>
      </c>
      <c r="N274" s="16" t="s">
        <v>80</v>
      </c>
      <c r="O274" s="16">
        <v>33</v>
      </c>
      <c r="P274" s="18">
        <v>271.91666666666669</v>
      </c>
      <c r="Q274" s="20"/>
      <c r="R274" s="20"/>
      <c r="S274" s="19">
        <v>0.8</v>
      </c>
      <c r="T274" s="20">
        <f t="shared" si="25"/>
        <v>11.363636363636363</v>
      </c>
      <c r="U274" s="20">
        <v>0.27</v>
      </c>
      <c r="V274" s="20">
        <f t="shared" si="26"/>
        <v>0.81</v>
      </c>
      <c r="W274" s="20"/>
      <c r="X274" s="20"/>
      <c r="Y274" s="20">
        <f t="shared" si="27"/>
        <v>0</v>
      </c>
      <c r="Z274" s="21">
        <f t="shared" si="28"/>
        <v>-271.91666666666669</v>
      </c>
      <c r="AA274" s="20"/>
      <c r="AB274" s="20"/>
      <c r="AC274" s="20"/>
      <c r="AD274" s="20">
        <f t="shared" si="29"/>
        <v>0</v>
      </c>
      <c r="AE274" s="20"/>
      <c r="AF274" s="20"/>
      <c r="AG274" s="20"/>
      <c r="AH274" s="20"/>
      <c r="AI274" s="20">
        <f t="shared" si="30"/>
        <v>0</v>
      </c>
      <c r="AJ274" s="20"/>
    </row>
    <row r="275" spans="2:36">
      <c r="B275" s="11" t="s">
        <v>667</v>
      </c>
      <c r="C275" s="12" t="s">
        <v>668</v>
      </c>
      <c r="D275" s="12" t="s">
        <v>38</v>
      </c>
      <c r="E275" s="13" t="s">
        <v>39</v>
      </c>
      <c r="F275" s="14" t="str">
        <f>_xlfn.XLOOKUP(B275,'[1]Synthese suivi modernisation'!A:A,'[1]Synthese suivi modernisation'!S:S)</f>
        <v>LINGUERE</v>
      </c>
      <c r="G275" s="14" t="str">
        <f>_xlfn.XLOOKUP(B275,'[1]Synthese suivi modernisation'!A:A,'[1]Synthese suivi modernisation'!T:T)</f>
        <v>THIES</v>
      </c>
      <c r="H275" s="20" t="s">
        <v>66</v>
      </c>
      <c r="I275" s="14" t="s">
        <v>41</v>
      </c>
      <c r="J275" s="16" t="s">
        <v>66</v>
      </c>
      <c r="K275" s="24">
        <v>6000</v>
      </c>
      <c r="L275" s="14">
        <v>4</v>
      </c>
      <c r="M275" s="17" t="s">
        <v>42</v>
      </c>
      <c r="N275" s="16" t="s">
        <v>67</v>
      </c>
      <c r="O275" s="16">
        <v>50</v>
      </c>
      <c r="P275" s="18">
        <v>300.08333333333331</v>
      </c>
      <c r="Q275" s="20"/>
      <c r="R275" s="20"/>
      <c r="S275" s="19">
        <v>0.8</v>
      </c>
      <c r="T275" s="20">
        <f t="shared" si="25"/>
        <v>10</v>
      </c>
      <c r="U275" s="20">
        <v>0.27</v>
      </c>
      <c r="V275" s="20">
        <f t="shared" si="26"/>
        <v>1.08</v>
      </c>
      <c r="W275" s="20"/>
      <c r="X275" s="20"/>
      <c r="Y275" s="20">
        <f t="shared" si="27"/>
        <v>0</v>
      </c>
      <c r="Z275" s="21">
        <f t="shared" si="28"/>
        <v>-300.08333333333331</v>
      </c>
      <c r="AA275" s="20"/>
      <c r="AB275" s="20"/>
      <c r="AC275" s="20"/>
      <c r="AD275" s="20">
        <f t="shared" si="29"/>
        <v>0</v>
      </c>
      <c r="AE275" s="20"/>
      <c r="AF275" s="20"/>
      <c r="AG275" s="20"/>
      <c r="AH275" s="20"/>
      <c r="AI275" s="20">
        <f t="shared" si="30"/>
        <v>0</v>
      </c>
      <c r="AJ275" s="20"/>
    </row>
    <row r="276" spans="2:36">
      <c r="B276" s="11" t="s">
        <v>669</v>
      </c>
      <c r="C276" s="12" t="s">
        <v>670</v>
      </c>
      <c r="D276" s="12" t="s">
        <v>38</v>
      </c>
      <c r="E276" s="13" t="s">
        <v>39</v>
      </c>
      <c r="F276" s="14" t="str">
        <f>_xlfn.XLOOKUP(B276,'[1]Synthese suivi modernisation'!A:A,'[1]Synthese suivi modernisation'!S:S)</f>
        <v>VELINGARA</v>
      </c>
      <c r="G276" s="14" t="str">
        <f>_xlfn.XLOOKUP(B276,'[1]Synthese suivi modernisation'!A:A,'[1]Synthese suivi modernisation'!T:T)</f>
        <v>ZIGUINCHOR</v>
      </c>
      <c r="H276" s="20" t="s">
        <v>70</v>
      </c>
      <c r="I276" s="20" t="s">
        <v>71</v>
      </c>
      <c r="J276" s="16" t="s">
        <v>70</v>
      </c>
      <c r="K276" s="24">
        <v>9000</v>
      </c>
      <c r="L276" s="14">
        <v>11</v>
      </c>
      <c r="M276" s="17" t="s">
        <v>73</v>
      </c>
      <c r="N276" s="16" t="s">
        <v>410</v>
      </c>
      <c r="O276" s="16">
        <v>88</v>
      </c>
      <c r="P276" s="18">
        <v>74.5</v>
      </c>
      <c r="Q276" s="20"/>
      <c r="R276" s="20"/>
      <c r="S276" s="19">
        <v>0.8</v>
      </c>
      <c r="T276" s="20">
        <f t="shared" si="25"/>
        <v>15.625</v>
      </c>
      <c r="U276" s="20">
        <v>0.27</v>
      </c>
      <c r="V276" s="20">
        <f t="shared" si="26"/>
        <v>2.97</v>
      </c>
      <c r="W276" s="20"/>
      <c r="X276" s="20"/>
      <c r="Y276" s="20">
        <f t="shared" si="27"/>
        <v>0</v>
      </c>
      <c r="Z276" s="21">
        <f t="shared" si="28"/>
        <v>-74.5</v>
      </c>
      <c r="AA276" s="20"/>
      <c r="AB276" s="20"/>
      <c r="AC276" s="20"/>
      <c r="AD276" s="20">
        <f t="shared" si="29"/>
        <v>0</v>
      </c>
      <c r="AE276" s="20"/>
      <c r="AF276" s="20"/>
      <c r="AG276" s="20"/>
      <c r="AH276" s="20"/>
      <c r="AI276" s="20">
        <f t="shared" si="30"/>
        <v>0</v>
      </c>
      <c r="AJ276" s="20"/>
    </row>
    <row r="277" spans="2:36">
      <c r="B277" s="11" t="s">
        <v>671</v>
      </c>
      <c r="C277" s="12" t="s">
        <v>672</v>
      </c>
      <c r="D277" s="12" t="s">
        <v>38</v>
      </c>
      <c r="E277" s="13" t="s">
        <v>39</v>
      </c>
      <c r="F277" s="14" t="str">
        <f>_xlfn.XLOOKUP(B277,'[1]Synthese suivi modernisation'!A:A,'[1]Synthese suivi modernisation'!S:S)</f>
        <v>NDIOUM</v>
      </c>
      <c r="G277" s="14" t="str">
        <f>_xlfn.XLOOKUP(B277,'[1]Synthese suivi modernisation'!A:A,'[1]Synthese suivi modernisation'!T:T)</f>
        <v>SAINT-LOUIS</v>
      </c>
      <c r="H277" s="20" t="s">
        <v>40</v>
      </c>
      <c r="I277" s="14" t="s">
        <v>41</v>
      </c>
      <c r="J277" s="16" t="s">
        <v>40</v>
      </c>
      <c r="K277" s="24">
        <v>3500</v>
      </c>
      <c r="L277" s="14">
        <v>3</v>
      </c>
      <c r="M277" s="17" t="s">
        <v>42</v>
      </c>
      <c r="N277" s="16" t="s">
        <v>313</v>
      </c>
      <c r="O277" s="16">
        <v>22</v>
      </c>
      <c r="P277" s="18">
        <v>287.33333333333331</v>
      </c>
      <c r="Q277" s="20"/>
      <c r="R277" s="20"/>
      <c r="S277" s="19">
        <v>0.8</v>
      </c>
      <c r="T277" s="20">
        <f t="shared" si="25"/>
        <v>17.045454545454543</v>
      </c>
      <c r="U277" s="20">
        <v>0.27</v>
      </c>
      <c r="V277" s="20">
        <f t="shared" si="26"/>
        <v>0.81</v>
      </c>
      <c r="W277" s="20"/>
      <c r="X277" s="20"/>
      <c r="Y277" s="20">
        <f t="shared" si="27"/>
        <v>0</v>
      </c>
      <c r="Z277" s="21">
        <f t="shared" si="28"/>
        <v>-287.33333333333331</v>
      </c>
      <c r="AA277" s="20"/>
      <c r="AB277" s="20"/>
      <c r="AC277" s="20"/>
      <c r="AD277" s="20">
        <f t="shared" si="29"/>
        <v>0</v>
      </c>
      <c r="AE277" s="20"/>
      <c r="AF277" s="20"/>
      <c r="AG277" s="20"/>
      <c r="AH277" s="20"/>
      <c r="AI277" s="20">
        <f t="shared" si="30"/>
        <v>0</v>
      </c>
      <c r="AJ277" s="20"/>
    </row>
    <row r="278" spans="2:36">
      <c r="B278" s="11" t="s">
        <v>673</v>
      </c>
      <c r="C278" s="12" t="s">
        <v>674</v>
      </c>
      <c r="D278" s="12" t="s">
        <v>38</v>
      </c>
      <c r="E278" s="13" t="s">
        <v>39</v>
      </c>
      <c r="F278" s="14" t="str">
        <f>_xlfn.XLOOKUP(B278,'[1]Synthese suivi modernisation'!A:A,'[1]Synthese suivi modernisation'!S:S)</f>
        <v>LOUGA</v>
      </c>
      <c r="G278" s="14" t="str">
        <f>_xlfn.XLOOKUP(B278,'[1]Synthese suivi modernisation'!A:A,'[1]Synthese suivi modernisation'!T:T)</f>
        <v>SAINT-LOUIS</v>
      </c>
      <c r="H278" s="20" t="s">
        <v>40</v>
      </c>
      <c r="I278" s="14" t="s">
        <v>41</v>
      </c>
      <c r="J278" s="16" t="s">
        <v>40</v>
      </c>
      <c r="K278" s="24">
        <v>4000</v>
      </c>
      <c r="L278" s="14">
        <v>6.5</v>
      </c>
      <c r="M278" s="17" t="s">
        <v>42</v>
      </c>
      <c r="N278" s="16" t="s">
        <v>67</v>
      </c>
      <c r="O278" s="16">
        <v>50</v>
      </c>
      <c r="P278" s="18">
        <v>1025.75</v>
      </c>
      <c r="Q278" s="20"/>
      <c r="R278" s="20"/>
      <c r="S278" s="19">
        <v>0.8</v>
      </c>
      <c r="T278" s="20">
        <f t="shared" si="25"/>
        <v>16.25</v>
      </c>
      <c r="U278" s="20">
        <v>0.27</v>
      </c>
      <c r="V278" s="20">
        <f t="shared" si="26"/>
        <v>1.7550000000000001</v>
      </c>
      <c r="W278" s="20"/>
      <c r="X278" s="20"/>
      <c r="Y278" s="20">
        <f t="shared" si="27"/>
        <v>0</v>
      </c>
      <c r="Z278" s="21">
        <f t="shared" si="28"/>
        <v>-1025.75</v>
      </c>
      <c r="AA278" s="20"/>
      <c r="AB278" s="20"/>
      <c r="AC278" s="20"/>
      <c r="AD278" s="20">
        <f t="shared" si="29"/>
        <v>0</v>
      </c>
      <c r="AE278" s="20"/>
      <c r="AF278" s="20"/>
      <c r="AG278" s="20"/>
      <c r="AH278" s="20"/>
      <c r="AI278" s="20">
        <f t="shared" si="30"/>
        <v>0</v>
      </c>
      <c r="AJ278" s="20"/>
    </row>
    <row r="279" spans="2:36">
      <c r="B279" s="11" t="s">
        <v>675</v>
      </c>
      <c r="C279" s="12" t="s">
        <v>676</v>
      </c>
      <c r="D279" s="12" t="s">
        <v>38</v>
      </c>
      <c r="E279" s="13" t="s">
        <v>39</v>
      </c>
      <c r="F279" s="14" t="str">
        <f>_xlfn.XLOOKUP(B279,'[1]Synthese suivi modernisation'!A:A,'[1]Synthese suivi modernisation'!S:S)</f>
        <v>KOLDA</v>
      </c>
      <c r="G279" s="14" t="str">
        <f>_xlfn.XLOOKUP(B279,'[1]Synthese suivi modernisation'!A:A,'[1]Synthese suivi modernisation'!T:T)</f>
        <v>ZIGUINCHOR</v>
      </c>
      <c r="H279" s="20" t="s">
        <v>54</v>
      </c>
      <c r="I279" s="14" t="s">
        <v>41</v>
      </c>
      <c r="J279" s="23" t="s">
        <v>40</v>
      </c>
      <c r="K279" s="24">
        <v>2000</v>
      </c>
      <c r="L279" s="14">
        <v>3</v>
      </c>
      <c r="M279" s="17" t="s">
        <v>42</v>
      </c>
      <c r="N279" s="16" t="s">
        <v>55</v>
      </c>
      <c r="O279" s="16">
        <v>33</v>
      </c>
      <c r="P279" s="18">
        <v>240.41666666666666</v>
      </c>
      <c r="Q279" s="20"/>
      <c r="R279" s="20"/>
      <c r="S279" s="19">
        <v>0.8</v>
      </c>
      <c r="T279" s="20">
        <f t="shared" si="25"/>
        <v>11.363636363636363</v>
      </c>
      <c r="U279" s="20">
        <v>0.27</v>
      </c>
      <c r="V279" s="20">
        <f t="shared" si="26"/>
        <v>0.81</v>
      </c>
      <c r="W279" s="20"/>
      <c r="X279" s="20"/>
      <c r="Y279" s="20">
        <f t="shared" si="27"/>
        <v>0</v>
      </c>
      <c r="Z279" s="21">
        <f t="shared" si="28"/>
        <v>-240.41666666666666</v>
      </c>
      <c r="AA279" s="20"/>
      <c r="AB279" s="20"/>
      <c r="AC279" s="20"/>
      <c r="AD279" s="20">
        <f t="shared" si="29"/>
        <v>0</v>
      </c>
      <c r="AE279" s="20"/>
      <c r="AF279" s="20"/>
      <c r="AG279" s="20"/>
      <c r="AH279" s="20"/>
      <c r="AI279" s="20">
        <f t="shared" si="30"/>
        <v>0</v>
      </c>
      <c r="AJ279" s="20"/>
    </row>
    <row r="280" spans="2:36">
      <c r="B280" s="11" t="s">
        <v>677</v>
      </c>
      <c r="C280" s="12" t="s">
        <v>678</v>
      </c>
      <c r="D280" s="12" t="s">
        <v>38</v>
      </c>
      <c r="E280" s="13" t="s">
        <v>39</v>
      </c>
      <c r="F280" s="14" t="str">
        <f>_xlfn.XLOOKUP(B280,'[1]Synthese suivi modernisation'!A:A,'[1]Synthese suivi modernisation'!S:S)</f>
        <v>RUFISQUE</v>
      </c>
      <c r="G280" s="14" t="str">
        <f>_xlfn.XLOOKUP(B280,'[1]Synthese suivi modernisation'!A:A,'[1]Synthese suivi modernisation'!T:T)</f>
        <v>DAKAR</v>
      </c>
      <c r="H280" s="20" t="s">
        <v>142</v>
      </c>
      <c r="I280" s="20" t="s">
        <v>143</v>
      </c>
      <c r="J280" s="16" t="s">
        <v>142</v>
      </c>
      <c r="K280" s="24">
        <v>7000</v>
      </c>
      <c r="L280" s="14">
        <v>8</v>
      </c>
      <c r="M280" s="17" t="s">
        <v>73</v>
      </c>
      <c r="N280" s="16" t="s">
        <v>324</v>
      </c>
      <c r="O280" s="16">
        <v>22</v>
      </c>
      <c r="P280" s="18">
        <v>31.333333333333332</v>
      </c>
      <c r="Q280" s="20"/>
      <c r="R280" s="20"/>
      <c r="S280" s="19">
        <v>0.8</v>
      </c>
      <c r="T280" s="20">
        <f t="shared" si="25"/>
        <v>45.454545454545453</v>
      </c>
      <c r="U280" s="20">
        <v>0.27</v>
      </c>
      <c r="V280" s="20">
        <f t="shared" si="26"/>
        <v>2.16</v>
      </c>
      <c r="W280" s="20"/>
      <c r="X280" s="20"/>
      <c r="Y280" s="20">
        <f t="shared" si="27"/>
        <v>0</v>
      </c>
      <c r="Z280" s="21">
        <f t="shared" si="28"/>
        <v>-31.333333333333332</v>
      </c>
      <c r="AA280" s="20"/>
      <c r="AB280" s="20"/>
      <c r="AC280" s="20"/>
      <c r="AD280" s="20">
        <f t="shared" si="29"/>
        <v>0</v>
      </c>
      <c r="AE280" s="20"/>
      <c r="AF280" s="20"/>
      <c r="AG280" s="20"/>
      <c r="AH280" s="20"/>
      <c r="AI280" s="20">
        <f t="shared" si="30"/>
        <v>0</v>
      </c>
      <c r="AJ280" s="20"/>
    </row>
    <row r="281" spans="2:36">
      <c r="B281" s="11" t="s">
        <v>679</v>
      </c>
      <c r="C281" s="12" t="s">
        <v>680</v>
      </c>
      <c r="D281" s="12" t="s">
        <v>38</v>
      </c>
      <c r="E281" s="13" t="s">
        <v>39</v>
      </c>
      <c r="F281" s="14" t="str">
        <f>_xlfn.XLOOKUP(B281,'[1]Synthese suivi modernisation'!A:A,'[1]Synthese suivi modernisation'!S:S)</f>
        <v>THIAROYE</v>
      </c>
      <c r="G281" s="14" t="str">
        <f>_xlfn.XLOOKUP(B281,'[1]Synthese suivi modernisation'!A:A,'[1]Synthese suivi modernisation'!T:T)</f>
        <v>DAKAR</v>
      </c>
      <c r="H281" s="20" t="s">
        <v>142</v>
      </c>
      <c r="I281" s="20" t="s">
        <v>143</v>
      </c>
      <c r="J281" s="23" t="s">
        <v>142</v>
      </c>
      <c r="K281" s="24">
        <v>25000</v>
      </c>
      <c r="L281" s="14">
        <v>31</v>
      </c>
      <c r="M281" s="17" t="s">
        <v>73</v>
      </c>
      <c r="N281" s="16" t="s">
        <v>297</v>
      </c>
      <c r="O281" s="16">
        <v>110</v>
      </c>
      <c r="P281" s="18">
        <v>144.91666666666666</v>
      </c>
      <c r="Q281" s="20"/>
      <c r="R281" s="20"/>
      <c r="S281" s="19">
        <v>0.8</v>
      </c>
      <c r="T281" s="20">
        <f t="shared" si="25"/>
        <v>35.227272727272727</v>
      </c>
      <c r="U281" s="20">
        <v>0.27</v>
      </c>
      <c r="V281" s="20">
        <f t="shared" si="26"/>
        <v>8.370000000000001</v>
      </c>
      <c r="W281" s="20"/>
      <c r="X281" s="20"/>
      <c r="Y281" s="20">
        <f t="shared" si="27"/>
        <v>0</v>
      </c>
      <c r="Z281" s="21">
        <f t="shared" si="28"/>
        <v>-144.91666666666666</v>
      </c>
      <c r="AA281" s="20"/>
      <c r="AB281" s="20"/>
      <c r="AC281" s="20"/>
      <c r="AD281" s="20">
        <f t="shared" si="29"/>
        <v>0</v>
      </c>
      <c r="AE281" s="20"/>
      <c r="AF281" s="20"/>
      <c r="AG281" s="20"/>
      <c r="AH281" s="20"/>
      <c r="AI281" s="20">
        <f t="shared" si="30"/>
        <v>0</v>
      </c>
      <c r="AJ281" s="20"/>
    </row>
    <row r="282" spans="2:36">
      <c r="B282" s="11" t="s">
        <v>681</v>
      </c>
      <c r="C282" s="12" t="s">
        <v>682</v>
      </c>
      <c r="D282" s="12" t="s">
        <v>38</v>
      </c>
      <c r="E282" s="13" t="s">
        <v>39</v>
      </c>
      <c r="F282" s="14" t="str">
        <f>_xlfn.XLOOKUP(B282,'[1]Synthese suivi modernisation'!A:A,'[1]Synthese suivi modernisation'!S:S)</f>
        <v>LOUGA</v>
      </c>
      <c r="G282" s="14" t="str">
        <f>_xlfn.XLOOKUP(B282,'[1]Synthese suivi modernisation'!A:A,'[1]Synthese suivi modernisation'!T:T)</f>
        <v>SAINT-LOUIS</v>
      </c>
      <c r="H282" s="20" t="s">
        <v>40</v>
      </c>
      <c r="I282" s="14" t="s">
        <v>41</v>
      </c>
      <c r="J282" s="16" t="s">
        <v>40</v>
      </c>
      <c r="K282" s="24">
        <v>1500</v>
      </c>
      <c r="L282" s="14">
        <v>3</v>
      </c>
      <c r="M282" s="17" t="s">
        <v>42</v>
      </c>
      <c r="N282" s="16" t="s">
        <v>683</v>
      </c>
      <c r="O282" s="16">
        <v>15</v>
      </c>
      <c r="P282" s="18">
        <v>287.33333333333331</v>
      </c>
      <c r="Q282" s="20"/>
      <c r="R282" s="20"/>
      <c r="S282" s="19">
        <v>0.8</v>
      </c>
      <c r="T282" s="20">
        <f t="shared" si="25"/>
        <v>25</v>
      </c>
      <c r="U282" s="20">
        <v>0.27</v>
      </c>
      <c r="V282" s="20">
        <f t="shared" si="26"/>
        <v>0.81</v>
      </c>
      <c r="W282" s="20"/>
      <c r="X282" s="20"/>
      <c r="Y282" s="20">
        <f t="shared" si="27"/>
        <v>0</v>
      </c>
      <c r="Z282" s="21">
        <f t="shared" si="28"/>
        <v>-287.33333333333331</v>
      </c>
      <c r="AA282" s="20"/>
      <c r="AB282" s="20"/>
      <c r="AC282" s="20"/>
      <c r="AD282" s="20">
        <f t="shared" si="29"/>
        <v>0</v>
      </c>
      <c r="AE282" s="20"/>
      <c r="AF282" s="20"/>
      <c r="AG282" s="20"/>
      <c r="AH282" s="20"/>
      <c r="AI282" s="20">
        <f t="shared" si="30"/>
        <v>0</v>
      </c>
      <c r="AJ282" s="20"/>
    </row>
    <row r="283" spans="2:36">
      <c r="B283" s="11" t="s">
        <v>684</v>
      </c>
      <c r="C283" s="12" t="s">
        <v>685</v>
      </c>
      <c r="D283" s="12" t="s">
        <v>38</v>
      </c>
      <c r="E283" s="13" t="s">
        <v>39</v>
      </c>
      <c r="F283" s="14" t="str">
        <f>_xlfn.XLOOKUP(B283,'[1]Synthese suivi modernisation'!A:A,'[1]Synthese suivi modernisation'!S:S)</f>
        <v>OUAKAM</v>
      </c>
      <c r="G283" s="14" t="str">
        <f>_xlfn.XLOOKUP(B283,'[1]Synthese suivi modernisation'!A:A,'[1]Synthese suivi modernisation'!T:T)</f>
        <v>DAKAR</v>
      </c>
      <c r="H283" s="20" t="s">
        <v>180</v>
      </c>
      <c r="I283" s="20" t="s">
        <v>71</v>
      </c>
      <c r="J283" s="16" t="s">
        <v>180</v>
      </c>
      <c r="K283" s="24">
        <v>6000</v>
      </c>
      <c r="L283" s="14">
        <v>13</v>
      </c>
      <c r="M283" s="17" t="s">
        <v>73</v>
      </c>
      <c r="N283" s="16" t="s">
        <v>493</v>
      </c>
      <c r="O283" s="16">
        <v>110</v>
      </c>
      <c r="P283" s="18">
        <v>122.41666666666667</v>
      </c>
      <c r="Q283" s="20"/>
      <c r="R283" s="20"/>
      <c r="S283" s="19">
        <v>0.8</v>
      </c>
      <c r="T283" s="20">
        <f t="shared" si="25"/>
        <v>14.772727272727273</v>
      </c>
      <c r="U283" s="20">
        <v>0.27</v>
      </c>
      <c r="V283" s="20">
        <f t="shared" si="26"/>
        <v>3.5100000000000002</v>
      </c>
      <c r="W283" s="20"/>
      <c r="X283" s="20"/>
      <c r="Y283" s="20">
        <f t="shared" si="27"/>
        <v>0</v>
      </c>
      <c r="Z283" s="21">
        <f t="shared" si="28"/>
        <v>-122.41666666666667</v>
      </c>
      <c r="AA283" s="20"/>
      <c r="AB283" s="20"/>
      <c r="AC283" s="20"/>
      <c r="AD283" s="20">
        <f t="shared" si="29"/>
        <v>0</v>
      </c>
      <c r="AE283" s="20"/>
      <c r="AF283" s="20"/>
      <c r="AG283" s="20"/>
      <c r="AH283" s="20"/>
      <c r="AI283" s="20">
        <f t="shared" si="30"/>
        <v>0</v>
      </c>
      <c r="AJ283" s="20"/>
    </row>
    <row r="284" spans="2:36">
      <c r="B284" s="11" t="s">
        <v>686</v>
      </c>
      <c r="C284" s="12" t="s">
        <v>687</v>
      </c>
      <c r="D284" s="12" t="s">
        <v>38</v>
      </c>
      <c r="E284" s="13" t="s">
        <v>39</v>
      </c>
      <c r="F284" s="14" t="str">
        <f>_xlfn.XLOOKUP(B284,'[1]Synthese suivi modernisation'!A:A,'[1]Synthese suivi modernisation'!S:S)</f>
        <v>LINGUERE</v>
      </c>
      <c r="G284" s="14" t="str">
        <f>_xlfn.XLOOKUP(B284,'[1]Synthese suivi modernisation'!A:A,'[1]Synthese suivi modernisation'!T:T)</f>
        <v>THIES</v>
      </c>
      <c r="H284" s="20" t="s">
        <v>40</v>
      </c>
      <c r="I284" s="14" t="s">
        <v>41</v>
      </c>
      <c r="J284" s="16" t="s">
        <v>40</v>
      </c>
      <c r="K284" s="24">
        <v>3000</v>
      </c>
      <c r="L284" s="14">
        <v>3.5</v>
      </c>
      <c r="M284" s="17" t="s">
        <v>42</v>
      </c>
      <c r="N284" s="16" t="s">
        <v>227</v>
      </c>
      <c r="O284" s="16">
        <v>33</v>
      </c>
      <c r="P284" s="18">
        <v>221.5</v>
      </c>
      <c r="Q284" s="20"/>
      <c r="R284" s="20"/>
      <c r="S284" s="19">
        <v>0.8</v>
      </c>
      <c r="T284" s="20">
        <f t="shared" si="25"/>
        <v>13.257575757575758</v>
      </c>
      <c r="U284" s="20">
        <v>0.27</v>
      </c>
      <c r="V284" s="20">
        <f t="shared" si="26"/>
        <v>0.94500000000000006</v>
      </c>
      <c r="W284" s="20"/>
      <c r="X284" s="20"/>
      <c r="Y284" s="20">
        <f t="shared" si="27"/>
        <v>0</v>
      </c>
      <c r="Z284" s="21">
        <f t="shared" si="28"/>
        <v>-221.5</v>
      </c>
      <c r="AA284" s="20"/>
      <c r="AB284" s="20"/>
      <c r="AC284" s="20"/>
      <c r="AD284" s="20">
        <f t="shared" si="29"/>
        <v>0</v>
      </c>
      <c r="AE284" s="20"/>
      <c r="AF284" s="20"/>
      <c r="AG284" s="20"/>
      <c r="AH284" s="20"/>
      <c r="AI284" s="20">
        <f t="shared" si="30"/>
        <v>0</v>
      </c>
      <c r="AJ284" s="20"/>
    </row>
    <row r="285" spans="2:36">
      <c r="B285" s="11" t="s">
        <v>688</v>
      </c>
      <c r="C285" s="12" t="s">
        <v>689</v>
      </c>
      <c r="D285" s="12" t="s">
        <v>38</v>
      </c>
      <c r="E285" s="13" t="s">
        <v>39</v>
      </c>
      <c r="F285" s="14" t="str">
        <f>_xlfn.XLOOKUP(B285,'[1]Synthese suivi modernisation'!A:A,'[1]Synthese suivi modernisation'!S:S)</f>
        <v>ZIGUINCHOR</v>
      </c>
      <c r="G285" s="14" t="str">
        <f>_xlfn.XLOOKUP(B285,'[1]Synthese suivi modernisation'!A:A,'[1]Synthese suivi modernisation'!T:T)</f>
        <v>ZIGUINCHOR</v>
      </c>
      <c r="H285" s="20" t="s">
        <v>70</v>
      </c>
      <c r="I285" s="20" t="s">
        <v>71</v>
      </c>
      <c r="J285" s="16" t="s">
        <v>70</v>
      </c>
      <c r="K285" s="24">
        <v>11000</v>
      </c>
      <c r="L285" s="14">
        <v>8</v>
      </c>
      <c r="M285" s="17" t="s">
        <v>73</v>
      </c>
      <c r="N285" s="16" t="s">
        <v>116</v>
      </c>
      <c r="O285" s="16">
        <v>66</v>
      </c>
      <c r="P285" s="18">
        <v>38.5</v>
      </c>
      <c r="Q285" s="20"/>
      <c r="R285" s="20"/>
      <c r="S285" s="19">
        <v>0.8</v>
      </c>
      <c r="T285" s="20">
        <f t="shared" si="25"/>
        <v>15.151515151515149</v>
      </c>
      <c r="U285" s="20">
        <v>0.27</v>
      </c>
      <c r="V285" s="20">
        <f t="shared" si="26"/>
        <v>2.16</v>
      </c>
      <c r="W285" s="20"/>
      <c r="X285" s="20"/>
      <c r="Y285" s="20">
        <f t="shared" si="27"/>
        <v>0</v>
      </c>
      <c r="Z285" s="21">
        <f t="shared" si="28"/>
        <v>-38.5</v>
      </c>
      <c r="AA285" s="20"/>
      <c r="AB285" s="20"/>
      <c r="AC285" s="20"/>
      <c r="AD285" s="20">
        <f t="shared" si="29"/>
        <v>0</v>
      </c>
      <c r="AE285" s="20"/>
      <c r="AF285" s="20"/>
      <c r="AG285" s="20"/>
      <c r="AH285" s="20"/>
      <c r="AI285" s="20">
        <f t="shared" si="30"/>
        <v>0</v>
      </c>
      <c r="AJ285" s="20"/>
    </row>
    <row r="286" spans="2:36">
      <c r="B286" s="11" t="s">
        <v>690</v>
      </c>
      <c r="C286" s="12" t="s">
        <v>691</v>
      </c>
      <c r="D286" s="12" t="s">
        <v>38</v>
      </c>
      <c r="E286" s="13" t="s">
        <v>39</v>
      </c>
      <c r="F286" s="14" t="str">
        <f>_xlfn.XLOOKUP(B286,'[1]Synthese suivi modernisation'!A:A,'[1]Synthese suivi modernisation'!S:S)</f>
        <v>KAFFRINE</v>
      </c>
      <c r="G286" s="14" t="str">
        <f>_xlfn.XLOOKUP(B286,'[1]Synthese suivi modernisation'!A:A,'[1]Synthese suivi modernisation'!T:T)</f>
        <v>KAOLACK</v>
      </c>
      <c r="H286" s="20" t="s">
        <v>40</v>
      </c>
      <c r="I286" s="14" t="s">
        <v>41</v>
      </c>
      <c r="J286" s="16" t="s">
        <v>40</v>
      </c>
      <c r="K286" s="24">
        <v>2250</v>
      </c>
      <c r="L286" s="14">
        <v>3.5</v>
      </c>
      <c r="M286" s="17" t="s">
        <v>42</v>
      </c>
      <c r="N286" s="16" t="s">
        <v>80</v>
      </c>
      <c r="O286" s="16">
        <v>33</v>
      </c>
      <c r="P286" s="18">
        <v>221.5</v>
      </c>
      <c r="Q286" s="20"/>
      <c r="R286" s="20"/>
      <c r="S286" s="19">
        <v>0.8</v>
      </c>
      <c r="T286" s="20">
        <f t="shared" si="25"/>
        <v>13.257575757575758</v>
      </c>
      <c r="U286" s="20">
        <v>0.27</v>
      </c>
      <c r="V286" s="20">
        <f t="shared" si="26"/>
        <v>0.94500000000000006</v>
      </c>
      <c r="W286" s="20"/>
      <c r="X286" s="20"/>
      <c r="Y286" s="20">
        <f t="shared" si="27"/>
        <v>0</v>
      </c>
      <c r="Z286" s="21">
        <f t="shared" si="28"/>
        <v>-221.5</v>
      </c>
      <c r="AA286" s="20"/>
      <c r="AB286" s="20"/>
      <c r="AC286" s="20"/>
      <c r="AD286" s="20">
        <f t="shared" si="29"/>
        <v>0</v>
      </c>
      <c r="AE286" s="20"/>
      <c r="AF286" s="20"/>
      <c r="AG286" s="20"/>
      <c r="AH286" s="20"/>
      <c r="AI286" s="20">
        <f t="shared" si="30"/>
        <v>0</v>
      </c>
      <c r="AJ286" s="20"/>
    </row>
    <row r="287" spans="2:36">
      <c r="B287" s="11" t="s">
        <v>692</v>
      </c>
      <c r="C287" s="12" t="s">
        <v>693</v>
      </c>
      <c r="D287" s="12" t="s">
        <v>38</v>
      </c>
      <c r="E287" s="13" t="s">
        <v>39</v>
      </c>
      <c r="F287" s="14" t="str">
        <f>_xlfn.XLOOKUP(B287,'[1]Synthese suivi modernisation'!A:A,'[1]Synthese suivi modernisation'!S:S)</f>
        <v>THIES</v>
      </c>
      <c r="G287" s="14" t="str">
        <f>_xlfn.XLOOKUP(B287,'[1]Synthese suivi modernisation'!A:A,'[1]Synthese suivi modernisation'!T:T)</f>
        <v>THIES</v>
      </c>
      <c r="H287" s="20" t="s">
        <v>40</v>
      </c>
      <c r="I287" s="14" t="s">
        <v>41</v>
      </c>
      <c r="J287" s="16" t="s">
        <v>40</v>
      </c>
      <c r="K287" s="24">
        <v>1500</v>
      </c>
      <c r="L287" s="14">
        <v>3</v>
      </c>
      <c r="M287" s="17" t="s">
        <v>42</v>
      </c>
      <c r="N287" s="16" t="s">
        <v>80</v>
      </c>
      <c r="O287" s="16">
        <v>33</v>
      </c>
      <c r="P287" s="18">
        <v>290.66666666666669</v>
      </c>
      <c r="Q287" s="20"/>
      <c r="R287" s="20"/>
      <c r="S287" s="19">
        <v>0.8</v>
      </c>
      <c r="T287" s="20">
        <f t="shared" si="25"/>
        <v>11.363636363636363</v>
      </c>
      <c r="U287" s="20">
        <v>0.27</v>
      </c>
      <c r="V287" s="20">
        <f t="shared" si="26"/>
        <v>0.81</v>
      </c>
      <c r="W287" s="20"/>
      <c r="X287" s="20"/>
      <c r="Y287" s="20">
        <f t="shared" si="27"/>
        <v>0</v>
      </c>
      <c r="Z287" s="21">
        <f t="shared" si="28"/>
        <v>-290.66666666666669</v>
      </c>
      <c r="AA287" s="20"/>
      <c r="AB287" s="20"/>
      <c r="AC287" s="20"/>
      <c r="AD287" s="20">
        <f t="shared" si="29"/>
        <v>0</v>
      </c>
      <c r="AE287" s="20"/>
      <c r="AF287" s="20"/>
      <c r="AG287" s="20"/>
      <c r="AH287" s="20"/>
      <c r="AI287" s="20">
        <f t="shared" si="30"/>
        <v>0</v>
      </c>
      <c r="AJ287" s="20"/>
    </row>
    <row r="288" spans="2:36">
      <c r="B288" s="11" t="s">
        <v>694</v>
      </c>
      <c r="C288" s="12" t="s">
        <v>695</v>
      </c>
      <c r="D288" s="12" t="s">
        <v>38</v>
      </c>
      <c r="E288" s="13" t="s">
        <v>39</v>
      </c>
      <c r="F288" s="14" t="str">
        <f>_xlfn.XLOOKUP(B288,'[1]Synthese suivi modernisation'!A:A,'[1]Synthese suivi modernisation'!S:S)</f>
        <v>SACRE_COEUR</v>
      </c>
      <c r="G288" s="14" t="str">
        <f>_xlfn.XLOOKUP(B288,'[1]Synthese suivi modernisation'!A:A,'[1]Synthese suivi modernisation'!T:T)</f>
        <v>DAKAR</v>
      </c>
      <c r="H288" s="20" t="s">
        <v>535</v>
      </c>
      <c r="I288" s="20" t="s">
        <v>71</v>
      </c>
      <c r="J288" s="16" t="s">
        <v>535</v>
      </c>
      <c r="K288" s="24">
        <v>21000</v>
      </c>
      <c r="L288" s="14">
        <v>19</v>
      </c>
      <c r="M288" s="17" t="s">
        <v>73</v>
      </c>
      <c r="N288" s="16" t="s">
        <v>696</v>
      </c>
      <c r="O288" s="16">
        <v>410</v>
      </c>
      <c r="P288" s="18">
        <v>83.75</v>
      </c>
      <c r="Q288" s="20"/>
      <c r="R288" s="20"/>
      <c r="S288" s="19">
        <v>0.8</v>
      </c>
      <c r="T288" s="20">
        <f t="shared" si="25"/>
        <v>5.7926829268292686</v>
      </c>
      <c r="U288" s="20">
        <v>0.27</v>
      </c>
      <c r="V288" s="20">
        <f t="shared" si="26"/>
        <v>5.1300000000000008</v>
      </c>
      <c r="W288" s="20"/>
      <c r="X288" s="20"/>
      <c r="Y288" s="20">
        <f t="shared" si="27"/>
        <v>0</v>
      </c>
      <c r="Z288" s="21">
        <f t="shared" si="28"/>
        <v>-83.75</v>
      </c>
      <c r="AA288" s="20"/>
      <c r="AB288" s="20"/>
      <c r="AC288" s="20"/>
      <c r="AD288" s="20">
        <f t="shared" si="29"/>
        <v>0</v>
      </c>
      <c r="AE288" s="20"/>
      <c r="AF288" s="20"/>
      <c r="AG288" s="20"/>
      <c r="AH288" s="20"/>
      <c r="AI288" s="20">
        <f t="shared" si="30"/>
        <v>0</v>
      </c>
      <c r="AJ288" s="20"/>
    </row>
    <row r="289" spans="2:36">
      <c r="B289" s="11" t="s">
        <v>697</v>
      </c>
      <c r="C289" s="12" t="s">
        <v>698</v>
      </c>
      <c r="D289" s="12" t="s">
        <v>38</v>
      </c>
      <c r="E289" s="13" t="s">
        <v>39</v>
      </c>
      <c r="F289" s="14" t="str">
        <f>_xlfn.XLOOKUP(B289,'[1]Synthese suivi modernisation'!A:A,'[1]Synthese suivi modernisation'!S:S)</f>
        <v>ZIGUINCHOR</v>
      </c>
      <c r="G289" s="14" t="str">
        <f>_xlfn.XLOOKUP(B289,'[1]Synthese suivi modernisation'!A:A,'[1]Synthese suivi modernisation'!T:T)</f>
        <v>ZIGUINCHOR</v>
      </c>
      <c r="H289" s="20" t="s">
        <v>180</v>
      </c>
      <c r="I289" s="20" t="s">
        <v>71</v>
      </c>
      <c r="J289" s="16" t="s">
        <v>180</v>
      </c>
      <c r="K289" s="24">
        <v>3000</v>
      </c>
      <c r="L289" s="14">
        <v>3</v>
      </c>
      <c r="M289" s="17" t="s">
        <v>73</v>
      </c>
      <c r="N289" s="16" t="s">
        <v>63</v>
      </c>
      <c r="O289" s="16">
        <v>30</v>
      </c>
      <c r="P289" s="18">
        <v>26.916666666666668</v>
      </c>
      <c r="Q289" s="20"/>
      <c r="R289" s="20"/>
      <c r="S289" s="19">
        <v>0.8</v>
      </c>
      <c r="T289" s="20">
        <f t="shared" si="25"/>
        <v>12.5</v>
      </c>
      <c r="U289" s="20">
        <v>0.27</v>
      </c>
      <c r="V289" s="20">
        <f t="shared" si="26"/>
        <v>0.81</v>
      </c>
      <c r="W289" s="20"/>
      <c r="X289" s="20"/>
      <c r="Y289" s="20">
        <f t="shared" si="27"/>
        <v>0</v>
      </c>
      <c r="Z289" s="21">
        <f t="shared" si="28"/>
        <v>-26.916666666666668</v>
      </c>
      <c r="AA289" s="20"/>
      <c r="AB289" s="20"/>
      <c r="AC289" s="20"/>
      <c r="AD289" s="20">
        <f t="shared" si="29"/>
        <v>0</v>
      </c>
      <c r="AE289" s="20"/>
      <c r="AF289" s="20"/>
      <c r="AG289" s="20"/>
      <c r="AH289" s="20"/>
      <c r="AI289" s="20">
        <f t="shared" si="30"/>
        <v>0</v>
      </c>
      <c r="AJ289" s="20"/>
    </row>
    <row r="290" spans="2:36">
      <c r="B290" s="11" t="s">
        <v>699</v>
      </c>
      <c r="C290" s="12" t="s">
        <v>700</v>
      </c>
      <c r="D290" s="12" t="s">
        <v>38</v>
      </c>
      <c r="E290" s="13" t="s">
        <v>39</v>
      </c>
      <c r="F290" s="14" t="str">
        <f>_xlfn.XLOOKUP(B290,'[1]Synthese suivi modernisation'!A:A,'[1]Synthese suivi modernisation'!S:S)</f>
        <v>NDIOUM</v>
      </c>
      <c r="G290" s="14" t="str">
        <f>_xlfn.XLOOKUP(B290,'[1]Synthese suivi modernisation'!A:A,'[1]Synthese suivi modernisation'!T:T)</f>
        <v>SAINT-LOUIS</v>
      </c>
      <c r="H290" s="20" t="s">
        <v>70</v>
      </c>
      <c r="I290" s="20" t="s">
        <v>71</v>
      </c>
      <c r="J290" s="16" t="s">
        <v>70</v>
      </c>
      <c r="K290" s="24">
        <v>10000</v>
      </c>
      <c r="L290" s="14">
        <v>12</v>
      </c>
      <c r="M290" s="17" t="s">
        <v>73</v>
      </c>
      <c r="N290" s="16" t="s">
        <v>80</v>
      </c>
      <c r="O290" s="16">
        <v>33</v>
      </c>
      <c r="P290" s="18">
        <v>70.916666666666671</v>
      </c>
      <c r="Q290" s="20"/>
      <c r="R290" s="20"/>
      <c r="S290" s="19">
        <v>0.8</v>
      </c>
      <c r="T290" s="20">
        <f t="shared" si="25"/>
        <v>45.454545454545453</v>
      </c>
      <c r="U290" s="20">
        <v>0.27</v>
      </c>
      <c r="V290" s="20">
        <f t="shared" si="26"/>
        <v>3.24</v>
      </c>
      <c r="W290" s="20"/>
      <c r="X290" s="20"/>
      <c r="Y290" s="20">
        <f t="shared" si="27"/>
        <v>0</v>
      </c>
      <c r="Z290" s="21">
        <f t="shared" si="28"/>
        <v>-70.916666666666671</v>
      </c>
      <c r="AA290" s="20"/>
      <c r="AB290" s="20"/>
      <c r="AC290" s="20"/>
      <c r="AD290" s="20">
        <f t="shared" si="29"/>
        <v>0</v>
      </c>
      <c r="AE290" s="20"/>
      <c r="AF290" s="20"/>
      <c r="AG290" s="20"/>
      <c r="AH290" s="20"/>
      <c r="AI290" s="20">
        <f t="shared" si="30"/>
        <v>0</v>
      </c>
      <c r="AJ290" s="20"/>
    </row>
    <row r="291" spans="2:36">
      <c r="B291" s="11" t="s">
        <v>701</v>
      </c>
      <c r="C291" s="12" t="s">
        <v>702</v>
      </c>
      <c r="D291" s="12" t="s">
        <v>38</v>
      </c>
      <c r="E291" s="13" t="s">
        <v>39</v>
      </c>
      <c r="F291" s="14" t="str">
        <f>_xlfn.XLOOKUP(B291,'[1]Synthese suivi modernisation'!A:A,'[1]Synthese suivi modernisation'!S:S)</f>
        <v>ZIGUINCHOR</v>
      </c>
      <c r="G291" s="14" t="str">
        <f>_xlfn.XLOOKUP(B291,'[1]Synthese suivi modernisation'!A:A,'[1]Synthese suivi modernisation'!T:T)</f>
        <v>ZIGUINCHOR</v>
      </c>
      <c r="H291" s="20" t="s">
        <v>40</v>
      </c>
      <c r="I291" s="14" t="s">
        <v>41</v>
      </c>
      <c r="J291" s="16" t="s">
        <v>40</v>
      </c>
      <c r="K291" s="24">
        <v>3500</v>
      </c>
      <c r="L291" s="14">
        <v>3</v>
      </c>
      <c r="M291" s="17" t="s">
        <v>42</v>
      </c>
      <c r="N291" s="16" t="s">
        <v>51</v>
      </c>
      <c r="O291" s="16">
        <v>22</v>
      </c>
      <c r="P291" s="18">
        <v>322.16666666666669</v>
      </c>
      <c r="Q291" s="20"/>
      <c r="R291" s="20"/>
      <c r="S291" s="19">
        <v>0.8</v>
      </c>
      <c r="T291" s="20">
        <f t="shared" si="25"/>
        <v>17.045454545454543</v>
      </c>
      <c r="U291" s="20">
        <v>0.27</v>
      </c>
      <c r="V291" s="20">
        <f t="shared" si="26"/>
        <v>0.81</v>
      </c>
      <c r="W291" s="20"/>
      <c r="X291" s="20"/>
      <c r="Y291" s="20">
        <f t="shared" si="27"/>
        <v>0</v>
      </c>
      <c r="Z291" s="21">
        <f t="shared" si="28"/>
        <v>-322.16666666666669</v>
      </c>
      <c r="AA291" s="20"/>
      <c r="AB291" s="20"/>
      <c r="AC291" s="20"/>
      <c r="AD291" s="20">
        <f t="shared" si="29"/>
        <v>0</v>
      </c>
      <c r="AE291" s="20"/>
      <c r="AF291" s="20"/>
      <c r="AG291" s="20"/>
      <c r="AH291" s="20"/>
      <c r="AI291" s="20">
        <f t="shared" si="30"/>
        <v>0</v>
      </c>
      <c r="AJ291" s="20"/>
    </row>
    <row r="292" spans="2:36">
      <c r="B292" s="11" t="s">
        <v>703</v>
      </c>
      <c r="C292" s="12" t="s">
        <v>704</v>
      </c>
      <c r="D292" s="12" t="s">
        <v>38</v>
      </c>
      <c r="E292" s="13" t="s">
        <v>39</v>
      </c>
      <c r="F292" s="14" t="str">
        <f>_xlfn.XLOOKUP(B292,'[1]Synthese suivi modernisation'!A:A,'[1]Synthese suivi modernisation'!S:S)</f>
        <v>OUAKAM</v>
      </c>
      <c r="G292" s="14" t="str">
        <f>_xlfn.XLOOKUP(B292,'[1]Synthese suivi modernisation'!A:A,'[1]Synthese suivi modernisation'!T:T)</f>
        <v>DAKAR</v>
      </c>
      <c r="H292" s="20" t="s">
        <v>242</v>
      </c>
      <c r="I292" s="20" t="s">
        <v>143</v>
      </c>
      <c r="J292" s="16" t="s">
        <v>242</v>
      </c>
      <c r="K292" s="24">
        <v>6000</v>
      </c>
      <c r="L292" s="14">
        <v>8</v>
      </c>
      <c r="M292" s="17" t="s">
        <v>73</v>
      </c>
      <c r="N292" s="16" t="s">
        <v>705</v>
      </c>
      <c r="O292" s="16">
        <v>44</v>
      </c>
      <c r="P292" s="18">
        <v>44.5</v>
      </c>
      <c r="Q292" s="20"/>
      <c r="R292" s="20"/>
      <c r="S292" s="19">
        <v>0.8</v>
      </c>
      <c r="T292" s="20">
        <f t="shared" si="25"/>
        <v>22.727272727272727</v>
      </c>
      <c r="U292" s="20">
        <v>0.27</v>
      </c>
      <c r="V292" s="20">
        <f t="shared" si="26"/>
        <v>2.16</v>
      </c>
      <c r="W292" s="20"/>
      <c r="X292" s="20"/>
      <c r="Y292" s="20">
        <f t="shared" si="27"/>
        <v>0</v>
      </c>
      <c r="Z292" s="21">
        <f t="shared" si="28"/>
        <v>-44.5</v>
      </c>
      <c r="AA292" s="20"/>
      <c r="AB292" s="20"/>
      <c r="AC292" s="20"/>
      <c r="AD292" s="20">
        <f t="shared" si="29"/>
        <v>0</v>
      </c>
      <c r="AE292" s="20"/>
      <c r="AF292" s="20"/>
      <c r="AG292" s="20"/>
      <c r="AH292" s="20"/>
      <c r="AI292" s="20">
        <f t="shared" si="30"/>
        <v>0</v>
      </c>
      <c r="AJ292" s="20"/>
    </row>
    <row r="293" spans="2:36">
      <c r="B293" s="11" t="s">
        <v>706</v>
      </c>
      <c r="C293" s="12" t="s">
        <v>707</v>
      </c>
      <c r="D293" s="12" t="s">
        <v>38</v>
      </c>
      <c r="E293" s="13" t="s">
        <v>39</v>
      </c>
      <c r="F293" s="14" t="str">
        <f>_xlfn.XLOOKUP(B293,'[1]Synthese suivi modernisation'!A:A,'[1]Synthese suivi modernisation'!S:S)</f>
        <v>MATAM</v>
      </c>
      <c r="G293" s="14" t="str">
        <f>_xlfn.XLOOKUP(B293,'[1]Synthese suivi modernisation'!A:A,'[1]Synthese suivi modernisation'!T:T)</f>
        <v>SAINT-LOUIS</v>
      </c>
      <c r="H293" s="20" t="s">
        <v>355</v>
      </c>
      <c r="I293" s="20" t="s">
        <v>71</v>
      </c>
      <c r="J293" s="16" t="s">
        <v>520</v>
      </c>
      <c r="K293" s="24">
        <v>7000</v>
      </c>
      <c r="L293" s="14">
        <v>8</v>
      </c>
      <c r="M293" s="17" t="s">
        <v>73</v>
      </c>
      <c r="N293" s="16" t="s">
        <v>96</v>
      </c>
      <c r="O293" s="16">
        <v>22</v>
      </c>
      <c r="P293" s="18">
        <v>0</v>
      </c>
      <c r="Q293" s="20"/>
      <c r="R293" s="20"/>
      <c r="S293" s="19">
        <v>0.8</v>
      </c>
      <c r="T293" s="20">
        <f t="shared" si="25"/>
        <v>45.454545454545453</v>
      </c>
      <c r="U293" s="20">
        <v>0.27</v>
      </c>
      <c r="V293" s="20">
        <f t="shared" si="26"/>
        <v>2.16</v>
      </c>
      <c r="W293" s="20"/>
      <c r="X293" s="20"/>
      <c r="Y293" s="20">
        <f t="shared" si="27"/>
        <v>0</v>
      </c>
      <c r="Z293" s="21">
        <f t="shared" si="28"/>
        <v>0</v>
      </c>
      <c r="AA293" s="20"/>
      <c r="AB293" s="20"/>
      <c r="AC293" s="20"/>
      <c r="AD293" s="20">
        <f t="shared" si="29"/>
        <v>0</v>
      </c>
      <c r="AE293" s="20"/>
      <c r="AF293" s="20"/>
      <c r="AG293" s="20"/>
      <c r="AH293" s="20"/>
      <c r="AI293" s="20">
        <f t="shared" si="30"/>
        <v>0</v>
      </c>
      <c r="AJ293" s="20"/>
    </row>
    <row r="294" spans="2:36">
      <c r="B294" s="11" t="s">
        <v>708</v>
      </c>
      <c r="C294" s="12" t="s">
        <v>709</v>
      </c>
      <c r="D294" s="12" t="s">
        <v>38</v>
      </c>
      <c r="E294" s="13" t="s">
        <v>39</v>
      </c>
      <c r="F294" s="14" t="str">
        <f>_xlfn.XLOOKUP(B294,'[1]Synthese suivi modernisation'!A:A,'[1]Synthese suivi modernisation'!S:S)</f>
        <v>TIVAOUANE</v>
      </c>
      <c r="G294" s="14" t="str">
        <f>_xlfn.XLOOKUP(B294,'[1]Synthese suivi modernisation'!A:A,'[1]Synthese suivi modernisation'!T:T)</f>
        <v>THIES</v>
      </c>
      <c r="H294" s="20" t="s">
        <v>40</v>
      </c>
      <c r="I294" s="14" t="s">
        <v>41</v>
      </c>
      <c r="J294" s="16" t="s">
        <v>40</v>
      </c>
      <c r="K294" s="24">
        <v>4000</v>
      </c>
      <c r="L294" s="14">
        <v>6</v>
      </c>
      <c r="M294" s="17" t="s">
        <v>42</v>
      </c>
      <c r="N294" s="16" t="s">
        <v>196</v>
      </c>
      <c r="O294" s="16">
        <v>66</v>
      </c>
      <c r="P294" s="18">
        <v>798.75</v>
      </c>
      <c r="Q294" s="20"/>
      <c r="R294" s="20"/>
      <c r="S294" s="19">
        <v>0.8</v>
      </c>
      <c r="T294" s="20">
        <f t="shared" si="25"/>
        <v>11.363636363636363</v>
      </c>
      <c r="U294" s="20">
        <v>0.27</v>
      </c>
      <c r="V294" s="20">
        <f t="shared" si="26"/>
        <v>1.62</v>
      </c>
      <c r="W294" s="20"/>
      <c r="X294" s="20"/>
      <c r="Y294" s="20">
        <f t="shared" si="27"/>
        <v>0</v>
      </c>
      <c r="Z294" s="21">
        <f t="shared" si="28"/>
        <v>-798.75</v>
      </c>
      <c r="AA294" s="20"/>
      <c r="AB294" s="20"/>
      <c r="AC294" s="20"/>
      <c r="AD294" s="20">
        <f t="shared" si="29"/>
        <v>0</v>
      </c>
      <c r="AE294" s="20"/>
      <c r="AF294" s="20"/>
      <c r="AG294" s="20"/>
      <c r="AH294" s="20"/>
      <c r="AI294" s="20">
        <f t="shared" si="30"/>
        <v>0</v>
      </c>
      <c r="AJ294" s="20"/>
    </row>
    <row r="295" spans="2:36">
      <c r="B295" s="11" t="s">
        <v>710</v>
      </c>
      <c r="C295" s="12" t="s">
        <v>711</v>
      </c>
      <c r="D295" s="12" t="s">
        <v>38</v>
      </c>
      <c r="E295" s="13" t="s">
        <v>39</v>
      </c>
      <c r="F295" s="14" t="str">
        <f>_xlfn.XLOOKUP(B295,'[1]Synthese suivi modernisation'!A:A,'[1]Synthese suivi modernisation'!S:S)</f>
        <v>MEDINA</v>
      </c>
      <c r="G295" s="14" t="str">
        <f>_xlfn.XLOOKUP(B295,'[1]Synthese suivi modernisation'!A:A,'[1]Synthese suivi modernisation'!T:T)</f>
        <v>DAKAR</v>
      </c>
      <c r="H295" s="20" t="s">
        <v>712</v>
      </c>
      <c r="I295" s="20" t="s">
        <v>71</v>
      </c>
      <c r="J295" s="16" t="s">
        <v>712</v>
      </c>
      <c r="K295" s="24">
        <v>4000</v>
      </c>
      <c r="L295" s="14">
        <v>8</v>
      </c>
      <c r="M295" s="17" t="s">
        <v>73</v>
      </c>
      <c r="N295" s="16" t="s">
        <v>410</v>
      </c>
      <c r="O295" s="16">
        <v>88</v>
      </c>
      <c r="P295" s="18">
        <v>58.833333333333336</v>
      </c>
      <c r="Q295" s="20"/>
      <c r="R295" s="20"/>
      <c r="S295" s="19">
        <v>0.8</v>
      </c>
      <c r="T295" s="20">
        <f t="shared" si="25"/>
        <v>11.363636363636363</v>
      </c>
      <c r="U295" s="20">
        <v>0.27</v>
      </c>
      <c r="V295" s="20">
        <f t="shared" si="26"/>
        <v>2.16</v>
      </c>
      <c r="W295" s="20"/>
      <c r="X295" s="20"/>
      <c r="Y295" s="20">
        <f t="shared" si="27"/>
        <v>0</v>
      </c>
      <c r="Z295" s="21">
        <f t="shared" si="28"/>
        <v>-58.833333333333336</v>
      </c>
      <c r="AA295" s="20"/>
      <c r="AB295" s="20"/>
      <c r="AC295" s="20"/>
      <c r="AD295" s="20">
        <f t="shared" si="29"/>
        <v>0</v>
      </c>
      <c r="AE295" s="20"/>
      <c r="AF295" s="20"/>
      <c r="AG295" s="20"/>
      <c r="AH295" s="20"/>
      <c r="AI295" s="20">
        <f t="shared" si="30"/>
        <v>0</v>
      </c>
      <c r="AJ295" s="20"/>
    </row>
    <row r="296" spans="2:36">
      <c r="B296" s="11" t="s">
        <v>713</v>
      </c>
      <c r="C296" s="12" t="s">
        <v>714</v>
      </c>
      <c r="D296" s="12" t="s">
        <v>38</v>
      </c>
      <c r="E296" s="13" t="s">
        <v>39</v>
      </c>
      <c r="F296" s="14" t="str">
        <f>_xlfn.XLOOKUP(B296,'[1]Synthese suivi modernisation'!A:A,'[1]Synthese suivi modernisation'!S:S)</f>
        <v>RUFISQUE</v>
      </c>
      <c r="G296" s="14" t="str">
        <f>_xlfn.XLOOKUP(B296,'[1]Synthese suivi modernisation'!A:A,'[1]Synthese suivi modernisation'!T:T)</f>
        <v>DAKAR</v>
      </c>
      <c r="H296" s="20" t="s">
        <v>436</v>
      </c>
      <c r="I296" s="20" t="s">
        <v>71</v>
      </c>
      <c r="J296" s="16" t="s">
        <v>436</v>
      </c>
      <c r="K296" s="24">
        <v>6000</v>
      </c>
      <c r="L296" s="14">
        <v>5</v>
      </c>
      <c r="M296" s="17" t="s">
        <v>73</v>
      </c>
      <c r="N296" s="16" t="s">
        <v>324</v>
      </c>
      <c r="O296" s="16">
        <v>22</v>
      </c>
      <c r="P296" s="18">
        <v>37.5</v>
      </c>
      <c r="Q296" s="20"/>
      <c r="R296" s="20"/>
      <c r="S296" s="19">
        <v>0.8</v>
      </c>
      <c r="T296" s="20">
        <f t="shared" si="25"/>
        <v>28.409090909090907</v>
      </c>
      <c r="U296" s="20">
        <v>0.27</v>
      </c>
      <c r="V296" s="20">
        <f t="shared" si="26"/>
        <v>1.35</v>
      </c>
      <c r="W296" s="20"/>
      <c r="X296" s="20"/>
      <c r="Y296" s="20">
        <f t="shared" si="27"/>
        <v>0</v>
      </c>
      <c r="Z296" s="21">
        <f t="shared" si="28"/>
        <v>-37.5</v>
      </c>
      <c r="AA296" s="20"/>
      <c r="AB296" s="20"/>
      <c r="AC296" s="20"/>
      <c r="AD296" s="20">
        <f t="shared" si="29"/>
        <v>0</v>
      </c>
      <c r="AE296" s="20"/>
      <c r="AF296" s="20"/>
      <c r="AG296" s="20"/>
      <c r="AH296" s="20"/>
      <c r="AI296" s="20">
        <f t="shared" si="30"/>
        <v>0</v>
      </c>
      <c r="AJ296" s="20"/>
    </row>
    <row r="297" spans="2:36">
      <c r="B297" s="11" t="s">
        <v>715</v>
      </c>
      <c r="C297" s="12" t="s">
        <v>716</v>
      </c>
      <c r="D297" s="12" t="s">
        <v>38</v>
      </c>
      <c r="E297" s="13" t="s">
        <v>39</v>
      </c>
      <c r="F297" s="14" t="str">
        <f>_xlfn.XLOOKUP(B297,'[1]Synthese suivi modernisation'!A:A,'[1]Synthese suivi modernisation'!S:S)</f>
        <v>MBOUR</v>
      </c>
      <c r="G297" s="14" t="str">
        <f>_xlfn.XLOOKUP(B297,'[1]Synthese suivi modernisation'!A:A,'[1]Synthese suivi modernisation'!T:T)</f>
        <v>THIES</v>
      </c>
      <c r="H297" s="20" t="s">
        <v>40</v>
      </c>
      <c r="I297" s="14" t="s">
        <v>41</v>
      </c>
      <c r="J297" s="16" t="s">
        <v>40</v>
      </c>
      <c r="K297" s="24">
        <v>5500</v>
      </c>
      <c r="L297" s="14">
        <v>4.5</v>
      </c>
      <c r="M297" s="17" t="s">
        <v>42</v>
      </c>
      <c r="N297" s="16" t="s">
        <v>67</v>
      </c>
      <c r="O297" s="16">
        <v>50</v>
      </c>
      <c r="P297" s="18">
        <v>669.91666666666663</v>
      </c>
      <c r="Q297" s="20"/>
      <c r="R297" s="20"/>
      <c r="S297" s="19">
        <v>0.8</v>
      </c>
      <c r="T297" s="20">
        <f t="shared" si="25"/>
        <v>11.25</v>
      </c>
      <c r="U297" s="20">
        <v>0.27</v>
      </c>
      <c r="V297" s="20">
        <f t="shared" si="26"/>
        <v>1.2150000000000001</v>
      </c>
      <c r="W297" s="20"/>
      <c r="X297" s="20"/>
      <c r="Y297" s="20">
        <f t="shared" si="27"/>
        <v>0</v>
      </c>
      <c r="Z297" s="21">
        <f t="shared" si="28"/>
        <v>-669.91666666666663</v>
      </c>
      <c r="AA297" s="20"/>
      <c r="AB297" s="20"/>
      <c r="AC297" s="20"/>
      <c r="AD297" s="20">
        <f t="shared" si="29"/>
        <v>0</v>
      </c>
      <c r="AE297" s="20"/>
      <c r="AF297" s="20"/>
      <c r="AG297" s="20"/>
      <c r="AH297" s="20"/>
      <c r="AI297" s="20">
        <f t="shared" si="30"/>
        <v>0</v>
      </c>
      <c r="AJ297" s="20"/>
    </row>
    <row r="298" spans="2:36">
      <c r="B298" s="11" t="s">
        <v>717</v>
      </c>
      <c r="C298" s="12" t="s">
        <v>718</v>
      </c>
      <c r="D298" s="12" t="s">
        <v>38</v>
      </c>
      <c r="E298" s="13" t="s">
        <v>39</v>
      </c>
      <c r="F298" s="14" t="str">
        <f>_xlfn.XLOOKUP(B298,'[1]Synthese suivi modernisation'!A:A,'[1]Synthese suivi modernisation'!S:S)</f>
        <v>MBOUR</v>
      </c>
      <c r="G298" s="14" t="str">
        <f>_xlfn.XLOOKUP(B298,'[1]Synthese suivi modernisation'!A:A,'[1]Synthese suivi modernisation'!T:T)</f>
        <v>THIES</v>
      </c>
      <c r="H298" s="20" t="s">
        <v>40</v>
      </c>
      <c r="I298" s="14" t="s">
        <v>41</v>
      </c>
      <c r="J298" s="16" t="s">
        <v>40</v>
      </c>
      <c r="K298" s="24">
        <v>4000</v>
      </c>
      <c r="L298" s="14">
        <v>4.5</v>
      </c>
      <c r="M298" s="17" t="s">
        <v>42</v>
      </c>
      <c r="N298" s="16" t="s">
        <v>719</v>
      </c>
      <c r="O298" s="16">
        <v>22</v>
      </c>
      <c r="P298" s="18">
        <v>692.75</v>
      </c>
      <c r="Q298" s="20"/>
      <c r="R298" s="20"/>
      <c r="S298" s="19">
        <v>0.8</v>
      </c>
      <c r="T298" s="20">
        <f t="shared" si="25"/>
        <v>25.568181818181817</v>
      </c>
      <c r="U298" s="20">
        <v>0.27</v>
      </c>
      <c r="V298" s="20">
        <f t="shared" si="26"/>
        <v>1.2150000000000001</v>
      </c>
      <c r="W298" s="20"/>
      <c r="X298" s="20"/>
      <c r="Y298" s="20">
        <f t="shared" si="27"/>
        <v>0</v>
      </c>
      <c r="Z298" s="21">
        <f t="shared" si="28"/>
        <v>-692.75</v>
      </c>
      <c r="AA298" s="20"/>
      <c r="AB298" s="20"/>
      <c r="AC298" s="20"/>
      <c r="AD298" s="20">
        <f t="shared" si="29"/>
        <v>0</v>
      </c>
      <c r="AE298" s="20"/>
      <c r="AF298" s="20"/>
      <c r="AG298" s="20"/>
      <c r="AH298" s="20"/>
      <c r="AI298" s="20">
        <f t="shared" si="30"/>
        <v>0</v>
      </c>
      <c r="AJ298" s="20"/>
    </row>
    <row r="299" spans="2:36">
      <c r="B299" s="11" t="s">
        <v>720</v>
      </c>
      <c r="C299" s="12" t="s">
        <v>721</v>
      </c>
      <c r="D299" s="12" t="s">
        <v>38</v>
      </c>
      <c r="E299" s="13" t="s">
        <v>39</v>
      </c>
      <c r="F299" s="14" t="str">
        <f>_xlfn.XLOOKUP(B299,'[1]Synthese suivi modernisation'!A:A,'[1]Synthese suivi modernisation'!S:S)</f>
        <v>MBOUR</v>
      </c>
      <c r="G299" s="14" t="str">
        <f>_xlfn.XLOOKUP(B299,'[1]Synthese suivi modernisation'!A:A,'[1]Synthese suivi modernisation'!T:T)</f>
        <v>THIES</v>
      </c>
      <c r="H299" s="20" t="s">
        <v>40</v>
      </c>
      <c r="I299" s="14" t="s">
        <v>41</v>
      </c>
      <c r="J299" s="16" t="s">
        <v>40</v>
      </c>
      <c r="K299" s="24">
        <v>4000</v>
      </c>
      <c r="L299" s="14">
        <v>9.5</v>
      </c>
      <c r="M299" s="17" t="s">
        <v>42</v>
      </c>
      <c r="N299" s="16" t="s">
        <v>48</v>
      </c>
      <c r="O299" s="16">
        <v>22</v>
      </c>
      <c r="P299" s="18">
        <v>2050.9166666666665</v>
      </c>
      <c r="Q299" s="20"/>
      <c r="R299" s="20"/>
      <c r="S299" s="19">
        <v>0.8</v>
      </c>
      <c r="T299" s="20">
        <f t="shared" si="25"/>
        <v>53.97727272727272</v>
      </c>
      <c r="U299" s="20">
        <v>0.27</v>
      </c>
      <c r="V299" s="20">
        <f t="shared" si="26"/>
        <v>2.5650000000000004</v>
      </c>
      <c r="W299" s="20"/>
      <c r="X299" s="20"/>
      <c r="Y299" s="20">
        <f t="shared" si="27"/>
        <v>0</v>
      </c>
      <c r="Z299" s="21">
        <f t="shared" si="28"/>
        <v>-2050.9166666666665</v>
      </c>
      <c r="AA299" s="20"/>
      <c r="AB299" s="20"/>
      <c r="AC299" s="20"/>
      <c r="AD299" s="20">
        <f t="shared" si="29"/>
        <v>0</v>
      </c>
      <c r="AE299" s="20"/>
      <c r="AF299" s="20"/>
      <c r="AG299" s="20"/>
      <c r="AH299" s="20"/>
      <c r="AI299" s="20">
        <f t="shared" si="30"/>
        <v>0</v>
      </c>
      <c r="AJ299" s="20"/>
    </row>
    <row r="300" spans="2:36">
      <c r="B300" s="11" t="s">
        <v>722</v>
      </c>
      <c r="C300" s="12" t="s">
        <v>723</v>
      </c>
      <c r="D300" s="12" t="s">
        <v>38</v>
      </c>
      <c r="E300" s="13" t="s">
        <v>39</v>
      </c>
      <c r="F300" s="14" t="str">
        <f>_xlfn.XLOOKUP(B300,'[1]Synthese suivi modernisation'!A:A,'[1]Synthese suivi modernisation'!S:S)</f>
        <v>TAMBA</v>
      </c>
      <c r="G300" s="14" t="str">
        <f>_xlfn.XLOOKUP(B300,'[1]Synthese suivi modernisation'!A:A,'[1]Synthese suivi modernisation'!T:T)</f>
        <v>TAMBACOUNDA</v>
      </c>
      <c r="H300" s="20" t="s">
        <v>70</v>
      </c>
      <c r="I300" s="20" t="s">
        <v>71</v>
      </c>
      <c r="J300" s="16" t="s">
        <v>70</v>
      </c>
      <c r="K300" s="24">
        <v>7000</v>
      </c>
      <c r="L300" s="14">
        <v>3</v>
      </c>
      <c r="M300" s="17" t="s">
        <v>73</v>
      </c>
      <c r="N300" s="16" t="s">
        <v>60</v>
      </c>
      <c r="O300" s="16">
        <v>33</v>
      </c>
      <c r="P300" s="18">
        <v>44.583333333333336</v>
      </c>
      <c r="Q300" s="20"/>
      <c r="R300" s="20"/>
      <c r="S300" s="19">
        <v>0.8</v>
      </c>
      <c r="T300" s="20">
        <f t="shared" si="25"/>
        <v>11.363636363636363</v>
      </c>
      <c r="U300" s="20">
        <v>0.27</v>
      </c>
      <c r="V300" s="20">
        <f t="shared" si="26"/>
        <v>0.81</v>
      </c>
      <c r="W300" s="20"/>
      <c r="X300" s="20"/>
      <c r="Y300" s="20">
        <f t="shared" si="27"/>
        <v>0</v>
      </c>
      <c r="Z300" s="21">
        <f t="shared" si="28"/>
        <v>-44.583333333333336</v>
      </c>
      <c r="AA300" s="20"/>
      <c r="AB300" s="20"/>
      <c r="AC300" s="20"/>
      <c r="AD300" s="20">
        <f t="shared" si="29"/>
        <v>0</v>
      </c>
      <c r="AE300" s="20"/>
      <c r="AF300" s="20"/>
      <c r="AG300" s="20"/>
      <c r="AH300" s="20"/>
      <c r="AI300" s="20">
        <f t="shared" si="30"/>
        <v>0</v>
      </c>
      <c r="AJ300" s="20"/>
    </row>
    <row r="301" spans="2:36">
      <c r="B301" s="11" t="s">
        <v>724</v>
      </c>
      <c r="C301" s="12" t="s">
        <v>725</v>
      </c>
      <c r="D301" s="12" t="s">
        <v>38</v>
      </c>
      <c r="E301" s="13" t="s">
        <v>39</v>
      </c>
      <c r="F301" s="14" t="str">
        <f>_xlfn.XLOOKUP(B301,'[1]Synthese suivi modernisation'!A:A,'[1]Synthese suivi modernisation'!S:S)</f>
        <v>BAKEL</v>
      </c>
      <c r="G301" s="14" t="str">
        <f>_xlfn.XLOOKUP(B301,'[1]Synthese suivi modernisation'!A:A,'[1]Synthese suivi modernisation'!T:T)</f>
        <v>SAINT-LOUIS</v>
      </c>
      <c r="H301" s="20" t="s">
        <v>70</v>
      </c>
      <c r="I301" s="20" t="s">
        <v>71</v>
      </c>
      <c r="J301" s="16" t="s">
        <v>70</v>
      </c>
      <c r="K301" s="24">
        <v>16000</v>
      </c>
      <c r="L301" s="14">
        <v>14</v>
      </c>
      <c r="M301" s="17" t="s">
        <v>73</v>
      </c>
      <c r="N301" s="16" t="s">
        <v>196</v>
      </c>
      <c r="O301" s="16">
        <v>66</v>
      </c>
      <c r="P301" s="18">
        <v>95</v>
      </c>
      <c r="Q301" s="20"/>
      <c r="R301" s="20"/>
      <c r="S301" s="19">
        <v>0.8</v>
      </c>
      <c r="T301" s="20">
        <f t="shared" si="25"/>
        <v>26.515151515151516</v>
      </c>
      <c r="U301" s="20">
        <v>0.27</v>
      </c>
      <c r="V301" s="20">
        <f t="shared" si="26"/>
        <v>3.7800000000000002</v>
      </c>
      <c r="W301" s="20"/>
      <c r="X301" s="20"/>
      <c r="Y301" s="20">
        <f t="shared" si="27"/>
        <v>0</v>
      </c>
      <c r="Z301" s="21">
        <f t="shared" si="28"/>
        <v>-95</v>
      </c>
      <c r="AA301" s="20"/>
      <c r="AB301" s="20"/>
      <c r="AC301" s="20"/>
      <c r="AD301" s="20">
        <f t="shared" si="29"/>
        <v>0</v>
      </c>
      <c r="AE301" s="20"/>
      <c r="AF301" s="20"/>
      <c r="AG301" s="20"/>
      <c r="AH301" s="20"/>
      <c r="AI301" s="20">
        <f t="shared" si="30"/>
        <v>0</v>
      </c>
      <c r="AJ301" s="20"/>
    </row>
    <row r="302" spans="2:36">
      <c r="B302" s="11" t="s">
        <v>726</v>
      </c>
      <c r="C302" s="12" t="s">
        <v>727</v>
      </c>
      <c r="D302" s="12" t="s">
        <v>38</v>
      </c>
      <c r="E302" s="13" t="s">
        <v>39</v>
      </c>
      <c r="F302" s="14" t="str">
        <f>_xlfn.XLOOKUP(B302,'[1]Synthese suivi modernisation'!A:A,'[1]Synthese suivi modernisation'!S:S)</f>
        <v>TOUBA01</v>
      </c>
      <c r="G302" s="14" t="str">
        <f>_xlfn.XLOOKUP(B302,'[1]Synthese suivi modernisation'!A:A,'[1]Synthese suivi modernisation'!T:T)</f>
        <v>THIES</v>
      </c>
      <c r="H302" s="20" t="s">
        <v>40</v>
      </c>
      <c r="I302" s="14" t="s">
        <v>41</v>
      </c>
      <c r="J302" s="16" t="s">
        <v>40</v>
      </c>
      <c r="K302" s="24">
        <v>1250</v>
      </c>
      <c r="L302" s="14">
        <v>2.5</v>
      </c>
      <c r="M302" s="17" t="s">
        <v>42</v>
      </c>
      <c r="N302" s="16" t="s">
        <v>80</v>
      </c>
      <c r="O302" s="16">
        <v>33</v>
      </c>
      <c r="P302" s="18">
        <v>91.166666666666671</v>
      </c>
      <c r="Q302" s="20"/>
      <c r="R302" s="20"/>
      <c r="S302" s="19">
        <v>0.8</v>
      </c>
      <c r="T302" s="20">
        <f t="shared" si="25"/>
        <v>9.4696969696969688</v>
      </c>
      <c r="U302" s="20">
        <v>0.27</v>
      </c>
      <c r="V302" s="20">
        <f t="shared" si="26"/>
        <v>0.67500000000000004</v>
      </c>
      <c r="W302" s="20"/>
      <c r="X302" s="20"/>
      <c r="Y302" s="20">
        <f t="shared" si="27"/>
        <v>0</v>
      </c>
      <c r="Z302" s="21">
        <f t="shared" si="28"/>
        <v>-91.166666666666671</v>
      </c>
      <c r="AA302" s="20"/>
      <c r="AB302" s="20"/>
      <c r="AC302" s="20"/>
      <c r="AD302" s="20">
        <f t="shared" si="29"/>
        <v>0</v>
      </c>
      <c r="AE302" s="20"/>
      <c r="AF302" s="20"/>
      <c r="AG302" s="20"/>
      <c r="AH302" s="20"/>
      <c r="AI302" s="20">
        <f t="shared" si="30"/>
        <v>0</v>
      </c>
      <c r="AJ302" s="20"/>
    </row>
    <row r="303" spans="2:36">
      <c r="B303" s="11" t="s">
        <v>728</v>
      </c>
      <c r="C303" s="12" t="s">
        <v>729</v>
      </c>
      <c r="D303" s="12" t="s">
        <v>38</v>
      </c>
      <c r="E303" s="13" t="s">
        <v>39</v>
      </c>
      <c r="F303" s="14" t="str">
        <f>_xlfn.XLOOKUP(B303,'[1]Synthese suivi modernisation'!A:A,'[1]Synthese suivi modernisation'!S:S)</f>
        <v>RUFISQUE</v>
      </c>
      <c r="G303" s="14" t="str">
        <f>_xlfn.XLOOKUP(B303,'[1]Synthese suivi modernisation'!A:A,'[1]Synthese suivi modernisation'!T:T)</f>
        <v>DAKAR</v>
      </c>
      <c r="H303" s="20" t="s">
        <v>355</v>
      </c>
      <c r="I303" s="20" t="s">
        <v>71</v>
      </c>
      <c r="J303" s="16" t="s">
        <v>355</v>
      </c>
      <c r="K303" s="24">
        <v>5000</v>
      </c>
      <c r="L303" s="14">
        <v>6</v>
      </c>
      <c r="M303" s="17" t="s">
        <v>73</v>
      </c>
      <c r="N303" s="16" t="s">
        <v>63</v>
      </c>
      <c r="O303" s="16">
        <v>30</v>
      </c>
      <c r="P303" s="18">
        <v>30.083333333333332</v>
      </c>
      <c r="Q303" s="20"/>
      <c r="R303" s="20"/>
      <c r="S303" s="19">
        <v>0.8</v>
      </c>
      <c r="T303" s="20">
        <f t="shared" si="25"/>
        <v>25</v>
      </c>
      <c r="U303" s="20">
        <v>0.27</v>
      </c>
      <c r="V303" s="20">
        <f t="shared" si="26"/>
        <v>1.62</v>
      </c>
      <c r="W303" s="20"/>
      <c r="X303" s="20"/>
      <c r="Y303" s="20">
        <f t="shared" si="27"/>
        <v>0</v>
      </c>
      <c r="Z303" s="21">
        <f t="shared" si="28"/>
        <v>-30.083333333333332</v>
      </c>
      <c r="AA303" s="20"/>
      <c r="AB303" s="20"/>
      <c r="AC303" s="20"/>
      <c r="AD303" s="20">
        <f t="shared" si="29"/>
        <v>0</v>
      </c>
      <c r="AE303" s="20"/>
      <c r="AF303" s="20"/>
      <c r="AG303" s="20"/>
      <c r="AH303" s="20"/>
      <c r="AI303" s="20">
        <f t="shared" si="30"/>
        <v>0</v>
      </c>
      <c r="AJ303" s="20"/>
    </row>
    <row r="304" spans="2:36">
      <c r="B304" s="11" t="s">
        <v>730</v>
      </c>
      <c r="C304" s="12" t="s">
        <v>731</v>
      </c>
      <c r="D304" s="12" t="s">
        <v>38</v>
      </c>
      <c r="E304" s="13" t="s">
        <v>39</v>
      </c>
      <c r="F304" s="14" t="str">
        <f>_xlfn.XLOOKUP(B304,'[1]Synthese suivi modernisation'!A:A,'[1]Synthese suivi modernisation'!S:S)</f>
        <v>KAFFRINE</v>
      </c>
      <c r="G304" s="14" t="str">
        <f>_xlfn.XLOOKUP(B304,'[1]Synthese suivi modernisation'!A:A,'[1]Synthese suivi modernisation'!T:T)</f>
        <v>KAOLACK</v>
      </c>
      <c r="H304" s="20" t="s">
        <v>40</v>
      </c>
      <c r="I304" s="14" t="s">
        <v>41</v>
      </c>
      <c r="J304" s="16" t="s">
        <v>40</v>
      </c>
      <c r="K304" s="24">
        <v>1750</v>
      </c>
      <c r="L304" s="14">
        <v>3.5</v>
      </c>
      <c r="M304" s="17" t="s">
        <v>42</v>
      </c>
      <c r="N304" s="16" t="s">
        <v>719</v>
      </c>
      <c r="O304" s="16">
        <v>22</v>
      </c>
      <c r="P304" s="18">
        <v>225.91666666666666</v>
      </c>
      <c r="Q304" s="20"/>
      <c r="R304" s="20"/>
      <c r="S304" s="19">
        <v>0.8</v>
      </c>
      <c r="T304" s="20">
        <f t="shared" si="25"/>
        <v>19.886363636363637</v>
      </c>
      <c r="U304" s="20">
        <v>0.27</v>
      </c>
      <c r="V304" s="20">
        <f t="shared" si="26"/>
        <v>0.94500000000000006</v>
      </c>
      <c r="W304" s="20"/>
      <c r="X304" s="20"/>
      <c r="Y304" s="20">
        <f t="shared" si="27"/>
        <v>0</v>
      </c>
      <c r="Z304" s="21">
        <f t="shared" si="28"/>
        <v>-225.91666666666666</v>
      </c>
      <c r="AA304" s="20"/>
      <c r="AB304" s="20"/>
      <c r="AC304" s="20"/>
      <c r="AD304" s="20">
        <f t="shared" si="29"/>
        <v>0</v>
      </c>
      <c r="AE304" s="20"/>
      <c r="AF304" s="20"/>
      <c r="AG304" s="20"/>
      <c r="AH304" s="20"/>
      <c r="AI304" s="20">
        <f t="shared" si="30"/>
        <v>0</v>
      </c>
      <c r="AJ304" s="20"/>
    </row>
    <row r="305" spans="2:36">
      <c r="B305" s="11" t="s">
        <v>732</v>
      </c>
      <c r="C305" s="12" t="s">
        <v>733</v>
      </c>
      <c r="D305" s="12" t="s">
        <v>38</v>
      </c>
      <c r="E305" s="13" t="s">
        <v>39</v>
      </c>
      <c r="F305" s="14" t="str">
        <f>_xlfn.XLOOKUP(B305,'[1]Synthese suivi modernisation'!A:A,'[1]Synthese suivi modernisation'!S:S)</f>
        <v>TOUBA02</v>
      </c>
      <c r="G305" s="14" t="str">
        <f>_xlfn.XLOOKUP(B305,'[1]Synthese suivi modernisation'!A:A,'[1]Synthese suivi modernisation'!T:T)</f>
        <v>THIES</v>
      </c>
      <c r="H305" s="20" t="s">
        <v>40</v>
      </c>
      <c r="I305" s="14" t="s">
        <v>41</v>
      </c>
      <c r="J305" s="16" t="s">
        <v>40</v>
      </c>
      <c r="K305" s="24">
        <v>4000</v>
      </c>
      <c r="L305" s="14">
        <v>3.5</v>
      </c>
      <c r="M305" s="17" t="s">
        <v>42</v>
      </c>
      <c r="N305" s="16" t="s">
        <v>324</v>
      </c>
      <c r="O305" s="16">
        <v>22</v>
      </c>
      <c r="P305" s="18">
        <v>220.75</v>
      </c>
      <c r="Q305" s="20"/>
      <c r="R305" s="20"/>
      <c r="S305" s="19">
        <v>0.8</v>
      </c>
      <c r="T305" s="20">
        <f t="shared" si="25"/>
        <v>19.886363636363637</v>
      </c>
      <c r="U305" s="20">
        <v>0.27</v>
      </c>
      <c r="V305" s="20">
        <f t="shared" si="26"/>
        <v>0.94500000000000006</v>
      </c>
      <c r="W305" s="20"/>
      <c r="X305" s="20"/>
      <c r="Y305" s="20">
        <f t="shared" si="27"/>
        <v>0</v>
      </c>
      <c r="Z305" s="21">
        <f t="shared" si="28"/>
        <v>-220.75</v>
      </c>
      <c r="AA305" s="20"/>
      <c r="AB305" s="20"/>
      <c r="AC305" s="20"/>
      <c r="AD305" s="20">
        <f t="shared" si="29"/>
        <v>0</v>
      </c>
      <c r="AE305" s="20"/>
      <c r="AF305" s="20"/>
      <c r="AG305" s="20"/>
      <c r="AH305" s="20"/>
      <c r="AI305" s="20">
        <f t="shared" si="30"/>
        <v>0</v>
      </c>
      <c r="AJ305" s="20"/>
    </row>
    <row r="306" spans="2:36">
      <c r="B306" s="11" t="s">
        <v>734</v>
      </c>
      <c r="C306" s="12" t="s">
        <v>735</v>
      </c>
      <c r="D306" s="12" t="s">
        <v>38</v>
      </c>
      <c r="E306" s="13" t="s">
        <v>39</v>
      </c>
      <c r="F306" s="14" t="str">
        <f>_xlfn.XLOOKUP(B306,'[1]Synthese suivi modernisation'!A:A,'[1]Synthese suivi modernisation'!S:S)</f>
        <v>ZIGUINCHOR</v>
      </c>
      <c r="G306" s="14" t="str">
        <f>_xlfn.XLOOKUP(B306,'[1]Synthese suivi modernisation'!A:A,'[1]Synthese suivi modernisation'!T:T)</f>
        <v>ZIGUINCHOR</v>
      </c>
      <c r="H306" s="20" t="s">
        <v>40</v>
      </c>
      <c r="I306" s="14" t="s">
        <v>41</v>
      </c>
      <c r="J306" s="16" t="s">
        <v>40</v>
      </c>
      <c r="K306" s="24">
        <v>2250</v>
      </c>
      <c r="L306" s="14">
        <v>3.5</v>
      </c>
      <c r="M306" s="17" t="s">
        <v>42</v>
      </c>
      <c r="N306" s="16" t="s">
        <v>80</v>
      </c>
      <c r="O306" s="16">
        <v>33</v>
      </c>
      <c r="P306" s="18">
        <v>243.33333333333334</v>
      </c>
      <c r="Q306" s="20"/>
      <c r="R306" s="20"/>
      <c r="S306" s="19">
        <v>0.8</v>
      </c>
      <c r="T306" s="20">
        <f t="shared" si="25"/>
        <v>13.257575757575758</v>
      </c>
      <c r="U306" s="20">
        <v>0.27</v>
      </c>
      <c r="V306" s="20">
        <f t="shared" si="26"/>
        <v>0.94500000000000006</v>
      </c>
      <c r="W306" s="20"/>
      <c r="X306" s="20"/>
      <c r="Y306" s="20">
        <f t="shared" si="27"/>
        <v>0</v>
      </c>
      <c r="Z306" s="21">
        <f t="shared" si="28"/>
        <v>-243.33333333333334</v>
      </c>
      <c r="AA306" s="20"/>
      <c r="AB306" s="20"/>
      <c r="AC306" s="20"/>
      <c r="AD306" s="20">
        <f t="shared" si="29"/>
        <v>0</v>
      </c>
      <c r="AE306" s="20"/>
      <c r="AF306" s="20"/>
      <c r="AG306" s="20"/>
      <c r="AH306" s="20"/>
      <c r="AI306" s="20">
        <f t="shared" si="30"/>
        <v>0</v>
      </c>
      <c r="AJ306" s="20"/>
    </row>
    <row r="307" spans="2:36">
      <c r="B307" s="11" t="s">
        <v>736</v>
      </c>
      <c r="C307" s="12" t="s">
        <v>737</v>
      </c>
      <c r="D307" s="12" t="s">
        <v>38</v>
      </c>
      <c r="E307" s="13" t="s">
        <v>39</v>
      </c>
      <c r="F307" s="14" t="str">
        <f>_xlfn.XLOOKUP(B307,'[1]Synthese suivi modernisation'!A:A,'[1]Synthese suivi modernisation'!S:S)</f>
        <v>SACRE_COEUR</v>
      </c>
      <c r="G307" s="14" t="str">
        <f>_xlfn.XLOOKUP(B307,'[1]Synthese suivi modernisation'!A:A,'[1]Synthese suivi modernisation'!T:T)</f>
        <v>DAKAR</v>
      </c>
      <c r="H307" s="20" t="s">
        <v>242</v>
      </c>
      <c r="I307" s="20" t="s">
        <v>71</v>
      </c>
      <c r="J307" s="16" t="s">
        <v>647</v>
      </c>
      <c r="K307" s="24">
        <v>5000</v>
      </c>
      <c r="L307" s="14">
        <v>4</v>
      </c>
      <c r="M307" s="17" t="s">
        <v>73</v>
      </c>
      <c r="N307" s="16" t="s">
        <v>362</v>
      </c>
      <c r="O307" s="16">
        <v>165</v>
      </c>
      <c r="P307" s="18">
        <v>43</v>
      </c>
      <c r="Q307" s="20"/>
      <c r="R307" s="20"/>
      <c r="S307" s="19">
        <v>0.8</v>
      </c>
      <c r="T307" s="20">
        <f t="shared" si="25"/>
        <v>3.0303030303030303</v>
      </c>
      <c r="U307" s="20">
        <v>0.27</v>
      </c>
      <c r="V307" s="20">
        <f t="shared" si="26"/>
        <v>1.08</v>
      </c>
      <c r="W307" s="20"/>
      <c r="X307" s="20"/>
      <c r="Y307" s="20">
        <f t="shared" si="27"/>
        <v>0</v>
      </c>
      <c r="Z307" s="21">
        <f t="shared" si="28"/>
        <v>-43</v>
      </c>
      <c r="AA307" s="20"/>
      <c r="AB307" s="20"/>
      <c r="AC307" s="20"/>
      <c r="AD307" s="20">
        <f t="shared" si="29"/>
        <v>0</v>
      </c>
      <c r="AE307" s="20"/>
      <c r="AF307" s="20"/>
      <c r="AG307" s="20"/>
      <c r="AH307" s="20"/>
      <c r="AI307" s="20">
        <f t="shared" si="30"/>
        <v>0</v>
      </c>
      <c r="AJ307" s="20"/>
    </row>
    <row r="308" spans="2:36">
      <c r="B308" s="11" t="s">
        <v>738</v>
      </c>
      <c r="C308" s="12" t="s">
        <v>739</v>
      </c>
      <c r="D308" s="12" t="s">
        <v>38</v>
      </c>
      <c r="E308" s="13" t="s">
        <v>39</v>
      </c>
      <c r="F308" s="14" t="str">
        <f>_xlfn.XLOOKUP(B308,'[1]Synthese suivi modernisation'!A:A,'[1]Synthese suivi modernisation'!S:S)</f>
        <v>RUFISQUE</v>
      </c>
      <c r="G308" s="14" t="str">
        <f>_xlfn.XLOOKUP(B308,'[1]Synthese suivi modernisation'!A:A,'[1]Synthese suivi modernisation'!T:T)</f>
        <v>DAKAR</v>
      </c>
      <c r="H308" s="20" t="s">
        <v>292</v>
      </c>
      <c r="I308" s="20" t="s">
        <v>71</v>
      </c>
      <c r="J308" s="16" t="s">
        <v>292</v>
      </c>
      <c r="K308" s="24">
        <v>5000</v>
      </c>
      <c r="L308" s="14">
        <v>11</v>
      </c>
      <c r="M308" s="17" t="s">
        <v>73</v>
      </c>
      <c r="N308" s="16" t="s">
        <v>116</v>
      </c>
      <c r="O308" s="16">
        <v>66</v>
      </c>
      <c r="P308" s="18">
        <v>70.416666666666671</v>
      </c>
      <c r="Q308" s="20"/>
      <c r="R308" s="20"/>
      <c r="S308" s="19">
        <v>0.8</v>
      </c>
      <c r="T308" s="20">
        <f t="shared" si="25"/>
        <v>20.833333333333332</v>
      </c>
      <c r="U308" s="20">
        <v>0.27</v>
      </c>
      <c r="V308" s="20">
        <f t="shared" si="26"/>
        <v>2.97</v>
      </c>
      <c r="W308" s="20"/>
      <c r="X308" s="20"/>
      <c r="Y308" s="20">
        <f t="shared" si="27"/>
        <v>0</v>
      </c>
      <c r="Z308" s="21">
        <f t="shared" si="28"/>
        <v>-70.416666666666671</v>
      </c>
      <c r="AA308" s="20"/>
      <c r="AB308" s="20"/>
      <c r="AC308" s="20"/>
      <c r="AD308" s="20">
        <f t="shared" si="29"/>
        <v>0</v>
      </c>
      <c r="AE308" s="20"/>
      <c r="AF308" s="20"/>
      <c r="AG308" s="20"/>
      <c r="AH308" s="20"/>
      <c r="AI308" s="20">
        <f t="shared" si="30"/>
        <v>0</v>
      </c>
      <c r="AJ308" s="20"/>
    </row>
    <row r="309" spans="2:36">
      <c r="B309" s="11" t="s">
        <v>740</v>
      </c>
      <c r="C309" s="12" t="s">
        <v>741</v>
      </c>
      <c r="D309" s="12" t="s">
        <v>38</v>
      </c>
      <c r="E309" s="13" t="s">
        <v>39</v>
      </c>
      <c r="F309" s="14" t="str">
        <f>_xlfn.XLOOKUP(B309,'[1]Synthese suivi modernisation'!A:A,'[1]Synthese suivi modernisation'!S:S)</f>
        <v>RUFISQUE</v>
      </c>
      <c r="G309" s="14" t="str">
        <f>_xlfn.XLOOKUP(B309,'[1]Synthese suivi modernisation'!A:A,'[1]Synthese suivi modernisation'!T:T)</f>
        <v>DAKAR</v>
      </c>
      <c r="H309" s="20" t="s">
        <v>147</v>
      </c>
      <c r="I309" s="14" t="s">
        <v>41</v>
      </c>
      <c r="J309" s="23" t="s">
        <v>147</v>
      </c>
      <c r="K309" s="24">
        <v>5000</v>
      </c>
      <c r="L309" s="14">
        <v>4</v>
      </c>
      <c r="M309" s="17" t="s">
        <v>73</v>
      </c>
      <c r="N309" s="16" t="s">
        <v>196</v>
      </c>
      <c r="O309" s="16">
        <v>66</v>
      </c>
      <c r="P309" s="18">
        <v>730.5</v>
      </c>
      <c r="Q309" s="20"/>
      <c r="R309" s="20"/>
      <c r="S309" s="19">
        <v>0.8</v>
      </c>
      <c r="T309" s="20">
        <f t="shared" si="25"/>
        <v>7.5757575757575744</v>
      </c>
      <c r="U309" s="20">
        <v>0.27</v>
      </c>
      <c r="V309" s="20">
        <f t="shared" si="26"/>
        <v>1.08</v>
      </c>
      <c r="W309" s="20"/>
      <c r="X309" s="20"/>
      <c r="Y309" s="20">
        <f t="shared" si="27"/>
        <v>0</v>
      </c>
      <c r="Z309" s="21">
        <f t="shared" si="28"/>
        <v>-730.5</v>
      </c>
      <c r="AA309" s="20"/>
      <c r="AB309" s="20"/>
      <c r="AC309" s="20"/>
      <c r="AD309" s="20">
        <f t="shared" si="29"/>
        <v>0</v>
      </c>
      <c r="AE309" s="20"/>
      <c r="AF309" s="20"/>
      <c r="AG309" s="20"/>
      <c r="AH309" s="20"/>
      <c r="AI309" s="20">
        <f t="shared" si="30"/>
        <v>0</v>
      </c>
      <c r="AJ309" s="20"/>
    </row>
    <row r="310" spans="2:36">
      <c r="B310" s="11" t="s">
        <v>742</v>
      </c>
      <c r="C310" s="12" t="s">
        <v>743</v>
      </c>
      <c r="D310" s="12" t="s">
        <v>38</v>
      </c>
      <c r="E310" s="13" t="s">
        <v>39</v>
      </c>
      <c r="F310" s="14" t="str">
        <f>_xlfn.XLOOKUP(B310,'[1]Synthese suivi modernisation'!A:A,'[1]Synthese suivi modernisation'!S:S)</f>
        <v>LOUGA</v>
      </c>
      <c r="G310" s="14" t="str">
        <f>_xlfn.XLOOKUP(B310,'[1]Synthese suivi modernisation'!A:A,'[1]Synthese suivi modernisation'!T:T)</f>
        <v>SAINT-LOUIS</v>
      </c>
      <c r="H310" s="20" t="s">
        <v>70</v>
      </c>
      <c r="I310" s="20" t="s">
        <v>71</v>
      </c>
      <c r="J310" s="16" t="s">
        <v>72</v>
      </c>
      <c r="K310" s="24">
        <v>6000</v>
      </c>
      <c r="L310" s="14">
        <v>7</v>
      </c>
      <c r="M310" s="17" t="s">
        <v>73</v>
      </c>
      <c r="N310" s="16" t="s">
        <v>74</v>
      </c>
      <c r="O310" s="16">
        <v>30</v>
      </c>
      <c r="P310" s="18">
        <v>0</v>
      </c>
      <c r="Q310" s="20"/>
      <c r="R310" s="20"/>
      <c r="S310" s="19">
        <v>0.8</v>
      </c>
      <c r="T310" s="20">
        <f t="shared" si="25"/>
        <v>29.166666666666668</v>
      </c>
      <c r="U310" s="20">
        <v>0.27</v>
      </c>
      <c r="V310" s="20">
        <f t="shared" si="26"/>
        <v>1.8900000000000001</v>
      </c>
      <c r="W310" s="20"/>
      <c r="X310" s="20"/>
      <c r="Y310" s="20">
        <f t="shared" si="27"/>
        <v>0</v>
      </c>
      <c r="Z310" s="21">
        <f t="shared" si="28"/>
        <v>0</v>
      </c>
      <c r="AA310" s="20"/>
      <c r="AB310" s="20"/>
      <c r="AC310" s="20"/>
      <c r="AD310" s="20">
        <f t="shared" si="29"/>
        <v>0</v>
      </c>
      <c r="AE310" s="20"/>
      <c r="AF310" s="20"/>
      <c r="AG310" s="20"/>
      <c r="AH310" s="20"/>
      <c r="AI310" s="20">
        <f t="shared" si="30"/>
        <v>0</v>
      </c>
      <c r="AJ310" s="20"/>
    </row>
    <row r="311" spans="2:36">
      <c r="B311" s="11" t="s">
        <v>744</v>
      </c>
      <c r="C311" s="12" t="s">
        <v>745</v>
      </c>
      <c r="D311" s="12" t="s">
        <v>38</v>
      </c>
      <c r="E311" s="13" t="s">
        <v>39</v>
      </c>
      <c r="F311" s="14" t="str">
        <f>_xlfn.XLOOKUP(B311,'[1]Synthese suivi modernisation'!A:A,'[1]Synthese suivi modernisation'!S:S)</f>
        <v>TOUBA02</v>
      </c>
      <c r="G311" s="14" t="str">
        <f>_xlfn.XLOOKUP(B311,'[1]Synthese suivi modernisation'!A:A,'[1]Synthese suivi modernisation'!T:T)</f>
        <v>THIES</v>
      </c>
      <c r="H311" s="20" t="s">
        <v>70</v>
      </c>
      <c r="I311" s="20" t="s">
        <v>71</v>
      </c>
      <c r="J311" s="16" t="s">
        <v>70</v>
      </c>
      <c r="K311" s="24">
        <v>19000</v>
      </c>
      <c r="L311" s="14">
        <v>31</v>
      </c>
      <c r="M311" s="17" t="s">
        <v>73</v>
      </c>
      <c r="N311" s="16" t="s">
        <v>493</v>
      </c>
      <c r="O311" s="16">
        <v>110</v>
      </c>
      <c r="P311" s="18">
        <v>62.583333333333336</v>
      </c>
      <c r="Q311" s="20"/>
      <c r="R311" s="20"/>
      <c r="S311" s="19">
        <v>0.8</v>
      </c>
      <c r="T311" s="20">
        <f t="shared" si="25"/>
        <v>35.227272727272727</v>
      </c>
      <c r="U311" s="20">
        <v>0.27</v>
      </c>
      <c r="V311" s="20">
        <f t="shared" si="26"/>
        <v>8.370000000000001</v>
      </c>
      <c r="W311" s="20"/>
      <c r="X311" s="20"/>
      <c r="Y311" s="20">
        <f t="shared" si="27"/>
        <v>0</v>
      </c>
      <c r="Z311" s="21">
        <f t="shared" si="28"/>
        <v>-62.583333333333336</v>
      </c>
      <c r="AA311" s="20"/>
      <c r="AB311" s="20"/>
      <c r="AC311" s="20"/>
      <c r="AD311" s="20">
        <f t="shared" si="29"/>
        <v>0</v>
      </c>
      <c r="AE311" s="20"/>
      <c r="AF311" s="20"/>
      <c r="AG311" s="20"/>
      <c r="AH311" s="20"/>
      <c r="AI311" s="20">
        <f t="shared" si="30"/>
        <v>0</v>
      </c>
      <c r="AJ311" s="20"/>
    </row>
    <row r="312" spans="2:36">
      <c r="B312" s="11" t="s">
        <v>746</v>
      </c>
      <c r="C312" s="12" t="s">
        <v>747</v>
      </c>
      <c r="D312" s="12" t="s">
        <v>38</v>
      </c>
      <c r="E312" s="13" t="s">
        <v>39</v>
      </c>
      <c r="F312" s="14" t="str">
        <f>_xlfn.XLOOKUP(B312,'[1]Synthese suivi modernisation'!A:A,'[1]Synthese suivi modernisation'!S:S)</f>
        <v>TOUBA02</v>
      </c>
      <c r="G312" s="14" t="str">
        <f>_xlfn.XLOOKUP(B312,'[1]Synthese suivi modernisation'!A:A,'[1]Synthese suivi modernisation'!T:T)</f>
        <v>THIES</v>
      </c>
      <c r="H312" s="20" t="s">
        <v>70</v>
      </c>
      <c r="I312" s="20" t="s">
        <v>71</v>
      </c>
      <c r="J312" s="16" t="s">
        <v>70</v>
      </c>
      <c r="K312" s="24">
        <v>9000</v>
      </c>
      <c r="L312" s="14">
        <v>11</v>
      </c>
      <c r="M312" s="17" t="s">
        <v>73</v>
      </c>
      <c r="N312" s="16" t="s">
        <v>748</v>
      </c>
      <c r="O312" s="16">
        <v>60</v>
      </c>
      <c r="P312" s="18">
        <v>66.583333333333329</v>
      </c>
      <c r="Q312" s="20"/>
      <c r="R312" s="20"/>
      <c r="S312" s="19">
        <v>0.8</v>
      </c>
      <c r="T312" s="20">
        <f t="shared" si="25"/>
        <v>22.916666666666664</v>
      </c>
      <c r="U312" s="20">
        <v>0.27</v>
      </c>
      <c r="V312" s="20">
        <f t="shared" si="26"/>
        <v>2.97</v>
      </c>
      <c r="W312" s="20"/>
      <c r="X312" s="20"/>
      <c r="Y312" s="20">
        <f t="shared" si="27"/>
        <v>0</v>
      </c>
      <c r="Z312" s="21">
        <f t="shared" si="28"/>
        <v>-66.583333333333329</v>
      </c>
      <c r="AA312" s="20"/>
      <c r="AB312" s="20"/>
      <c r="AC312" s="20"/>
      <c r="AD312" s="20">
        <f t="shared" si="29"/>
        <v>0</v>
      </c>
      <c r="AE312" s="20"/>
      <c r="AF312" s="20"/>
      <c r="AG312" s="20"/>
      <c r="AH312" s="20"/>
      <c r="AI312" s="20">
        <f t="shared" si="30"/>
        <v>0</v>
      </c>
      <c r="AJ312" s="20"/>
    </row>
    <row r="313" spans="2:36">
      <c r="B313" s="11" t="s">
        <v>749</v>
      </c>
      <c r="C313" s="12" t="s">
        <v>750</v>
      </c>
      <c r="D313" s="12" t="s">
        <v>38</v>
      </c>
      <c r="E313" s="13" t="s">
        <v>39</v>
      </c>
      <c r="F313" s="14" t="str">
        <f>_xlfn.XLOOKUP(B313,'[1]Synthese suivi modernisation'!A:A,'[1]Synthese suivi modernisation'!S:S)</f>
        <v>DIOURBEL</v>
      </c>
      <c r="G313" s="14" t="str">
        <f>_xlfn.XLOOKUP(B313,'[1]Synthese suivi modernisation'!A:A,'[1]Synthese suivi modernisation'!T:T)</f>
        <v>THIES</v>
      </c>
      <c r="H313" s="20" t="s">
        <v>242</v>
      </c>
      <c r="I313" s="20" t="s">
        <v>143</v>
      </c>
      <c r="J313" s="16" t="s">
        <v>242</v>
      </c>
      <c r="K313" s="24">
        <v>3000</v>
      </c>
      <c r="L313" s="14">
        <v>3</v>
      </c>
      <c r="M313" s="17" t="s">
        <v>73</v>
      </c>
      <c r="N313" s="16" t="s">
        <v>751</v>
      </c>
      <c r="O313" s="16">
        <v>60</v>
      </c>
      <c r="P313" s="18">
        <v>53.666666666666664</v>
      </c>
      <c r="Q313" s="20"/>
      <c r="R313" s="20"/>
      <c r="S313" s="19">
        <v>0.8</v>
      </c>
      <c r="T313" s="20">
        <f t="shared" si="25"/>
        <v>6.25</v>
      </c>
      <c r="U313" s="20">
        <v>0.27</v>
      </c>
      <c r="V313" s="20">
        <f t="shared" si="26"/>
        <v>0.81</v>
      </c>
      <c r="W313" s="20"/>
      <c r="X313" s="20"/>
      <c r="Y313" s="20">
        <f t="shared" si="27"/>
        <v>0</v>
      </c>
      <c r="Z313" s="21">
        <f t="shared" si="28"/>
        <v>-53.666666666666664</v>
      </c>
      <c r="AA313" s="20"/>
      <c r="AB313" s="20"/>
      <c r="AC313" s="20"/>
      <c r="AD313" s="20">
        <f t="shared" si="29"/>
        <v>0</v>
      </c>
      <c r="AE313" s="20"/>
      <c r="AF313" s="20"/>
      <c r="AG313" s="20"/>
      <c r="AH313" s="20"/>
      <c r="AI313" s="20">
        <f t="shared" si="30"/>
        <v>0</v>
      </c>
      <c r="AJ313" s="20"/>
    </row>
    <row r="314" spans="2:36">
      <c r="B314" s="11" t="s">
        <v>752</v>
      </c>
      <c r="C314" s="12" t="s">
        <v>753</v>
      </c>
      <c r="D314" s="12" t="s">
        <v>38</v>
      </c>
      <c r="E314" s="13" t="s">
        <v>39</v>
      </c>
      <c r="F314" s="14" t="str">
        <f>_xlfn.XLOOKUP(B314,'[1]Synthese suivi modernisation'!A:A,'[1]Synthese suivi modernisation'!S:S)</f>
        <v>FATICK</v>
      </c>
      <c r="G314" s="14" t="str">
        <f>_xlfn.XLOOKUP(B314,'[1]Synthese suivi modernisation'!A:A,'[1]Synthese suivi modernisation'!T:T)</f>
        <v>KAOLACK</v>
      </c>
      <c r="H314" s="20" t="s">
        <v>70</v>
      </c>
      <c r="I314" s="20" t="s">
        <v>71</v>
      </c>
      <c r="J314" s="16" t="s">
        <v>70</v>
      </c>
      <c r="K314" s="24">
        <v>7000</v>
      </c>
      <c r="L314" s="14">
        <v>16</v>
      </c>
      <c r="M314" s="17" t="s">
        <v>73</v>
      </c>
      <c r="N314" s="16" t="s">
        <v>63</v>
      </c>
      <c r="O314" s="16">
        <v>30</v>
      </c>
      <c r="P314" s="18">
        <v>80</v>
      </c>
      <c r="Q314" s="20"/>
      <c r="R314" s="20"/>
      <c r="S314" s="19">
        <v>0.8</v>
      </c>
      <c r="T314" s="20">
        <f t="shared" si="25"/>
        <v>66.666666666666657</v>
      </c>
      <c r="U314" s="20">
        <v>0.27</v>
      </c>
      <c r="V314" s="20">
        <f t="shared" si="26"/>
        <v>4.32</v>
      </c>
      <c r="W314" s="20"/>
      <c r="X314" s="20"/>
      <c r="Y314" s="20">
        <f t="shared" si="27"/>
        <v>0</v>
      </c>
      <c r="Z314" s="21">
        <f t="shared" si="28"/>
        <v>-80</v>
      </c>
      <c r="AA314" s="20"/>
      <c r="AB314" s="20"/>
      <c r="AC314" s="20"/>
      <c r="AD314" s="20">
        <f t="shared" si="29"/>
        <v>0</v>
      </c>
      <c r="AE314" s="20"/>
      <c r="AF314" s="20"/>
      <c r="AG314" s="20"/>
      <c r="AH314" s="20"/>
      <c r="AI314" s="20">
        <f t="shared" si="30"/>
        <v>0</v>
      </c>
      <c r="AJ314" s="20"/>
    </row>
    <row r="315" spans="2:36">
      <c r="B315" s="11" t="s">
        <v>754</v>
      </c>
      <c r="C315" s="12" t="s">
        <v>755</v>
      </c>
      <c r="D315" s="12" t="s">
        <v>38</v>
      </c>
      <c r="E315" s="13" t="s">
        <v>39</v>
      </c>
      <c r="F315" s="14" t="str">
        <f>_xlfn.XLOOKUP(B315,'[1]Synthese suivi modernisation'!A:A,'[1]Synthese suivi modernisation'!S:S)</f>
        <v>FATICK</v>
      </c>
      <c r="G315" s="14" t="str">
        <f>_xlfn.XLOOKUP(B315,'[1]Synthese suivi modernisation'!A:A,'[1]Synthese suivi modernisation'!T:T)</f>
        <v>KAOLACK</v>
      </c>
      <c r="H315" s="20" t="s">
        <v>54</v>
      </c>
      <c r="I315" s="14" t="s">
        <v>41</v>
      </c>
      <c r="J315" s="23" t="s">
        <v>40</v>
      </c>
      <c r="K315" s="24">
        <v>1500</v>
      </c>
      <c r="L315" s="14">
        <v>4</v>
      </c>
      <c r="M315" s="17" t="s">
        <v>42</v>
      </c>
      <c r="N315" s="16" t="s">
        <v>55</v>
      </c>
      <c r="O315" s="16">
        <v>33</v>
      </c>
      <c r="P315" s="18">
        <v>328.25</v>
      </c>
      <c r="Q315" s="20"/>
      <c r="R315" s="20"/>
      <c r="S315" s="19">
        <v>0.8</v>
      </c>
      <c r="T315" s="20">
        <f t="shared" si="25"/>
        <v>15.151515151515149</v>
      </c>
      <c r="U315" s="20">
        <v>0.27</v>
      </c>
      <c r="V315" s="20">
        <f t="shared" si="26"/>
        <v>1.08</v>
      </c>
      <c r="W315" s="20"/>
      <c r="X315" s="20"/>
      <c r="Y315" s="20">
        <f t="shared" si="27"/>
        <v>0</v>
      </c>
      <c r="Z315" s="21">
        <f t="shared" si="28"/>
        <v>-328.25</v>
      </c>
      <c r="AA315" s="20"/>
      <c r="AB315" s="20"/>
      <c r="AC315" s="20"/>
      <c r="AD315" s="20">
        <f t="shared" si="29"/>
        <v>0</v>
      </c>
      <c r="AE315" s="20"/>
      <c r="AF315" s="20"/>
      <c r="AG315" s="20"/>
      <c r="AH315" s="20"/>
      <c r="AI315" s="20">
        <f t="shared" si="30"/>
        <v>0</v>
      </c>
      <c r="AJ315" s="20"/>
    </row>
    <row r="316" spans="2:36">
      <c r="B316" s="11" t="s">
        <v>756</v>
      </c>
      <c r="C316" s="12" t="s">
        <v>757</v>
      </c>
      <c r="D316" s="12" t="s">
        <v>38</v>
      </c>
      <c r="E316" s="13" t="s">
        <v>39</v>
      </c>
      <c r="F316" s="14" t="str">
        <f>_xlfn.XLOOKUP(B316,'[1]Synthese suivi modernisation'!A:A,'[1]Synthese suivi modernisation'!S:S)</f>
        <v>TIVAOUANE</v>
      </c>
      <c r="G316" s="14" t="str">
        <f>_xlfn.XLOOKUP(B316,'[1]Synthese suivi modernisation'!A:A,'[1]Synthese suivi modernisation'!T:T)</f>
        <v>THIES</v>
      </c>
      <c r="H316" s="20" t="s">
        <v>66</v>
      </c>
      <c r="I316" s="14" t="s">
        <v>41</v>
      </c>
      <c r="J316" s="16" t="s">
        <v>66</v>
      </c>
      <c r="K316" s="24">
        <v>4500</v>
      </c>
      <c r="L316" s="14">
        <v>6.5</v>
      </c>
      <c r="M316" s="17" t="s">
        <v>42</v>
      </c>
      <c r="N316" s="16" t="s">
        <v>67</v>
      </c>
      <c r="O316" s="16">
        <v>50</v>
      </c>
      <c r="P316" s="18">
        <v>917.08333333333337</v>
      </c>
      <c r="Q316" s="20"/>
      <c r="R316" s="20"/>
      <c r="S316" s="19">
        <v>0.8</v>
      </c>
      <c r="T316" s="20">
        <f t="shared" si="25"/>
        <v>16.25</v>
      </c>
      <c r="U316" s="20">
        <v>0.27</v>
      </c>
      <c r="V316" s="20">
        <f t="shared" si="26"/>
        <v>1.7550000000000001</v>
      </c>
      <c r="W316" s="20"/>
      <c r="X316" s="20"/>
      <c r="Y316" s="20">
        <f t="shared" si="27"/>
        <v>0</v>
      </c>
      <c r="Z316" s="21">
        <f t="shared" si="28"/>
        <v>-917.08333333333337</v>
      </c>
      <c r="AA316" s="20"/>
      <c r="AB316" s="20"/>
      <c r="AC316" s="20"/>
      <c r="AD316" s="20">
        <f t="shared" si="29"/>
        <v>0</v>
      </c>
      <c r="AE316" s="20"/>
      <c r="AF316" s="20"/>
      <c r="AG316" s="20"/>
      <c r="AH316" s="20"/>
      <c r="AI316" s="20">
        <f t="shared" si="30"/>
        <v>0</v>
      </c>
      <c r="AJ316" s="20"/>
    </row>
    <row r="317" spans="2:36">
      <c r="B317" s="11" t="s">
        <v>758</v>
      </c>
      <c r="C317" s="12" t="s">
        <v>759</v>
      </c>
      <c r="D317" s="12" t="s">
        <v>38</v>
      </c>
      <c r="E317" s="13" t="s">
        <v>39</v>
      </c>
      <c r="F317" s="14" t="str">
        <f>_xlfn.XLOOKUP(B317,'[1]Synthese suivi modernisation'!A:A,'[1]Synthese suivi modernisation'!S:S)</f>
        <v>ZIGUINCHOR</v>
      </c>
      <c r="G317" s="14" t="str">
        <f>_xlfn.XLOOKUP(B317,'[1]Synthese suivi modernisation'!A:A,'[1]Synthese suivi modernisation'!T:T)</f>
        <v>ZIGUINCHOR</v>
      </c>
      <c r="H317" s="20" t="s">
        <v>70</v>
      </c>
      <c r="I317" s="20" t="s">
        <v>71</v>
      </c>
      <c r="J317" s="16" t="s">
        <v>70</v>
      </c>
      <c r="K317" s="24">
        <v>9000</v>
      </c>
      <c r="L317" s="14">
        <v>11</v>
      </c>
      <c r="M317" s="17" t="s">
        <v>73</v>
      </c>
      <c r="N317" s="16" t="s">
        <v>85</v>
      </c>
      <c r="O317" s="16">
        <v>33</v>
      </c>
      <c r="P317" s="18">
        <v>59.5</v>
      </c>
      <c r="Q317" s="20"/>
      <c r="R317" s="20"/>
      <c r="S317" s="19">
        <v>0.8</v>
      </c>
      <c r="T317" s="20">
        <f t="shared" si="25"/>
        <v>41.666666666666664</v>
      </c>
      <c r="U317" s="20">
        <v>0.27</v>
      </c>
      <c r="V317" s="20">
        <f t="shared" si="26"/>
        <v>2.97</v>
      </c>
      <c r="W317" s="20"/>
      <c r="X317" s="20"/>
      <c r="Y317" s="20">
        <f t="shared" si="27"/>
        <v>0</v>
      </c>
      <c r="Z317" s="21">
        <f t="shared" si="28"/>
        <v>-59.5</v>
      </c>
      <c r="AA317" s="20"/>
      <c r="AB317" s="20"/>
      <c r="AC317" s="20"/>
      <c r="AD317" s="20">
        <f t="shared" si="29"/>
        <v>0</v>
      </c>
      <c r="AE317" s="20"/>
      <c r="AF317" s="20"/>
      <c r="AG317" s="20"/>
      <c r="AH317" s="20"/>
      <c r="AI317" s="20">
        <f t="shared" si="30"/>
        <v>0</v>
      </c>
      <c r="AJ317" s="20"/>
    </row>
    <row r="318" spans="2:36">
      <c r="B318" s="11" t="s">
        <v>760</v>
      </c>
      <c r="C318" s="12" t="s">
        <v>761</v>
      </c>
      <c r="D318" s="12" t="s">
        <v>38</v>
      </c>
      <c r="E318" s="13" t="s">
        <v>39</v>
      </c>
      <c r="F318" s="14" t="str">
        <f>_xlfn.XLOOKUP(B318,'[1]Synthese suivi modernisation'!A:A,'[1]Synthese suivi modernisation'!S:S)</f>
        <v>SAINT-LOUIS</v>
      </c>
      <c r="G318" s="14" t="str">
        <f>_xlfn.XLOOKUP(B318,'[1]Synthese suivi modernisation'!A:A,'[1]Synthese suivi modernisation'!T:T)</f>
        <v>SAINT-LOUIS</v>
      </c>
      <c r="H318" s="20" t="s">
        <v>166</v>
      </c>
      <c r="I318" s="14" t="s">
        <v>41</v>
      </c>
      <c r="J318" s="16" t="s">
        <v>166</v>
      </c>
      <c r="K318" s="24">
        <v>4500</v>
      </c>
      <c r="L318" s="14">
        <v>7.5</v>
      </c>
      <c r="M318" s="17" t="s">
        <v>42</v>
      </c>
      <c r="N318" s="16" t="s">
        <v>67</v>
      </c>
      <c r="O318" s="16">
        <v>50</v>
      </c>
      <c r="P318" s="18">
        <v>1421.1666666666667</v>
      </c>
      <c r="Q318" s="20"/>
      <c r="R318" s="20"/>
      <c r="S318" s="19">
        <v>0.8</v>
      </c>
      <c r="T318" s="20">
        <f t="shared" si="25"/>
        <v>18.75</v>
      </c>
      <c r="U318" s="20">
        <v>0.27</v>
      </c>
      <c r="V318" s="20">
        <f t="shared" si="26"/>
        <v>2.0250000000000004</v>
      </c>
      <c r="W318" s="20"/>
      <c r="X318" s="20"/>
      <c r="Y318" s="20">
        <f t="shared" si="27"/>
        <v>0</v>
      </c>
      <c r="Z318" s="21">
        <f t="shared" si="28"/>
        <v>-1421.1666666666667</v>
      </c>
      <c r="AA318" s="20"/>
      <c r="AB318" s="20"/>
      <c r="AC318" s="20"/>
      <c r="AD318" s="20">
        <f t="shared" si="29"/>
        <v>0</v>
      </c>
      <c r="AE318" s="20"/>
      <c r="AF318" s="20"/>
      <c r="AG318" s="20"/>
      <c r="AH318" s="20"/>
      <c r="AI318" s="20">
        <f t="shared" si="30"/>
        <v>0</v>
      </c>
      <c r="AJ318" s="20"/>
    </row>
    <row r="319" spans="2:36">
      <c r="B319" s="11" t="s">
        <v>762</v>
      </c>
      <c r="C319" s="12" t="s">
        <v>763</v>
      </c>
      <c r="D319" s="12" t="s">
        <v>38</v>
      </c>
      <c r="E319" s="13" t="s">
        <v>39</v>
      </c>
      <c r="F319" s="14" t="str">
        <f>_xlfn.XLOOKUP(B319,'[1]Synthese suivi modernisation'!A:A,'[1]Synthese suivi modernisation'!S:S)</f>
        <v>FATICK</v>
      </c>
      <c r="G319" s="14" t="str">
        <f>_xlfn.XLOOKUP(B319,'[1]Synthese suivi modernisation'!A:A,'[1]Synthese suivi modernisation'!T:T)</f>
        <v>KAOLACK</v>
      </c>
      <c r="H319" s="20" t="s">
        <v>142</v>
      </c>
      <c r="I319" s="20" t="s">
        <v>143</v>
      </c>
      <c r="J319" s="23" t="s">
        <v>142</v>
      </c>
      <c r="K319" s="24">
        <v>26000</v>
      </c>
      <c r="L319" s="14">
        <v>21</v>
      </c>
      <c r="M319" s="17" t="s">
        <v>73</v>
      </c>
      <c r="N319" s="16" t="s">
        <v>196</v>
      </c>
      <c r="O319" s="16">
        <v>60</v>
      </c>
      <c r="P319" s="18">
        <v>89.833333333333329</v>
      </c>
      <c r="Q319" s="20"/>
      <c r="R319" s="20"/>
      <c r="S319" s="19">
        <v>0.8</v>
      </c>
      <c r="T319" s="20">
        <f t="shared" si="25"/>
        <v>43.75</v>
      </c>
      <c r="U319" s="20">
        <v>0.27</v>
      </c>
      <c r="V319" s="20">
        <f t="shared" si="26"/>
        <v>5.67</v>
      </c>
      <c r="W319" s="20"/>
      <c r="X319" s="20"/>
      <c r="Y319" s="20">
        <f t="shared" si="27"/>
        <v>0</v>
      </c>
      <c r="Z319" s="21">
        <f t="shared" si="28"/>
        <v>-89.833333333333329</v>
      </c>
      <c r="AA319" s="20"/>
      <c r="AB319" s="20"/>
      <c r="AC319" s="20"/>
      <c r="AD319" s="20">
        <f t="shared" si="29"/>
        <v>0</v>
      </c>
      <c r="AE319" s="20"/>
      <c r="AF319" s="20"/>
      <c r="AG319" s="20"/>
      <c r="AH319" s="20"/>
      <c r="AI319" s="20">
        <f t="shared" si="30"/>
        <v>0</v>
      </c>
      <c r="AJ319" s="20"/>
    </row>
    <row r="320" spans="2:36">
      <c r="B320" s="11" t="s">
        <v>764</v>
      </c>
      <c r="C320" s="12" t="s">
        <v>765</v>
      </c>
      <c r="D320" s="12" t="s">
        <v>38</v>
      </c>
      <c r="E320" s="13" t="s">
        <v>39</v>
      </c>
      <c r="F320" s="14" t="str">
        <f>_xlfn.XLOOKUP(B320,'[1]Synthese suivi modernisation'!A:A,'[1]Synthese suivi modernisation'!S:S)</f>
        <v>FATICK</v>
      </c>
      <c r="G320" s="14" t="str">
        <f>_xlfn.XLOOKUP(B320,'[1]Synthese suivi modernisation'!A:A,'[1]Synthese suivi modernisation'!T:T)</f>
        <v>KAOLACK</v>
      </c>
      <c r="H320" s="20" t="s">
        <v>712</v>
      </c>
      <c r="I320" s="20" t="s">
        <v>71</v>
      </c>
      <c r="J320" s="16" t="s">
        <v>712</v>
      </c>
      <c r="K320" s="24">
        <v>9000</v>
      </c>
      <c r="L320" s="14">
        <v>10</v>
      </c>
      <c r="M320" s="17" t="s">
        <v>73</v>
      </c>
      <c r="N320" s="16" t="s">
        <v>48</v>
      </c>
      <c r="O320" s="16">
        <v>22</v>
      </c>
      <c r="P320" s="18">
        <v>33.166666666666664</v>
      </c>
      <c r="Q320" s="20"/>
      <c r="R320" s="20"/>
      <c r="S320" s="19">
        <v>0.8</v>
      </c>
      <c r="T320" s="20">
        <f t="shared" si="25"/>
        <v>56.818181818181813</v>
      </c>
      <c r="U320" s="20">
        <v>0.27</v>
      </c>
      <c r="V320" s="20">
        <f t="shared" si="26"/>
        <v>2.7</v>
      </c>
      <c r="W320" s="20"/>
      <c r="X320" s="20"/>
      <c r="Y320" s="20">
        <f t="shared" si="27"/>
        <v>0</v>
      </c>
      <c r="Z320" s="21">
        <f t="shared" si="28"/>
        <v>-33.166666666666664</v>
      </c>
      <c r="AA320" s="20"/>
      <c r="AB320" s="20"/>
      <c r="AC320" s="20"/>
      <c r="AD320" s="20">
        <f t="shared" si="29"/>
        <v>0</v>
      </c>
      <c r="AE320" s="20"/>
      <c r="AF320" s="20"/>
      <c r="AG320" s="20"/>
      <c r="AH320" s="20"/>
      <c r="AI320" s="20">
        <f t="shared" si="30"/>
        <v>0</v>
      </c>
      <c r="AJ320" s="20"/>
    </row>
    <row r="321" spans="2:36">
      <c r="B321" s="11" t="s">
        <v>766</v>
      </c>
      <c r="C321" s="12" t="s">
        <v>767</v>
      </c>
      <c r="D321" s="12" t="s">
        <v>38</v>
      </c>
      <c r="E321" s="13" t="s">
        <v>39</v>
      </c>
      <c r="F321" s="14" t="str">
        <f>_xlfn.XLOOKUP(B321,'[1]Synthese suivi modernisation'!A:A,'[1]Synthese suivi modernisation'!S:S)</f>
        <v>SOKONE</v>
      </c>
      <c r="G321" s="14" t="str">
        <f>_xlfn.XLOOKUP(B321,'[1]Synthese suivi modernisation'!A:A,'[1]Synthese suivi modernisation'!T:T)</f>
        <v>KAOLACK</v>
      </c>
      <c r="H321" s="20" t="s">
        <v>70</v>
      </c>
      <c r="I321" s="20" t="s">
        <v>71</v>
      </c>
      <c r="J321" s="16" t="s">
        <v>70</v>
      </c>
      <c r="K321" s="24">
        <v>8000</v>
      </c>
      <c r="L321" s="14">
        <v>9</v>
      </c>
      <c r="M321" s="17" t="s">
        <v>73</v>
      </c>
      <c r="N321" s="16" t="s">
        <v>768</v>
      </c>
      <c r="O321" s="16">
        <v>60</v>
      </c>
      <c r="P321" s="18">
        <v>46.5</v>
      </c>
      <c r="Q321" s="20"/>
      <c r="R321" s="20"/>
      <c r="S321" s="19">
        <v>0.8</v>
      </c>
      <c r="T321" s="20">
        <f t="shared" si="25"/>
        <v>18.75</v>
      </c>
      <c r="U321" s="20">
        <v>0.27</v>
      </c>
      <c r="V321" s="20">
        <f t="shared" si="26"/>
        <v>2.4300000000000002</v>
      </c>
      <c r="W321" s="20"/>
      <c r="X321" s="20"/>
      <c r="Y321" s="20">
        <f t="shared" si="27"/>
        <v>0</v>
      </c>
      <c r="Z321" s="21">
        <f t="shared" si="28"/>
        <v>-46.5</v>
      </c>
      <c r="AA321" s="20"/>
      <c r="AB321" s="20"/>
      <c r="AC321" s="20"/>
      <c r="AD321" s="20">
        <f t="shared" si="29"/>
        <v>0</v>
      </c>
      <c r="AE321" s="20"/>
      <c r="AF321" s="20"/>
      <c r="AG321" s="20"/>
      <c r="AH321" s="20"/>
      <c r="AI321" s="20">
        <f t="shared" si="30"/>
        <v>0</v>
      </c>
      <c r="AJ321" s="20"/>
    </row>
    <row r="322" spans="2:36">
      <c r="B322" s="11" t="s">
        <v>769</v>
      </c>
      <c r="C322" s="12" t="s">
        <v>770</v>
      </c>
      <c r="D322" s="12" t="s">
        <v>38</v>
      </c>
      <c r="E322" s="13" t="s">
        <v>39</v>
      </c>
      <c r="F322" s="14" t="str">
        <f>_xlfn.XLOOKUP(B322,'[1]Synthese suivi modernisation'!A:A,'[1]Synthese suivi modernisation'!S:S)</f>
        <v>GOUDIRY</v>
      </c>
      <c r="G322" s="14" t="str">
        <f>_xlfn.XLOOKUP(B322,'[1]Synthese suivi modernisation'!A:A,'[1]Synthese suivi modernisation'!T:T)</f>
        <v>TAMBACOUNDA</v>
      </c>
      <c r="H322" s="20" t="s">
        <v>54</v>
      </c>
      <c r="I322" s="14" t="s">
        <v>41</v>
      </c>
      <c r="J322" s="16" t="s">
        <v>40</v>
      </c>
      <c r="K322" s="24">
        <v>1000</v>
      </c>
      <c r="L322" s="14">
        <v>2</v>
      </c>
      <c r="M322" s="17" t="s">
        <v>42</v>
      </c>
      <c r="N322" s="16" t="s">
        <v>139</v>
      </c>
      <c r="O322" s="16">
        <v>18</v>
      </c>
      <c r="P322" s="18">
        <v>75.583333333333329</v>
      </c>
      <c r="Q322" s="20"/>
      <c r="R322" s="20"/>
      <c r="S322" s="19">
        <v>0.8</v>
      </c>
      <c r="T322" s="20">
        <f t="shared" si="25"/>
        <v>13.888888888888889</v>
      </c>
      <c r="U322" s="20">
        <v>0.27</v>
      </c>
      <c r="V322" s="20">
        <f t="shared" si="26"/>
        <v>0.54</v>
      </c>
      <c r="W322" s="20"/>
      <c r="X322" s="20"/>
      <c r="Y322" s="20">
        <f t="shared" si="27"/>
        <v>0</v>
      </c>
      <c r="Z322" s="21">
        <f t="shared" si="28"/>
        <v>-75.583333333333329</v>
      </c>
      <c r="AA322" s="20"/>
      <c r="AB322" s="20"/>
      <c r="AC322" s="20"/>
      <c r="AD322" s="20">
        <f t="shared" si="29"/>
        <v>0</v>
      </c>
      <c r="AE322" s="20"/>
      <c r="AF322" s="20"/>
      <c r="AG322" s="20"/>
      <c r="AH322" s="20"/>
      <c r="AI322" s="20">
        <f t="shared" si="30"/>
        <v>0</v>
      </c>
      <c r="AJ322" s="20"/>
    </row>
    <row r="323" spans="2:36">
      <c r="B323" s="11" t="s">
        <v>771</v>
      </c>
      <c r="C323" s="12" t="s">
        <v>772</v>
      </c>
      <c r="D323" s="12" t="s">
        <v>38</v>
      </c>
      <c r="E323" s="13" t="s">
        <v>39</v>
      </c>
      <c r="F323" s="14" t="str">
        <f>_xlfn.XLOOKUP(B323,'[1]Synthese suivi modernisation'!A:A,'[1]Synthese suivi modernisation'!S:S)</f>
        <v>MEDINA</v>
      </c>
      <c r="G323" s="14" t="str">
        <f>_xlfn.XLOOKUP(B323,'[1]Synthese suivi modernisation'!A:A,'[1]Synthese suivi modernisation'!T:T)</f>
        <v>DAKAR</v>
      </c>
      <c r="H323" s="20" t="s">
        <v>70</v>
      </c>
      <c r="I323" s="20" t="s">
        <v>71</v>
      </c>
      <c r="J323" s="16" t="s">
        <v>70</v>
      </c>
      <c r="K323" s="24">
        <v>16000</v>
      </c>
      <c r="L323" s="14">
        <v>21</v>
      </c>
      <c r="M323" s="17" t="s">
        <v>73</v>
      </c>
      <c r="N323" s="16" t="s">
        <v>566</v>
      </c>
      <c r="O323" s="16">
        <v>150</v>
      </c>
      <c r="P323" s="18">
        <v>97.25</v>
      </c>
      <c r="Q323" s="20"/>
      <c r="R323" s="20"/>
      <c r="S323" s="19">
        <v>0.8</v>
      </c>
      <c r="T323" s="20">
        <f t="shared" si="25"/>
        <v>17.5</v>
      </c>
      <c r="U323" s="20">
        <v>0.27</v>
      </c>
      <c r="V323" s="20">
        <f t="shared" si="26"/>
        <v>5.67</v>
      </c>
      <c r="W323" s="20"/>
      <c r="X323" s="20"/>
      <c r="Y323" s="20">
        <f t="shared" si="27"/>
        <v>0</v>
      </c>
      <c r="Z323" s="21">
        <f t="shared" si="28"/>
        <v>-97.25</v>
      </c>
      <c r="AA323" s="20"/>
      <c r="AB323" s="20"/>
      <c r="AC323" s="20"/>
      <c r="AD323" s="20">
        <f t="shared" si="29"/>
        <v>0</v>
      </c>
      <c r="AE323" s="20"/>
      <c r="AF323" s="20"/>
      <c r="AG323" s="20"/>
      <c r="AH323" s="20"/>
      <c r="AI323" s="20">
        <f t="shared" si="30"/>
        <v>0</v>
      </c>
      <c r="AJ323" s="20"/>
    </row>
    <row r="324" spans="2:36">
      <c r="B324" s="11" t="s">
        <v>773</v>
      </c>
      <c r="C324" s="12" t="s">
        <v>774</v>
      </c>
      <c r="D324" s="12" t="s">
        <v>38</v>
      </c>
      <c r="E324" s="13" t="s">
        <v>39</v>
      </c>
      <c r="F324" s="14" t="str">
        <f>_xlfn.XLOOKUP(B324,'[1]Synthese suivi modernisation'!A:A,'[1]Synthese suivi modernisation'!S:S)</f>
        <v>SACRE_COEUR</v>
      </c>
      <c r="G324" s="14" t="str">
        <f>_xlfn.XLOOKUP(B324,'[1]Synthese suivi modernisation'!A:A,'[1]Synthese suivi modernisation'!T:T)</f>
        <v>DAKAR</v>
      </c>
      <c r="H324" s="20" t="s">
        <v>242</v>
      </c>
      <c r="I324" s="20" t="s">
        <v>143</v>
      </c>
      <c r="J324" s="16" t="s">
        <v>242</v>
      </c>
      <c r="K324" s="24">
        <v>16000</v>
      </c>
      <c r="L324" s="14">
        <v>8</v>
      </c>
      <c r="M324" s="17" t="s">
        <v>73</v>
      </c>
      <c r="N324" s="16" t="s">
        <v>529</v>
      </c>
      <c r="O324" s="16">
        <v>80</v>
      </c>
      <c r="P324" s="18">
        <v>44.5</v>
      </c>
      <c r="Q324" s="20"/>
      <c r="R324" s="20"/>
      <c r="S324" s="19">
        <v>0.8</v>
      </c>
      <c r="T324" s="20">
        <f t="shared" si="25"/>
        <v>12.5</v>
      </c>
      <c r="U324" s="20">
        <v>0.27</v>
      </c>
      <c r="V324" s="20">
        <f t="shared" si="26"/>
        <v>2.16</v>
      </c>
      <c r="W324" s="20"/>
      <c r="X324" s="20"/>
      <c r="Y324" s="20">
        <f t="shared" si="27"/>
        <v>0</v>
      </c>
      <c r="Z324" s="21">
        <f t="shared" si="28"/>
        <v>-44.5</v>
      </c>
      <c r="AA324" s="20"/>
      <c r="AB324" s="20"/>
      <c r="AC324" s="20"/>
      <c r="AD324" s="20">
        <f t="shared" si="29"/>
        <v>0</v>
      </c>
      <c r="AE324" s="20"/>
      <c r="AF324" s="20"/>
      <c r="AG324" s="20"/>
      <c r="AH324" s="20"/>
      <c r="AI324" s="20">
        <f t="shared" si="30"/>
        <v>0</v>
      </c>
      <c r="AJ324" s="20"/>
    </row>
    <row r="325" spans="2:36">
      <c r="B325" s="11" t="s">
        <v>775</v>
      </c>
      <c r="C325" s="12" t="s">
        <v>776</v>
      </c>
      <c r="D325" s="12" t="s">
        <v>38</v>
      </c>
      <c r="E325" s="13" t="s">
        <v>39</v>
      </c>
      <c r="F325" s="14" t="str">
        <f>_xlfn.XLOOKUP(B325,'[1]Synthese suivi modernisation'!A:A,'[1]Synthese suivi modernisation'!S:S)</f>
        <v>ZIGUINCHOR</v>
      </c>
      <c r="G325" s="14" t="str">
        <f>_xlfn.XLOOKUP(B325,'[1]Synthese suivi modernisation'!A:A,'[1]Synthese suivi modernisation'!T:T)</f>
        <v>ZIGUINCHOR</v>
      </c>
      <c r="H325" s="20" t="s">
        <v>70</v>
      </c>
      <c r="I325" s="20" t="s">
        <v>71</v>
      </c>
      <c r="J325" s="16" t="s">
        <v>72</v>
      </c>
      <c r="K325" s="24">
        <v>9000</v>
      </c>
      <c r="L325" s="14">
        <v>7</v>
      </c>
      <c r="M325" s="17" t="s">
        <v>73</v>
      </c>
      <c r="N325" s="16" t="s">
        <v>74</v>
      </c>
      <c r="O325" s="16">
        <v>30</v>
      </c>
      <c r="P325" s="18">
        <v>0</v>
      </c>
      <c r="Q325" s="20"/>
      <c r="R325" s="20"/>
      <c r="S325" s="19">
        <v>0.8</v>
      </c>
      <c r="T325" s="20">
        <f t="shared" si="25"/>
        <v>29.166666666666668</v>
      </c>
      <c r="U325" s="20">
        <v>0.27</v>
      </c>
      <c r="V325" s="20">
        <f t="shared" si="26"/>
        <v>1.8900000000000001</v>
      </c>
      <c r="W325" s="20"/>
      <c r="X325" s="20"/>
      <c r="Y325" s="20">
        <f t="shared" si="27"/>
        <v>0</v>
      </c>
      <c r="Z325" s="21">
        <f t="shared" si="28"/>
        <v>0</v>
      </c>
      <c r="AA325" s="20"/>
      <c r="AB325" s="20"/>
      <c r="AC325" s="20"/>
      <c r="AD325" s="20">
        <f t="shared" si="29"/>
        <v>0</v>
      </c>
      <c r="AE325" s="20"/>
      <c r="AF325" s="20"/>
      <c r="AG325" s="20"/>
      <c r="AH325" s="20"/>
      <c r="AI325" s="20">
        <f t="shared" si="30"/>
        <v>0</v>
      </c>
      <c r="AJ325" s="20"/>
    </row>
    <row r="326" spans="2:36">
      <c r="B326" s="11" t="s">
        <v>777</v>
      </c>
      <c r="C326" s="12" t="s">
        <v>778</v>
      </c>
      <c r="D326" s="12" t="s">
        <v>38</v>
      </c>
      <c r="E326" s="13" t="s">
        <v>39</v>
      </c>
      <c r="F326" s="14" t="str">
        <f>_xlfn.XLOOKUP(B326,'[1]Synthese suivi modernisation'!A:A,'[1]Synthese suivi modernisation'!S:S)</f>
        <v>LOUGA</v>
      </c>
      <c r="G326" s="14" t="str">
        <f>_xlfn.XLOOKUP(B326,'[1]Synthese suivi modernisation'!A:A,'[1]Synthese suivi modernisation'!T:T)</f>
        <v>SAINT-LOUIS</v>
      </c>
      <c r="H326" s="20" t="s">
        <v>54</v>
      </c>
      <c r="I326" s="14" t="s">
        <v>41</v>
      </c>
      <c r="J326" s="23" t="s">
        <v>40</v>
      </c>
      <c r="K326" s="24">
        <v>1500</v>
      </c>
      <c r="L326" s="14">
        <v>3.5</v>
      </c>
      <c r="M326" s="17" t="s">
        <v>42</v>
      </c>
      <c r="N326" s="16" t="s">
        <v>779</v>
      </c>
      <c r="O326" s="16">
        <v>20</v>
      </c>
      <c r="P326" s="18">
        <v>207.66666666666666</v>
      </c>
      <c r="Q326" s="20"/>
      <c r="R326" s="20"/>
      <c r="S326" s="19">
        <v>0.8</v>
      </c>
      <c r="T326" s="20">
        <f t="shared" ref="T326:T389" si="31">(((Q326*R326)/(1000*S326)+L326)/(O326*0.8))*100</f>
        <v>21.875</v>
      </c>
      <c r="U326" s="20">
        <v>0.27</v>
      </c>
      <c r="V326" s="20">
        <f t="shared" ref="V326:V389" si="32">(((Q326*R326)/(1000*S326)+L326))*U326</f>
        <v>0.94500000000000006</v>
      </c>
      <c r="W326" s="20"/>
      <c r="X326" s="20"/>
      <c r="Y326" s="20">
        <f t="shared" ref="Y326:Y389" si="33">+X326*V326</f>
        <v>0</v>
      </c>
      <c r="Z326" s="21">
        <f t="shared" ref="Z326:Z389" si="34">Y326-P326</f>
        <v>-207.66666666666666</v>
      </c>
      <c r="AA326" s="20"/>
      <c r="AB326" s="20"/>
      <c r="AC326" s="20"/>
      <c r="AD326" s="20">
        <f t="shared" ref="AD326:AD389" si="35">AC326-Y326</f>
        <v>0</v>
      </c>
      <c r="AE326" s="20"/>
      <c r="AF326" s="20"/>
      <c r="AG326" s="20"/>
      <c r="AH326" s="20"/>
      <c r="AI326" s="20">
        <f t="shared" ref="AI326:AI389" si="36">AG326-AH326</f>
        <v>0</v>
      </c>
      <c r="AJ326" s="20"/>
    </row>
    <row r="327" spans="2:36">
      <c r="B327" s="11" t="s">
        <v>780</v>
      </c>
      <c r="C327" s="12" t="s">
        <v>781</v>
      </c>
      <c r="D327" s="12" t="s">
        <v>38</v>
      </c>
      <c r="E327" s="13" t="s">
        <v>39</v>
      </c>
      <c r="F327" s="14" t="str">
        <f>_xlfn.XLOOKUP(B327,'[1]Synthese suivi modernisation'!A:A,'[1]Synthese suivi modernisation'!S:S)</f>
        <v>SEDHIOU</v>
      </c>
      <c r="G327" s="14" t="str">
        <f>_xlfn.XLOOKUP(B327,'[1]Synthese suivi modernisation'!A:A,'[1]Synthese suivi modernisation'!T:T)</f>
        <v>ZIGUINCHOR</v>
      </c>
      <c r="H327" s="20" t="s">
        <v>40</v>
      </c>
      <c r="I327" s="14" t="s">
        <v>41</v>
      </c>
      <c r="J327" s="16" t="s">
        <v>40</v>
      </c>
      <c r="K327" s="24">
        <v>2500</v>
      </c>
      <c r="L327" s="14">
        <v>3</v>
      </c>
      <c r="M327" s="17" t="s">
        <v>42</v>
      </c>
      <c r="N327" s="16" t="s">
        <v>48</v>
      </c>
      <c r="O327" s="16">
        <v>22</v>
      </c>
      <c r="P327" s="18">
        <v>322.16666666666669</v>
      </c>
      <c r="Q327" s="20"/>
      <c r="R327" s="20"/>
      <c r="S327" s="19">
        <v>0.8</v>
      </c>
      <c r="T327" s="20">
        <f t="shared" si="31"/>
        <v>17.045454545454543</v>
      </c>
      <c r="U327" s="20">
        <v>0.27</v>
      </c>
      <c r="V327" s="20">
        <f t="shared" si="32"/>
        <v>0.81</v>
      </c>
      <c r="W327" s="20"/>
      <c r="X327" s="20"/>
      <c r="Y327" s="20">
        <f t="shared" si="33"/>
        <v>0</v>
      </c>
      <c r="Z327" s="21">
        <f t="shared" si="34"/>
        <v>-322.16666666666669</v>
      </c>
      <c r="AA327" s="20"/>
      <c r="AB327" s="20"/>
      <c r="AC327" s="20"/>
      <c r="AD327" s="20">
        <f t="shared" si="35"/>
        <v>0</v>
      </c>
      <c r="AE327" s="20"/>
      <c r="AF327" s="20"/>
      <c r="AG327" s="20"/>
      <c r="AH327" s="20"/>
      <c r="AI327" s="20">
        <f t="shared" si="36"/>
        <v>0</v>
      </c>
      <c r="AJ327" s="20"/>
    </row>
    <row r="328" spans="2:36">
      <c r="B328" s="11" t="s">
        <v>782</v>
      </c>
      <c r="C328" s="12" t="s">
        <v>783</v>
      </c>
      <c r="D328" s="12" t="s">
        <v>38</v>
      </c>
      <c r="E328" s="13" t="s">
        <v>39</v>
      </c>
      <c r="F328" s="14" t="str">
        <f>_xlfn.XLOOKUP(B328,'[1]Synthese suivi modernisation'!A:A,'[1]Synthese suivi modernisation'!S:S)</f>
        <v>DIOURBEL</v>
      </c>
      <c r="G328" s="14" t="str">
        <f>_xlfn.XLOOKUP(B328,'[1]Synthese suivi modernisation'!A:A,'[1]Synthese suivi modernisation'!T:T)</f>
        <v>THIES</v>
      </c>
      <c r="H328" s="20" t="s">
        <v>54</v>
      </c>
      <c r="I328" s="14" t="s">
        <v>41</v>
      </c>
      <c r="J328" s="23" t="s">
        <v>40</v>
      </c>
      <c r="K328" s="24">
        <v>3000</v>
      </c>
      <c r="L328" s="14">
        <v>2.75</v>
      </c>
      <c r="M328" s="17" t="s">
        <v>42</v>
      </c>
      <c r="N328" s="16" t="s">
        <v>55</v>
      </c>
      <c r="O328" s="16">
        <v>33</v>
      </c>
      <c r="P328" s="18">
        <v>275.41666666666669</v>
      </c>
      <c r="Q328" s="20"/>
      <c r="R328" s="20"/>
      <c r="S328" s="19">
        <v>0.8</v>
      </c>
      <c r="T328" s="20">
        <f t="shared" si="31"/>
        <v>10.416666666666666</v>
      </c>
      <c r="U328" s="20">
        <v>0.27</v>
      </c>
      <c r="V328" s="20">
        <f t="shared" si="32"/>
        <v>0.74250000000000005</v>
      </c>
      <c r="W328" s="20"/>
      <c r="X328" s="20"/>
      <c r="Y328" s="20">
        <f t="shared" si="33"/>
        <v>0</v>
      </c>
      <c r="Z328" s="21">
        <f t="shared" si="34"/>
        <v>-275.41666666666669</v>
      </c>
      <c r="AA328" s="20"/>
      <c r="AB328" s="20"/>
      <c r="AC328" s="20"/>
      <c r="AD328" s="20">
        <f t="shared" si="35"/>
        <v>0</v>
      </c>
      <c r="AE328" s="20"/>
      <c r="AF328" s="20"/>
      <c r="AG328" s="20"/>
      <c r="AH328" s="20"/>
      <c r="AI328" s="20">
        <f t="shared" si="36"/>
        <v>0</v>
      </c>
      <c r="AJ328" s="20"/>
    </row>
    <row r="329" spans="2:36">
      <c r="B329" s="11" t="s">
        <v>784</v>
      </c>
      <c r="C329" s="12" t="s">
        <v>785</v>
      </c>
      <c r="D329" s="12" t="s">
        <v>38</v>
      </c>
      <c r="E329" s="13" t="s">
        <v>39</v>
      </c>
      <c r="F329" s="14" t="str">
        <f>_xlfn.XLOOKUP(B329,'[1]Synthese suivi modernisation'!A:A,'[1]Synthese suivi modernisation'!S:S)</f>
        <v>SOKONE</v>
      </c>
      <c r="G329" s="14" t="str">
        <f>_xlfn.XLOOKUP(B329,'[1]Synthese suivi modernisation'!A:A,'[1]Synthese suivi modernisation'!T:T)</f>
        <v>KAOLACK</v>
      </c>
      <c r="H329" s="20" t="s">
        <v>40</v>
      </c>
      <c r="I329" s="14" t="s">
        <v>41</v>
      </c>
      <c r="J329" s="23" t="s">
        <v>40</v>
      </c>
      <c r="K329" s="24">
        <v>1750</v>
      </c>
      <c r="L329" s="14">
        <v>3.5</v>
      </c>
      <c r="M329" s="17" t="s">
        <v>42</v>
      </c>
      <c r="N329" s="16" t="s">
        <v>55</v>
      </c>
      <c r="O329" s="16">
        <v>33</v>
      </c>
      <c r="P329" s="18">
        <v>243.33333333333334</v>
      </c>
      <c r="Q329" s="20"/>
      <c r="R329" s="20"/>
      <c r="S329" s="19">
        <v>0.8</v>
      </c>
      <c r="T329" s="20">
        <f t="shared" si="31"/>
        <v>13.257575757575758</v>
      </c>
      <c r="U329" s="20">
        <v>0.27</v>
      </c>
      <c r="V329" s="20">
        <f t="shared" si="32"/>
        <v>0.94500000000000006</v>
      </c>
      <c r="W329" s="20"/>
      <c r="X329" s="20"/>
      <c r="Y329" s="20">
        <f t="shared" si="33"/>
        <v>0</v>
      </c>
      <c r="Z329" s="21">
        <f t="shared" si="34"/>
        <v>-243.33333333333334</v>
      </c>
      <c r="AA329" s="20"/>
      <c r="AB329" s="20"/>
      <c r="AC329" s="20"/>
      <c r="AD329" s="20">
        <f t="shared" si="35"/>
        <v>0</v>
      </c>
      <c r="AE329" s="20"/>
      <c r="AF329" s="20"/>
      <c r="AG329" s="20"/>
      <c r="AH329" s="20"/>
      <c r="AI329" s="20">
        <f t="shared" si="36"/>
        <v>0</v>
      </c>
      <c r="AJ329" s="20"/>
    </row>
    <row r="330" spans="2:36">
      <c r="B330" s="11" t="s">
        <v>786</v>
      </c>
      <c r="C330" s="12" t="s">
        <v>787</v>
      </c>
      <c r="D330" s="12" t="s">
        <v>38</v>
      </c>
      <c r="E330" s="13" t="s">
        <v>39</v>
      </c>
      <c r="F330" s="14" t="str">
        <f>_xlfn.XLOOKUP(B330,'[1]Synthese suivi modernisation'!A:A,'[1]Synthese suivi modernisation'!S:S)</f>
        <v>THIES</v>
      </c>
      <c r="G330" s="14" t="str">
        <f>_xlfn.XLOOKUP(B330,'[1]Synthese suivi modernisation'!A:A,'[1]Synthese suivi modernisation'!T:T)</f>
        <v>THIES</v>
      </c>
      <c r="H330" s="20" t="s">
        <v>40</v>
      </c>
      <c r="I330" s="14" t="s">
        <v>41</v>
      </c>
      <c r="J330" s="16" t="s">
        <v>40</v>
      </c>
      <c r="K330" s="24">
        <v>3500</v>
      </c>
      <c r="L330" s="14">
        <v>3</v>
      </c>
      <c r="M330" s="17" t="s">
        <v>42</v>
      </c>
      <c r="N330" s="16" t="s">
        <v>48</v>
      </c>
      <c r="O330" s="16">
        <v>22</v>
      </c>
      <c r="P330" s="18">
        <v>311.66666666666669</v>
      </c>
      <c r="Q330" s="20"/>
      <c r="R330" s="20"/>
      <c r="S330" s="19">
        <v>0.8</v>
      </c>
      <c r="T330" s="20">
        <f t="shared" si="31"/>
        <v>17.045454545454543</v>
      </c>
      <c r="U330" s="20">
        <v>0.27</v>
      </c>
      <c r="V330" s="20">
        <f t="shared" si="32"/>
        <v>0.81</v>
      </c>
      <c r="W330" s="20"/>
      <c r="X330" s="20"/>
      <c r="Y330" s="20">
        <f t="shared" si="33"/>
        <v>0</v>
      </c>
      <c r="Z330" s="21">
        <f t="shared" si="34"/>
        <v>-311.66666666666669</v>
      </c>
      <c r="AA330" s="20"/>
      <c r="AB330" s="20"/>
      <c r="AC330" s="20"/>
      <c r="AD330" s="20">
        <f t="shared" si="35"/>
        <v>0</v>
      </c>
      <c r="AE330" s="20"/>
      <c r="AF330" s="20"/>
      <c r="AG330" s="20"/>
      <c r="AH330" s="20"/>
      <c r="AI330" s="20">
        <f t="shared" si="36"/>
        <v>0</v>
      </c>
      <c r="AJ330" s="20"/>
    </row>
    <row r="331" spans="2:36">
      <c r="B331" s="11" t="s">
        <v>788</v>
      </c>
      <c r="C331" s="12" t="s">
        <v>789</v>
      </c>
      <c r="D331" s="12" t="s">
        <v>38</v>
      </c>
      <c r="E331" s="13" t="s">
        <v>39</v>
      </c>
      <c r="F331" s="14" t="str">
        <f>_xlfn.XLOOKUP(B331,'[1]Synthese suivi modernisation'!A:A,'[1]Synthese suivi modernisation'!S:S)</f>
        <v>SOKONE</v>
      </c>
      <c r="G331" s="14" t="str">
        <f>_xlfn.XLOOKUP(B331,'[1]Synthese suivi modernisation'!A:A,'[1]Synthese suivi modernisation'!T:T)</f>
        <v>KAOLACK</v>
      </c>
      <c r="H331" s="20" t="s">
        <v>70</v>
      </c>
      <c r="I331" s="20" t="s">
        <v>71</v>
      </c>
      <c r="J331" s="16" t="s">
        <v>70</v>
      </c>
      <c r="K331" s="24">
        <v>9000</v>
      </c>
      <c r="L331" s="14">
        <v>10</v>
      </c>
      <c r="M331" s="17" t="s">
        <v>73</v>
      </c>
      <c r="N331" s="16" t="s">
        <v>111</v>
      </c>
      <c r="O331" s="16">
        <v>22</v>
      </c>
      <c r="P331" s="18">
        <v>80.25</v>
      </c>
      <c r="Q331" s="20"/>
      <c r="R331" s="20"/>
      <c r="S331" s="19">
        <v>0.8</v>
      </c>
      <c r="T331" s="20">
        <f t="shared" si="31"/>
        <v>56.818181818181813</v>
      </c>
      <c r="U331" s="20">
        <v>0.27</v>
      </c>
      <c r="V331" s="20">
        <f t="shared" si="32"/>
        <v>2.7</v>
      </c>
      <c r="W331" s="20"/>
      <c r="X331" s="20"/>
      <c r="Y331" s="20">
        <f t="shared" si="33"/>
        <v>0</v>
      </c>
      <c r="Z331" s="21">
        <f t="shared" si="34"/>
        <v>-80.25</v>
      </c>
      <c r="AA331" s="20"/>
      <c r="AB331" s="20"/>
      <c r="AC331" s="20"/>
      <c r="AD331" s="20">
        <f t="shared" si="35"/>
        <v>0</v>
      </c>
      <c r="AE331" s="20"/>
      <c r="AF331" s="20"/>
      <c r="AG331" s="20"/>
      <c r="AH331" s="20"/>
      <c r="AI331" s="20">
        <f t="shared" si="36"/>
        <v>0</v>
      </c>
      <c r="AJ331" s="20"/>
    </row>
    <row r="332" spans="2:36">
      <c r="B332" s="11" t="s">
        <v>790</v>
      </c>
      <c r="C332" s="12" t="s">
        <v>791</v>
      </c>
      <c r="D332" s="12" t="s">
        <v>38</v>
      </c>
      <c r="E332" s="13" t="s">
        <v>39</v>
      </c>
      <c r="F332" s="14" t="str">
        <f>_xlfn.XLOOKUP(B332,'[1]Synthese suivi modernisation'!A:A,'[1]Synthese suivi modernisation'!S:S)</f>
        <v>LOUGA</v>
      </c>
      <c r="G332" s="14" t="str">
        <f>_xlfn.XLOOKUP(B332,'[1]Synthese suivi modernisation'!A:A,'[1]Synthese suivi modernisation'!T:T)</f>
        <v>SAINT-LOUIS</v>
      </c>
      <c r="H332" s="20" t="s">
        <v>40</v>
      </c>
      <c r="I332" s="14" t="s">
        <v>41</v>
      </c>
      <c r="J332" s="16" t="s">
        <v>40</v>
      </c>
      <c r="K332" s="24">
        <v>1500</v>
      </c>
      <c r="L332" s="14">
        <v>3.5</v>
      </c>
      <c r="M332" s="17" t="s">
        <v>42</v>
      </c>
      <c r="N332" s="16" t="s">
        <v>80</v>
      </c>
      <c r="O332" s="16">
        <v>33</v>
      </c>
      <c r="P332" s="18">
        <v>205.41666666666666</v>
      </c>
      <c r="Q332" s="20"/>
      <c r="R332" s="20"/>
      <c r="S332" s="19">
        <v>0.8</v>
      </c>
      <c r="T332" s="20">
        <f t="shared" si="31"/>
        <v>13.257575757575758</v>
      </c>
      <c r="U332" s="20">
        <v>0.27</v>
      </c>
      <c r="V332" s="20">
        <f t="shared" si="32"/>
        <v>0.94500000000000006</v>
      </c>
      <c r="W332" s="20"/>
      <c r="X332" s="20"/>
      <c r="Y332" s="20">
        <f t="shared" si="33"/>
        <v>0</v>
      </c>
      <c r="Z332" s="21">
        <f t="shared" si="34"/>
        <v>-205.41666666666666</v>
      </c>
      <c r="AA332" s="20"/>
      <c r="AB332" s="20"/>
      <c r="AC332" s="20"/>
      <c r="AD332" s="20">
        <f t="shared" si="35"/>
        <v>0</v>
      </c>
      <c r="AE332" s="20"/>
      <c r="AF332" s="20"/>
      <c r="AG332" s="20"/>
      <c r="AH332" s="20"/>
      <c r="AI332" s="20">
        <f t="shared" si="36"/>
        <v>0</v>
      </c>
      <c r="AJ332" s="20"/>
    </row>
    <row r="333" spans="2:36">
      <c r="B333" s="11" t="s">
        <v>792</v>
      </c>
      <c r="C333" s="12" t="s">
        <v>793</v>
      </c>
      <c r="D333" s="12" t="s">
        <v>38</v>
      </c>
      <c r="E333" s="13" t="s">
        <v>39</v>
      </c>
      <c r="F333" s="14" t="str">
        <f>_xlfn.XLOOKUP(B333,'[1]Synthese suivi modernisation'!A:A,'[1]Synthese suivi modernisation'!S:S)</f>
        <v>MBOUR</v>
      </c>
      <c r="G333" s="14" t="str">
        <f>_xlfn.XLOOKUP(B333,'[1]Synthese suivi modernisation'!A:A,'[1]Synthese suivi modernisation'!T:T)</f>
        <v>THIES</v>
      </c>
      <c r="H333" s="20" t="s">
        <v>66</v>
      </c>
      <c r="I333" s="14" t="s">
        <v>41</v>
      </c>
      <c r="J333" s="16" t="s">
        <v>66</v>
      </c>
      <c r="K333" s="24">
        <v>5500</v>
      </c>
      <c r="L333" s="14">
        <v>3.5</v>
      </c>
      <c r="M333" s="17" t="s">
        <v>42</v>
      </c>
      <c r="N333" s="16" t="s">
        <v>794</v>
      </c>
      <c r="O333" s="16">
        <v>15</v>
      </c>
      <c r="P333" s="18">
        <v>175.5</v>
      </c>
      <c r="Q333" s="20"/>
      <c r="R333" s="20"/>
      <c r="S333" s="19">
        <v>0.8</v>
      </c>
      <c r="T333" s="20">
        <f t="shared" si="31"/>
        <v>29.166666666666668</v>
      </c>
      <c r="U333" s="20">
        <v>0.27</v>
      </c>
      <c r="V333" s="20">
        <f t="shared" si="32"/>
        <v>0.94500000000000006</v>
      </c>
      <c r="W333" s="20"/>
      <c r="X333" s="20"/>
      <c r="Y333" s="20">
        <f t="shared" si="33"/>
        <v>0</v>
      </c>
      <c r="Z333" s="21">
        <f t="shared" si="34"/>
        <v>-175.5</v>
      </c>
      <c r="AA333" s="20"/>
      <c r="AB333" s="20"/>
      <c r="AC333" s="20"/>
      <c r="AD333" s="20">
        <f t="shared" si="35"/>
        <v>0</v>
      </c>
      <c r="AE333" s="20"/>
      <c r="AF333" s="20"/>
      <c r="AG333" s="20"/>
      <c r="AH333" s="20"/>
      <c r="AI333" s="20">
        <f t="shared" si="36"/>
        <v>0</v>
      </c>
      <c r="AJ333" s="20"/>
    </row>
    <row r="334" spans="2:36">
      <c r="B334" s="11" t="s">
        <v>795</v>
      </c>
      <c r="C334" s="12" t="s">
        <v>796</v>
      </c>
      <c r="D334" s="12" t="s">
        <v>38</v>
      </c>
      <c r="E334" s="13" t="s">
        <v>39</v>
      </c>
      <c r="F334" s="14" t="str">
        <f>_xlfn.XLOOKUP(B334,'[1]Synthese suivi modernisation'!A:A,'[1]Synthese suivi modernisation'!S:S)</f>
        <v>TOUBA02</v>
      </c>
      <c r="G334" s="14" t="str">
        <f>_xlfn.XLOOKUP(B334,'[1]Synthese suivi modernisation'!A:A,'[1]Synthese suivi modernisation'!T:T)</f>
        <v>THIES</v>
      </c>
      <c r="H334" s="20" t="s">
        <v>40</v>
      </c>
      <c r="I334" s="14" t="s">
        <v>41</v>
      </c>
      <c r="J334" s="16" t="s">
        <v>40</v>
      </c>
      <c r="K334" s="24">
        <v>4000</v>
      </c>
      <c r="L334" s="14">
        <v>3.5</v>
      </c>
      <c r="M334" s="17" t="s">
        <v>42</v>
      </c>
      <c r="N334" s="16" t="s">
        <v>173</v>
      </c>
      <c r="O334" s="16">
        <v>22</v>
      </c>
      <c r="P334" s="18">
        <v>220.75</v>
      </c>
      <c r="Q334" s="20"/>
      <c r="R334" s="20"/>
      <c r="S334" s="19">
        <v>0.8</v>
      </c>
      <c r="T334" s="20">
        <f t="shared" si="31"/>
        <v>19.886363636363637</v>
      </c>
      <c r="U334" s="20">
        <v>0.27</v>
      </c>
      <c r="V334" s="20">
        <f t="shared" si="32"/>
        <v>0.94500000000000006</v>
      </c>
      <c r="W334" s="20"/>
      <c r="X334" s="20"/>
      <c r="Y334" s="20">
        <f t="shared" si="33"/>
        <v>0</v>
      </c>
      <c r="Z334" s="21">
        <f t="shared" si="34"/>
        <v>-220.75</v>
      </c>
      <c r="AA334" s="20"/>
      <c r="AB334" s="20"/>
      <c r="AC334" s="20"/>
      <c r="AD334" s="20">
        <f t="shared" si="35"/>
        <v>0</v>
      </c>
      <c r="AE334" s="20"/>
      <c r="AF334" s="20"/>
      <c r="AG334" s="20"/>
      <c r="AH334" s="20"/>
      <c r="AI334" s="20">
        <f t="shared" si="36"/>
        <v>0</v>
      </c>
      <c r="AJ334" s="20"/>
    </row>
    <row r="335" spans="2:36">
      <c r="B335" s="11" t="s">
        <v>797</v>
      </c>
      <c r="C335" s="12" t="s">
        <v>798</v>
      </c>
      <c r="D335" s="12" t="s">
        <v>38</v>
      </c>
      <c r="E335" s="13" t="s">
        <v>39</v>
      </c>
      <c r="F335" s="14" t="str">
        <f>_xlfn.XLOOKUP(B335,'[1]Synthese suivi modernisation'!A:A,'[1]Synthese suivi modernisation'!S:S)</f>
        <v>KAFFRINE</v>
      </c>
      <c r="G335" s="14" t="str">
        <f>_xlfn.XLOOKUP(B335,'[1]Synthese suivi modernisation'!A:A,'[1]Synthese suivi modernisation'!T:T)</f>
        <v>KAOLACK</v>
      </c>
      <c r="H335" s="20" t="s">
        <v>40</v>
      </c>
      <c r="I335" s="14" t="s">
        <v>41</v>
      </c>
      <c r="J335" s="16" t="s">
        <v>40</v>
      </c>
      <c r="K335" s="24">
        <v>2250</v>
      </c>
      <c r="L335" s="14">
        <v>3</v>
      </c>
      <c r="M335" s="17" t="s">
        <v>42</v>
      </c>
      <c r="N335" s="16" t="s">
        <v>80</v>
      </c>
      <c r="O335" s="16">
        <v>33</v>
      </c>
      <c r="P335" s="18">
        <v>240.41666666666666</v>
      </c>
      <c r="Q335" s="20"/>
      <c r="R335" s="20"/>
      <c r="S335" s="19">
        <v>0.8</v>
      </c>
      <c r="T335" s="20">
        <f t="shared" si="31"/>
        <v>11.363636363636363</v>
      </c>
      <c r="U335" s="20">
        <v>0.27</v>
      </c>
      <c r="V335" s="20">
        <f t="shared" si="32"/>
        <v>0.81</v>
      </c>
      <c r="W335" s="20"/>
      <c r="X335" s="20"/>
      <c r="Y335" s="20">
        <f t="shared" si="33"/>
        <v>0</v>
      </c>
      <c r="Z335" s="21">
        <f t="shared" si="34"/>
        <v>-240.41666666666666</v>
      </c>
      <c r="AA335" s="20"/>
      <c r="AB335" s="20"/>
      <c r="AC335" s="20"/>
      <c r="AD335" s="20">
        <f t="shared" si="35"/>
        <v>0</v>
      </c>
      <c r="AE335" s="20"/>
      <c r="AF335" s="20"/>
      <c r="AG335" s="20"/>
      <c r="AH335" s="20"/>
      <c r="AI335" s="20">
        <f t="shared" si="36"/>
        <v>0</v>
      </c>
      <c r="AJ335" s="20"/>
    </row>
    <row r="336" spans="2:36">
      <c r="B336" s="11" t="s">
        <v>799</v>
      </c>
      <c r="C336" s="12" t="s">
        <v>800</v>
      </c>
      <c r="D336" s="12" t="s">
        <v>38</v>
      </c>
      <c r="E336" s="13" t="s">
        <v>39</v>
      </c>
      <c r="F336" s="14" t="str">
        <f>_xlfn.XLOOKUP(B336,'[1]Synthese suivi modernisation'!A:A,'[1]Synthese suivi modernisation'!S:S)</f>
        <v>KOLDA</v>
      </c>
      <c r="G336" s="14" t="str">
        <f>_xlfn.XLOOKUP(B336,'[1]Synthese suivi modernisation'!A:A,'[1]Synthese suivi modernisation'!T:T)</f>
        <v>ZIGUINCHOR</v>
      </c>
      <c r="H336" s="20" t="s">
        <v>292</v>
      </c>
      <c r="I336" s="20" t="s">
        <v>71</v>
      </c>
      <c r="J336" s="16" t="s">
        <v>292</v>
      </c>
      <c r="K336" s="24">
        <v>3000</v>
      </c>
      <c r="L336" s="14">
        <v>4</v>
      </c>
      <c r="M336" s="17" t="s">
        <v>73</v>
      </c>
      <c r="N336" s="16" t="s">
        <v>85</v>
      </c>
      <c r="O336" s="16">
        <v>33</v>
      </c>
      <c r="P336" s="18">
        <v>55.75</v>
      </c>
      <c r="Q336" s="20"/>
      <c r="R336" s="20"/>
      <c r="S336" s="19">
        <v>0.8</v>
      </c>
      <c r="T336" s="20">
        <f t="shared" si="31"/>
        <v>15.151515151515149</v>
      </c>
      <c r="U336" s="20">
        <v>0.27</v>
      </c>
      <c r="V336" s="20">
        <f t="shared" si="32"/>
        <v>1.08</v>
      </c>
      <c r="W336" s="20"/>
      <c r="X336" s="20"/>
      <c r="Y336" s="20">
        <f t="shared" si="33"/>
        <v>0</v>
      </c>
      <c r="Z336" s="21">
        <f t="shared" si="34"/>
        <v>-55.75</v>
      </c>
      <c r="AA336" s="20"/>
      <c r="AB336" s="20"/>
      <c r="AC336" s="20"/>
      <c r="AD336" s="20">
        <f t="shared" si="35"/>
        <v>0</v>
      </c>
      <c r="AE336" s="20"/>
      <c r="AF336" s="20"/>
      <c r="AG336" s="20"/>
      <c r="AH336" s="20"/>
      <c r="AI336" s="20">
        <f t="shared" si="36"/>
        <v>0</v>
      </c>
      <c r="AJ336" s="20"/>
    </row>
    <row r="337" spans="2:36">
      <c r="B337" s="11" t="s">
        <v>801</v>
      </c>
      <c r="C337" s="12" t="s">
        <v>802</v>
      </c>
      <c r="D337" s="12" t="s">
        <v>38</v>
      </c>
      <c r="E337" s="13" t="s">
        <v>39</v>
      </c>
      <c r="F337" s="14" t="str">
        <f>_xlfn.XLOOKUP(B337,'[1]Synthese suivi modernisation'!A:A,'[1]Synthese suivi modernisation'!S:S)</f>
        <v>TAMBA</v>
      </c>
      <c r="G337" s="14" t="str">
        <f>_xlfn.XLOOKUP(B337,'[1]Synthese suivi modernisation'!A:A,'[1]Synthese suivi modernisation'!T:T)</f>
        <v>TAMBACOUNDA</v>
      </c>
      <c r="H337" s="20" t="s">
        <v>70</v>
      </c>
      <c r="I337" s="20" t="s">
        <v>71</v>
      </c>
      <c r="J337" s="16" t="s">
        <v>70</v>
      </c>
      <c r="K337" s="24">
        <v>7000</v>
      </c>
      <c r="L337" s="14">
        <v>7</v>
      </c>
      <c r="M337" s="17" t="s">
        <v>73</v>
      </c>
      <c r="N337" s="16" t="s">
        <v>91</v>
      </c>
      <c r="O337" s="16">
        <v>30</v>
      </c>
      <c r="P337" s="18">
        <v>32.5</v>
      </c>
      <c r="Q337" s="20"/>
      <c r="R337" s="20"/>
      <c r="S337" s="19">
        <v>0.8</v>
      </c>
      <c r="T337" s="20">
        <f t="shared" si="31"/>
        <v>29.166666666666668</v>
      </c>
      <c r="U337" s="20">
        <v>0.27</v>
      </c>
      <c r="V337" s="20">
        <f t="shared" si="32"/>
        <v>1.8900000000000001</v>
      </c>
      <c r="W337" s="20"/>
      <c r="X337" s="20"/>
      <c r="Y337" s="20">
        <f t="shared" si="33"/>
        <v>0</v>
      </c>
      <c r="Z337" s="21">
        <f t="shared" si="34"/>
        <v>-32.5</v>
      </c>
      <c r="AA337" s="20"/>
      <c r="AB337" s="20"/>
      <c r="AC337" s="20"/>
      <c r="AD337" s="20">
        <f t="shared" si="35"/>
        <v>0</v>
      </c>
      <c r="AE337" s="20"/>
      <c r="AF337" s="20"/>
      <c r="AG337" s="20"/>
      <c r="AH337" s="20"/>
      <c r="AI337" s="20">
        <f t="shared" si="36"/>
        <v>0</v>
      </c>
      <c r="AJ337" s="20"/>
    </row>
    <row r="338" spans="2:36">
      <c r="B338" s="11" t="s">
        <v>803</v>
      </c>
      <c r="C338" s="12" t="s">
        <v>804</v>
      </c>
      <c r="D338" s="12" t="s">
        <v>38</v>
      </c>
      <c r="E338" s="13" t="s">
        <v>39</v>
      </c>
      <c r="F338" s="14" t="str">
        <f>_xlfn.XLOOKUP(B338,'[1]Synthese suivi modernisation'!A:A,'[1]Synthese suivi modernisation'!S:S)</f>
        <v>LINGUERE</v>
      </c>
      <c r="G338" s="14" t="str">
        <f>_xlfn.XLOOKUP(B338,'[1]Synthese suivi modernisation'!A:A,'[1]Synthese suivi modernisation'!T:T)</f>
        <v>SAINT-LOUIS</v>
      </c>
      <c r="H338" s="20" t="s">
        <v>54</v>
      </c>
      <c r="I338" s="14" t="s">
        <v>41</v>
      </c>
      <c r="J338" s="23" t="s">
        <v>40</v>
      </c>
      <c r="K338" s="24">
        <v>2750</v>
      </c>
      <c r="L338" s="14">
        <v>3.75</v>
      </c>
      <c r="M338" s="17" t="s">
        <v>42</v>
      </c>
      <c r="N338" s="16" t="s">
        <v>55</v>
      </c>
      <c r="O338" s="16">
        <v>33</v>
      </c>
      <c r="P338" s="18">
        <v>320.25</v>
      </c>
      <c r="Q338" s="20"/>
      <c r="R338" s="20"/>
      <c r="S338" s="19">
        <v>0.8</v>
      </c>
      <c r="T338" s="20">
        <f t="shared" si="31"/>
        <v>14.204545454545453</v>
      </c>
      <c r="U338" s="20">
        <v>0.27</v>
      </c>
      <c r="V338" s="20">
        <f t="shared" si="32"/>
        <v>1.0125000000000002</v>
      </c>
      <c r="W338" s="20"/>
      <c r="X338" s="20"/>
      <c r="Y338" s="20">
        <f t="shared" si="33"/>
        <v>0</v>
      </c>
      <c r="Z338" s="21">
        <f t="shared" si="34"/>
        <v>-320.25</v>
      </c>
      <c r="AA338" s="20"/>
      <c r="AB338" s="20"/>
      <c r="AC338" s="20"/>
      <c r="AD338" s="20">
        <f t="shared" si="35"/>
        <v>0</v>
      </c>
      <c r="AE338" s="20"/>
      <c r="AF338" s="20"/>
      <c r="AG338" s="20"/>
      <c r="AH338" s="20"/>
      <c r="AI338" s="20">
        <f t="shared" si="36"/>
        <v>0</v>
      </c>
      <c r="AJ338" s="20"/>
    </row>
    <row r="339" spans="2:36">
      <c r="B339" s="11" t="s">
        <v>805</v>
      </c>
      <c r="C339" s="12" t="s">
        <v>806</v>
      </c>
      <c r="D339" s="12" t="s">
        <v>38</v>
      </c>
      <c r="E339" s="13" t="s">
        <v>39</v>
      </c>
      <c r="F339" s="14" t="str">
        <f>_xlfn.XLOOKUP(B339,'[1]Synthese suivi modernisation'!A:A,'[1]Synthese suivi modernisation'!S:S)</f>
        <v>LINGUERE</v>
      </c>
      <c r="G339" s="14" t="str">
        <f>_xlfn.XLOOKUP(B339,'[1]Synthese suivi modernisation'!A:A,'[1]Synthese suivi modernisation'!T:T)</f>
        <v>THIES</v>
      </c>
      <c r="H339" s="20" t="s">
        <v>292</v>
      </c>
      <c r="I339" s="20" t="s">
        <v>71</v>
      </c>
      <c r="J339" s="16" t="s">
        <v>292</v>
      </c>
      <c r="K339" s="24">
        <v>4000</v>
      </c>
      <c r="L339" s="14">
        <v>4</v>
      </c>
      <c r="M339" s="17" t="s">
        <v>73</v>
      </c>
      <c r="N339" s="16" t="s">
        <v>116</v>
      </c>
      <c r="O339" s="16">
        <v>66</v>
      </c>
      <c r="P339" s="18">
        <v>55.75</v>
      </c>
      <c r="Q339" s="20"/>
      <c r="R339" s="20"/>
      <c r="S339" s="19">
        <v>0.8</v>
      </c>
      <c r="T339" s="20">
        <f t="shared" si="31"/>
        <v>7.5757575757575744</v>
      </c>
      <c r="U339" s="20">
        <v>0.27</v>
      </c>
      <c r="V339" s="20">
        <f t="shared" si="32"/>
        <v>1.08</v>
      </c>
      <c r="W339" s="20"/>
      <c r="X339" s="20"/>
      <c r="Y339" s="20">
        <f t="shared" si="33"/>
        <v>0</v>
      </c>
      <c r="Z339" s="21">
        <f t="shared" si="34"/>
        <v>-55.75</v>
      </c>
      <c r="AA339" s="20"/>
      <c r="AB339" s="20"/>
      <c r="AC339" s="20"/>
      <c r="AD339" s="20">
        <f t="shared" si="35"/>
        <v>0</v>
      </c>
      <c r="AE339" s="20"/>
      <c r="AF339" s="20"/>
      <c r="AG339" s="20"/>
      <c r="AH339" s="20"/>
      <c r="AI339" s="20">
        <f t="shared" si="36"/>
        <v>0</v>
      </c>
      <c r="AJ339" s="20"/>
    </row>
    <row r="340" spans="2:36">
      <c r="B340" s="11" t="s">
        <v>807</v>
      </c>
      <c r="C340" s="12" t="s">
        <v>808</v>
      </c>
      <c r="D340" s="12" t="s">
        <v>38</v>
      </c>
      <c r="E340" s="13" t="s">
        <v>39</v>
      </c>
      <c r="F340" s="14" t="str">
        <f>_xlfn.XLOOKUP(B340,'[1]Synthese suivi modernisation'!A:A,'[1]Synthese suivi modernisation'!S:S)</f>
        <v>BAKEL</v>
      </c>
      <c r="G340" s="14" t="str">
        <f>_xlfn.XLOOKUP(B340,'[1]Synthese suivi modernisation'!A:A,'[1]Synthese suivi modernisation'!T:T)</f>
        <v>SAINT-LOUIS</v>
      </c>
      <c r="H340" s="20" t="s">
        <v>40</v>
      </c>
      <c r="I340" s="14" t="s">
        <v>41</v>
      </c>
      <c r="J340" s="16" t="s">
        <v>40</v>
      </c>
      <c r="K340" s="24">
        <v>1750</v>
      </c>
      <c r="L340" s="14">
        <v>3.5</v>
      </c>
      <c r="M340" s="17" t="s">
        <v>42</v>
      </c>
      <c r="N340" s="16" t="s">
        <v>80</v>
      </c>
      <c r="O340" s="16">
        <v>33</v>
      </c>
      <c r="P340" s="18">
        <v>221.5</v>
      </c>
      <c r="Q340" s="20"/>
      <c r="R340" s="20"/>
      <c r="S340" s="19">
        <v>0.8</v>
      </c>
      <c r="T340" s="20">
        <f t="shared" si="31"/>
        <v>13.257575757575758</v>
      </c>
      <c r="U340" s="20">
        <v>0.27</v>
      </c>
      <c r="V340" s="20">
        <f t="shared" si="32"/>
        <v>0.94500000000000006</v>
      </c>
      <c r="W340" s="20"/>
      <c r="X340" s="20"/>
      <c r="Y340" s="20">
        <f t="shared" si="33"/>
        <v>0</v>
      </c>
      <c r="Z340" s="21">
        <f t="shared" si="34"/>
        <v>-221.5</v>
      </c>
      <c r="AA340" s="20"/>
      <c r="AB340" s="20"/>
      <c r="AC340" s="20"/>
      <c r="AD340" s="20">
        <f t="shared" si="35"/>
        <v>0</v>
      </c>
      <c r="AE340" s="20"/>
      <c r="AF340" s="20"/>
      <c r="AG340" s="20"/>
      <c r="AH340" s="20"/>
      <c r="AI340" s="20">
        <f t="shared" si="36"/>
        <v>0</v>
      </c>
      <c r="AJ340" s="20"/>
    </row>
    <row r="341" spans="2:36">
      <c r="B341" s="11" t="s">
        <v>809</v>
      </c>
      <c r="C341" s="12" t="s">
        <v>810</v>
      </c>
      <c r="D341" s="12" t="s">
        <v>38</v>
      </c>
      <c r="E341" s="13" t="s">
        <v>39</v>
      </c>
      <c r="F341" s="14" t="str">
        <f>_xlfn.XLOOKUP(B341,'[1]Synthese suivi modernisation'!A:A,'[1]Synthese suivi modernisation'!S:S)</f>
        <v>LOUGA</v>
      </c>
      <c r="G341" s="14" t="str">
        <f>_xlfn.XLOOKUP(B341,'[1]Synthese suivi modernisation'!A:A,'[1]Synthese suivi modernisation'!T:T)</f>
        <v>SAINT-LOUIS</v>
      </c>
      <c r="H341" s="20" t="s">
        <v>535</v>
      </c>
      <c r="I341" s="20" t="s">
        <v>71</v>
      </c>
      <c r="J341" s="16" t="s">
        <v>535</v>
      </c>
      <c r="K341" s="24">
        <v>5000</v>
      </c>
      <c r="L341" s="14">
        <v>3</v>
      </c>
      <c r="M341" s="17" t="s">
        <v>73</v>
      </c>
      <c r="N341" s="16" t="s">
        <v>196</v>
      </c>
      <c r="O341" s="16">
        <v>66</v>
      </c>
      <c r="P341" s="18">
        <v>160</v>
      </c>
      <c r="Q341" s="20"/>
      <c r="R341" s="20"/>
      <c r="S341" s="19">
        <v>0.8</v>
      </c>
      <c r="T341" s="20">
        <f t="shared" si="31"/>
        <v>5.6818181818181817</v>
      </c>
      <c r="U341" s="20">
        <v>0.27</v>
      </c>
      <c r="V341" s="20">
        <f t="shared" si="32"/>
        <v>0.81</v>
      </c>
      <c r="W341" s="20"/>
      <c r="X341" s="20"/>
      <c r="Y341" s="20">
        <f t="shared" si="33"/>
        <v>0</v>
      </c>
      <c r="Z341" s="21">
        <f t="shared" si="34"/>
        <v>-160</v>
      </c>
      <c r="AA341" s="20"/>
      <c r="AB341" s="20"/>
      <c r="AC341" s="20"/>
      <c r="AD341" s="20">
        <f t="shared" si="35"/>
        <v>0</v>
      </c>
      <c r="AE341" s="20"/>
      <c r="AF341" s="20"/>
      <c r="AG341" s="20"/>
      <c r="AH341" s="20"/>
      <c r="AI341" s="20">
        <f t="shared" si="36"/>
        <v>0</v>
      </c>
      <c r="AJ341" s="20"/>
    </row>
    <row r="342" spans="2:36">
      <c r="B342" s="11" t="s">
        <v>811</v>
      </c>
      <c r="C342" s="12" t="s">
        <v>812</v>
      </c>
      <c r="D342" s="12" t="s">
        <v>38</v>
      </c>
      <c r="E342" s="13" t="s">
        <v>39</v>
      </c>
      <c r="F342" s="14" t="str">
        <f>_xlfn.XLOOKUP(B342,'[1]Synthese suivi modernisation'!A:A,'[1]Synthese suivi modernisation'!S:S)</f>
        <v>MBOUR</v>
      </c>
      <c r="G342" s="14" t="str">
        <f>_xlfn.XLOOKUP(B342,'[1]Synthese suivi modernisation'!A:A,'[1]Synthese suivi modernisation'!T:T)</f>
        <v>THIES</v>
      </c>
      <c r="H342" s="20" t="s">
        <v>40</v>
      </c>
      <c r="I342" s="14" t="s">
        <v>41</v>
      </c>
      <c r="J342" s="23" t="s">
        <v>40</v>
      </c>
      <c r="K342" s="24">
        <v>2750</v>
      </c>
      <c r="L342" s="14">
        <v>2.5</v>
      </c>
      <c r="M342" s="17" t="s">
        <v>42</v>
      </c>
      <c r="N342" s="16" t="s">
        <v>63</v>
      </c>
      <c r="O342" s="16">
        <v>30</v>
      </c>
      <c r="P342" s="18">
        <v>91.166666666666671</v>
      </c>
      <c r="Q342" s="20"/>
      <c r="R342" s="20"/>
      <c r="S342" s="19">
        <v>0.8</v>
      </c>
      <c r="T342" s="20">
        <f t="shared" si="31"/>
        <v>10.416666666666668</v>
      </c>
      <c r="U342" s="20">
        <v>0.27</v>
      </c>
      <c r="V342" s="20">
        <f t="shared" si="32"/>
        <v>0.67500000000000004</v>
      </c>
      <c r="W342" s="20"/>
      <c r="X342" s="20"/>
      <c r="Y342" s="20">
        <f t="shared" si="33"/>
        <v>0</v>
      </c>
      <c r="Z342" s="21">
        <f t="shared" si="34"/>
        <v>-91.166666666666671</v>
      </c>
      <c r="AA342" s="20"/>
      <c r="AB342" s="20"/>
      <c r="AC342" s="20"/>
      <c r="AD342" s="20">
        <f t="shared" si="35"/>
        <v>0</v>
      </c>
      <c r="AE342" s="20"/>
      <c r="AF342" s="20"/>
      <c r="AG342" s="20"/>
      <c r="AH342" s="20"/>
      <c r="AI342" s="20">
        <f t="shared" si="36"/>
        <v>0</v>
      </c>
      <c r="AJ342" s="20"/>
    </row>
    <row r="343" spans="2:36">
      <c r="B343" s="11" t="s">
        <v>813</v>
      </c>
      <c r="C343" s="12" t="s">
        <v>814</v>
      </c>
      <c r="D343" s="12" t="s">
        <v>38</v>
      </c>
      <c r="E343" s="13" t="s">
        <v>39</v>
      </c>
      <c r="F343" s="14" t="str">
        <f>_xlfn.XLOOKUP(B343,'[1]Synthese suivi modernisation'!A:A,'[1]Synthese suivi modernisation'!S:S)</f>
        <v>TOUBA01</v>
      </c>
      <c r="G343" s="14" t="str">
        <f>_xlfn.XLOOKUP(B343,'[1]Synthese suivi modernisation'!A:A,'[1]Synthese suivi modernisation'!T:T)</f>
        <v>THIES</v>
      </c>
      <c r="H343" s="20" t="s">
        <v>70</v>
      </c>
      <c r="I343" s="20" t="s">
        <v>71</v>
      </c>
      <c r="J343" s="16" t="s">
        <v>70</v>
      </c>
      <c r="K343" s="24">
        <v>20000</v>
      </c>
      <c r="L343" s="14">
        <v>19</v>
      </c>
      <c r="M343" s="17" t="s">
        <v>73</v>
      </c>
      <c r="N343" s="16" t="s">
        <v>529</v>
      </c>
      <c r="O343" s="16">
        <v>80</v>
      </c>
      <c r="P343" s="18">
        <v>88.833333333333329</v>
      </c>
      <c r="Q343" s="20"/>
      <c r="R343" s="20"/>
      <c r="S343" s="19">
        <v>0.8</v>
      </c>
      <c r="T343" s="20">
        <f t="shared" si="31"/>
        <v>29.6875</v>
      </c>
      <c r="U343" s="20">
        <v>0.27</v>
      </c>
      <c r="V343" s="20">
        <f t="shared" si="32"/>
        <v>5.1300000000000008</v>
      </c>
      <c r="W343" s="20"/>
      <c r="X343" s="20"/>
      <c r="Y343" s="20">
        <f t="shared" si="33"/>
        <v>0</v>
      </c>
      <c r="Z343" s="21">
        <f t="shared" si="34"/>
        <v>-88.833333333333329</v>
      </c>
      <c r="AA343" s="20"/>
      <c r="AB343" s="20"/>
      <c r="AC343" s="20"/>
      <c r="AD343" s="20">
        <f t="shared" si="35"/>
        <v>0</v>
      </c>
      <c r="AE343" s="20"/>
      <c r="AF343" s="20"/>
      <c r="AG343" s="20"/>
      <c r="AH343" s="20"/>
      <c r="AI343" s="20">
        <f t="shared" si="36"/>
        <v>0</v>
      </c>
      <c r="AJ343" s="20"/>
    </row>
    <row r="344" spans="2:36">
      <c r="B344" s="11" t="s">
        <v>815</v>
      </c>
      <c r="C344" s="12" t="s">
        <v>816</v>
      </c>
      <c r="D344" s="12" t="s">
        <v>38</v>
      </c>
      <c r="E344" s="13" t="s">
        <v>39</v>
      </c>
      <c r="F344" s="14" t="str">
        <f>_xlfn.XLOOKUP(B344,'[1]Synthese suivi modernisation'!A:A,'[1]Synthese suivi modernisation'!S:S)</f>
        <v>TIVAOUANE</v>
      </c>
      <c r="G344" s="14" t="str">
        <f>_xlfn.XLOOKUP(B344,'[1]Synthese suivi modernisation'!A:A,'[1]Synthese suivi modernisation'!T:T)</f>
        <v>THIES</v>
      </c>
      <c r="H344" s="20" t="s">
        <v>40</v>
      </c>
      <c r="I344" s="14" t="s">
        <v>41</v>
      </c>
      <c r="J344" s="16" t="s">
        <v>40</v>
      </c>
      <c r="K344" s="24">
        <v>2000</v>
      </c>
      <c r="L344" s="14">
        <v>3.5</v>
      </c>
      <c r="M344" s="17" t="s">
        <v>42</v>
      </c>
      <c r="N344" s="16" t="s">
        <v>67</v>
      </c>
      <c r="O344" s="16">
        <v>50</v>
      </c>
      <c r="P344" s="18">
        <v>200.25</v>
      </c>
      <c r="Q344" s="20"/>
      <c r="R344" s="20"/>
      <c r="S344" s="19">
        <v>0.8</v>
      </c>
      <c r="T344" s="20">
        <f t="shared" si="31"/>
        <v>8.75</v>
      </c>
      <c r="U344" s="20">
        <v>0.27</v>
      </c>
      <c r="V344" s="20">
        <f t="shared" si="32"/>
        <v>0.94500000000000006</v>
      </c>
      <c r="W344" s="20"/>
      <c r="X344" s="20"/>
      <c r="Y344" s="20">
        <f t="shared" si="33"/>
        <v>0</v>
      </c>
      <c r="Z344" s="21">
        <f t="shared" si="34"/>
        <v>-200.25</v>
      </c>
      <c r="AA344" s="20"/>
      <c r="AB344" s="20"/>
      <c r="AC344" s="20"/>
      <c r="AD344" s="20">
        <f t="shared" si="35"/>
        <v>0</v>
      </c>
      <c r="AE344" s="20"/>
      <c r="AF344" s="20"/>
      <c r="AG344" s="20"/>
      <c r="AH344" s="20"/>
      <c r="AI344" s="20">
        <f t="shared" si="36"/>
        <v>0</v>
      </c>
      <c r="AJ344" s="20"/>
    </row>
    <row r="345" spans="2:36">
      <c r="B345" s="11" t="s">
        <v>817</v>
      </c>
      <c r="C345" s="12" t="s">
        <v>818</v>
      </c>
      <c r="D345" s="12" t="s">
        <v>38</v>
      </c>
      <c r="E345" s="13" t="s">
        <v>39</v>
      </c>
      <c r="F345" s="14" t="str">
        <f>_xlfn.XLOOKUP(B345,'[1]Synthese suivi modernisation'!A:A,'[1]Synthese suivi modernisation'!S:S)</f>
        <v>THIAROYE</v>
      </c>
      <c r="G345" s="14" t="str">
        <f>_xlfn.XLOOKUP(B345,'[1]Synthese suivi modernisation'!A:A,'[1]Synthese suivi modernisation'!T:T)</f>
        <v>DAKAR</v>
      </c>
      <c r="H345" s="20" t="s">
        <v>142</v>
      </c>
      <c r="I345" s="20" t="s">
        <v>143</v>
      </c>
      <c r="J345" s="16" t="s">
        <v>142</v>
      </c>
      <c r="K345" s="24">
        <v>9000</v>
      </c>
      <c r="L345" s="14">
        <v>6</v>
      </c>
      <c r="M345" s="17" t="s">
        <v>73</v>
      </c>
      <c r="N345" s="16" t="s">
        <v>819</v>
      </c>
      <c r="O345" s="16">
        <v>60</v>
      </c>
      <c r="P345" s="18">
        <v>39.166666666666664</v>
      </c>
      <c r="Q345" s="20"/>
      <c r="R345" s="20"/>
      <c r="S345" s="19">
        <v>0.8</v>
      </c>
      <c r="T345" s="20">
        <f t="shared" si="31"/>
        <v>12.5</v>
      </c>
      <c r="U345" s="20">
        <v>0.27</v>
      </c>
      <c r="V345" s="20">
        <f t="shared" si="32"/>
        <v>1.62</v>
      </c>
      <c r="W345" s="20"/>
      <c r="X345" s="20"/>
      <c r="Y345" s="20">
        <f t="shared" si="33"/>
        <v>0</v>
      </c>
      <c r="Z345" s="21">
        <f t="shared" si="34"/>
        <v>-39.166666666666664</v>
      </c>
      <c r="AA345" s="20"/>
      <c r="AB345" s="20"/>
      <c r="AC345" s="20"/>
      <c r="AD345" s="20">
        <f t="shared" si="35"/>
        <v>0</v>
      </c>
      <c r="AE345" s="20"/>
      <c r="AF345" s="20"/>
      <c r="AG345" s="20"/>
      <c r="AH345" s="20"/>
      <c r="AI345" s="20">
        <f t="shared" si="36"/>
        <v>0</v>
      </c>
      <c r="AJ345" s="20"/>
    </row>
    <row r="346" spans="2:36">
      <c r="B346" s="11" t="s">
        <v>820</v>
      </c>
      <c r="C346" s="12" t="s">
        <v>821</v>
      </c>
      <c r="D346" s="12" t="s">
        <v>38</v>
      </c>
      <c r="E346" s="13" t="s">
        <v>39</v>
      </c>
      <c r="F346" s="14" t="str">
        <f>_xlfn.XLOOKUP(B346,'[1]Synthese suivi modernisation'!A:A,'[1]Synthese suivi modernisation'!S:S)</f>
        <v>SEDHIOU</v>
      </c>
      <c r="G346" s="14" t="str">
        <f>_xlfn.XLOOKUP(B346,'[1]Synthese suivi modernisation'!A:A,'[1]Synthese suivi modernisation'!T:T)</f>
        <v>ZIGUINCHOR</v>
      </c>
      <c r="H346" s="20" t="s">
        <v>70</v>
      </c>
      <c r="I346" s="20" t="s">
        <v>71</v>
      </c>
      <c r="J346" s="16" t="s">
        <v>70</v>
      </c>
      <c r="K346" s="24">
        <v>6000</v>
      </c>
      <c r="L346" s="14">
        <v>7</v>
      </c>
      <c r="M346" s="17" t="s">
        <v>73</v>
      </c>
      <c r="N346" s="16" t="s">
        <v>63</v>
      </c>
      <c r="O346" s="16">
        <v>30</v>
      </c>
      <c r="P346" s="18">
        <v>38.083333333333336</v>
      </c>
      <c r="Q346" s="20"/>
      <c r="R346" s="20"/>
      <c r="S346" s="19">
        <v>0.8</v>
      </c>
      <c r="T346" s="20">
        <f t="shared" si="31"/>
        <v>29.166666666666668</v>
      </c>
      <c r="U346" s="20">
        <v>0.27</v>
      </c>
      <c r="V346" s="20">
        <f t="shared" si="32"/>
        <v>1.8900000000000001</v>
      </c>
      <c r="W346" s="20"/>
      <c r="X346" s="20"/>
      <c r="Y346" s="20">
        <f t="shared" si="33"/>
        <v>0</v>
      </c>
      <c r="Z346" s="21">
        <f t="shared" si="34"/>
        <v>-38.083333333333336</v>
      </c>
      <c r="AA346" s="20"/>
      <c r="AB346" s="20"/>
      <c r="AC346" s="20"/>
      <c r="AD346" s="20">
        <f t="shared" si="35"/>
        <v>0</v>
      </c>
      <c r="AE346" s="20"/>
      <c r="AF346" s="20"/>
      <c r="AG346" s="20"/>
      <c r="AH346" s="20"/>
      <c r="AI346" s="20">
        <f t="shared" si="36"/>
        <v>0</v>
      </c>
      <c r="AJ346" s="20"/>
    </row>
    <row r="347" spans="2:36">
      <c r="B347" s="11" t="s">
        <v>822</v>
      </c>
      <c r="C347" s="12" t="s">
        <v>823</v>
      </c>
      <c r="D347" s="12" t="s">
        <v>38</v>
      </c>
      <c r="E347" s="13" t="s">
        <v>39</v>
      </c>
      <c r="F347" s="14" t="str">
        <f>_xlfn.XLOOKUP(B347,'[1]Synthese suivi modernisation'!A:A,'[1]Synthese suivi modernisation'!S:S)</f>
        <v>MATAM</v>
      </c>
      <c r="G347" s="14" t="str">
        <f>_xlfn.XLOOKUP(B347,'[1]Synthese suivi modernisation'!A:A,'[1]Synthese suivi modernisation'!T:T)</f>
        <v>SAINT-LOUIS</v>
      </c>
      <c r="H347" s="20" t="s">
        <v>70</v>
      </c>
      <c r="I347" s="20" t="s">
        <v>71</v>
      </c>
      <c r="J347" s="16" t="s">
        <v>70</v>
      </c>
      <c r="K347" s="24">
        <v>9000</v>
      </c>
      <c r="L347" s="14">
        <v>11</v>
      </c>
      <c r="M347" s="17" t="s">
        <v>73</v>
      </c>
      <c r="N347" s="16" t="s">
        <v>493</v>
      </c>
      <c r="O347" s="16">
        <v>110</v>
      </c>
      <c r="P347" s="18">
        <v>74.5</v>
      </c>
      <c r="Q347" s="20"/>
      <c r="R347" s="20"/>
      <c r="S347" s="19">
        <v>0.8</v>
      </c>
      <c r="T347" s="20">
        <f t="shared" si="31"/>
        <v>12.5</v>
      </c>
      <c r="U347" s="20">
        <v>0.27</v>
      </c>
      <c r="V347" s="20">
        <f t="shared" si="32"/>
        <v>2.97</v>
      </c>
      <c r="W347" s="20"/>
      <c r="X347" s="20"/>
      <c r="Y347" s="20">
        <f t="shared" si="33"/>
        <v>0</v>
      </c>
      <c r="Z347" s="21">
        <f t="shared" si="34"/>
        <v>-74.5</v>
      </c>
      <c r="AA347" s="20"/>
      <c r="AB347" s="20"/>
      <c r="AC347" s="20"/>
      <c r="AD347" s="20">
        <f t="shared" si="35"/>
        <v>0</v>
      </c>
      <c r="AE347" s="20"/>
      <c r="AF347" s="20"/>
      <c r="AG347" s="20"/>
      <c r="AH347" s="20"/>
      <c r="AI347" s="20">
        <f t="shared" si="36"/>
        <v>0</v>
      </c>
      <c r="AJ347" s="20"/>
    </row>
    <row r="348" spans="2:36">
      <c r="B348" s="11" t="s">
        <v>824</v>
      </c>
      <c r="C348" s="12" t="s">
        <v>825</v>
      </c>
      <c r="D348" s="12" t="s">
        <v>38</v>
      </c>
      <c r="E348" s="13" t="s">
        <v>39</v>
      </c>
      <c r="F348" s="14" t="str">
        <f>_xlfn.XLOOKUP(B348,'[1]Synthese suivi modernisation'!A:A,'[1]Synthese suivi modernisation'!S:S)</f>
        <v>TIVAOUANE</v>
      </c>
      <c r="G348" s="14" t="str">
        <f>_xlfn.XLOOKUP(B348,'[1]Synthese suivi modernisation'!A:A,'[1]Synthese suivi modernisation'!T:T)</f>
        <v>THIES</v>
      </c>
      <c r="H348" s="20" t="s">
        <v>142</v>
      </c>
      <c r="I348" s="20" t="s">
        <v>71</v>
      </c>
      <c r="J348" s="23" t="s">
        <v>70</v>
      </c>
      <c r="K348" s="24">
        <v>10000</v>
      </c>
      <c r="L348" s="14">
        <v>10</v>
      </c>
      <c r="M348" s="17" t="s">
        <v>73</v>
      </c>
      <c r="N348" s="16" t="s">
        <v>80</v>
      </c>
      <c r="O348" s="16">
        <v>33</v>
      </c>
      <c r="P348" s="18">
        <v>31.833333333333332</v>
      </c>
      <c r="Q348" s="20"/>
      <c r="R348" s="20"/>
      <c r="S348" s="19">
        <v>0.8</v>
      </c>
      <c r="T348" s="20">
        <f t="shared" si="31"/>
        <v>37.878787878787875</v>
      </c>
      <c r="U348" s="20">
        <v>0.27</v>
      </c>
      <c r="V348" s="20">
        <f t="shared" si="32"/>
        <v>2.7</v>
      </c>
      <c r="W348" s="20"/>
      <c r="X348" s="20"/>
      <c r="Y348" s="20">
        <f t="shared" si="33"/>
        <v>0</v>
      </c>
      <c r="Z348" s="21">
        <f t="shared" si="34"/>
        <v>-31.833333333333332</v>
      </c>
      <c r="AA348" s="20"/>
      <c r="AB348" s="20"/>
      <c r="AC348" s="20"/>
      <c r="AD348" s="20">
        <f t="shared" si="35"/>
        <v>0</v>
      </c>
      <c r="AE348" s="20"/>
      <c r="AF348" s="20"/>
      <c r="AG348" s="20"/>
      <c r="AH348" s="20"/>
      <c r="AI348" s="20">
        <f t="shared" si="36"/>
        <v>0</v>
      </c>
      <c r="AJ348" s="20"/>
    </row>
    <row r="349" spans="2:36">
      <c r="B349" s="11" t="s">
        <v>826</v>
      </c>
      <c r="C349" s="12" t="s">
        <v>827</v>
      </c>
      <c r="D349" s="12" t="s">
        <v>38</v>
      </c>
      <c r="E349" s="13" t="s">
        <v>39</v>
      </c>
      <c r="F349" s="14" t="str">
        <f>_xlfn.XLOOKUP(B349,'[1]Synthese suivi modernisation'!A:A,'[1]Synthese suivi modernisation'!S:S)</f>
        <v>LOUGA</v>
      </c>
      <c r="G349" s="14" t="str">
        <f>_xlfn.XLOOKUP(B349,'[1]Synthese suivi modernisation'!A:A,'[1]Synthese suivi modernisation'!T:T)</f>
        <v>SAINT-LOUIS</v>
      </c>
      <c r="H349" s="20" t="s">
        <v>828</v>
      </c>
      <c r="I349" s="14" t="s">
        <v>41</v>
      </c>
      <c r="J349" s="16" t="s">
        <v>828</v>
      </c>
      <c r="K349" s="24">
        <v>6000</v>
      </c>
      <c r="L349" s="14">
        <v>5.5</v>
      </c>
      <c r="M349" s="17" t="s">
        <v>42</v>
      </c>
      <c r="N349" s="16" t="s">
        <v>67</v>
      </c>
      <c r="O349" s="16">
        <v>50</v>
      </c>
      <c r="P349" s="18">
        <v>249.83333333333334</v>
      </c>
      <c r="Q349" s="20"/>
      <c r="R349" s="20"/>
      <c r="S349" s="19">
        <v>0.8</v>
      </c>
      <c r="T349" s="20">
        <f t="shared" si="31"/>
        <v>13.750000000000002</v>
      </c>
      <c r="U349" s="20">
        <v>0.27</v>
      </c>
      <c r="V349" s="20">
        <f t="shared" si="32"/>
        <v>1.4850000000000001</v>
      </c>
      <c r="W349" s="20"/>
      <c r="X349" s="20"/>
      <c r="Y349" s="20">
        <f t="shared" si="33"/>
        <v>0</v>
      </c>
      <c r="Z349" s="21">
        <f t="shared" si="34"/>
        <v>-249.83333333333334</v>
      </c>
      <c r="AA349" s="20"/>
      <c r="AB349" s="20"/>
      <c r="AC349" s="20"/>
      <c r="AD349" s="20">
        <f t="shared" si="35"/>
        <v>0</v>
      </c>
      <c r="AE349" s="20"/>
      <c r="AF349" s="20"/>
      <c r="AG349" s="20"/>
      <c r="AH349" s="20"/>
      <c r="AI349" s="20">
        <f t="shared" si="36"/>
        <v>0</v>
      </c>
      <c r="AJ349" s="20"/>
    </row>
    <row r="350" spans="2:36">
      <c r="B350" s="11" t="s">
        <v>829</v>
      </c>
      <c r="C350" s="12" t="s">
        <v>830</v>
      </c>
      <c r="D350" s="12" t="s">
        <v>38</v>
      </c>
      <c r="E350" s="13" t="s">
        <v>39</v>
      </c>
      <c r="F350" s="14" t="str">
        <f>_xlfn.XLOOKUP(B350,'[1]Synthese suivi modernisation'!A:A,'[1]Synthese suivi modernisation'!S:S)</f>
        <v>TAMBA</v>
      </c>
      <c r="G350" s="14" t="str">
        <f>_xlfn.XLOOKUP(B350,'[1]Synthese suivi modernisation'!A:A,'[1]Synthese suivi modernisation'!T:T)</f>
        <v>TAMBACOUNDA</v>
      </c>
      <c r="H350" s="20" t="s">
        <v>70</v>
      </c>
      <c r="I350" s="20" t="s">
        <v>71</v>
      </c>
      <c r="J350" s="16" t="s">
        <v>70</v>
      </c>
      <c r="K350" s="24">
        <v>8000</v>
      </c>
      <c r="L350" s="14">
        <v>9</v>
      </c>
      <c r="M350" s="17" t="s">
        <v>73</v>
      </c>
      <c r="N350" s="16" t="s">
        <v>63</v>
      </c>
      <c r="O350" s="16">
        <v>30</v>
      </c>
      <c r="P350" s="18">
        <v>36.833333333333336</v>
      </c>
      <c r="Q350" s="20"/>
      <c r="R350" s="20"/>
      <c r="S350" s="19">
        <v>0.8</v>
      </c>
      <c r="T350" s="20">
        <f t="shared" si="31"/>
        <v>37.5</v>
      </c>
      <c r="U350" s="20">
        <v>0.27</v>
      </c>
      <c r="V350" s="20">
        <f t="shared" si="32"/>
        <v>2.4300000000000002</v>
      </c>
      <c r="W350" s="20"/>
      <c r="X350" s="20"/>
      <c r="Y350" s="20">
        <f t="shared" si="33"/>
        <v>0</v>
      </c>
      <c r="Z350" s="21">
        <f t="shared" si="34"/>
        <v>-36.833333333333336</v>
      </c>
      <c r="AA350" s="20"/>
      <c r="AB350" s="20"/>
      <c r="AC350" s="20"/>
      <c r="AD350" s="20">
        <f t="shared" si="35"/>
        <v>0</v>
      </c>
      <c r="AE350" s="20"/>
      <c r="AF350" s="20"/>
      <c r="AG350" s="20"/>
      <c r="AH350" s="20"/>
      <c r="AI350" s="20">
        <f t="shared" si="36"/>
        <v>0</v>
      </c>
      <c r="AJ350" s="20"/>
    </row>
    <row r="351" spans="2:36">
      <c r="B351" s="11" t="s">
        <v>831</v>
      </c>
      <c r="C351" s="12" t="s">
        <v>832</v>
      </c>
      <c r="D351" s="12" t="s">
        <v>38</v>
      </c>
      <c r="E351" s="13" t="s">
        <v>39</v>
      </c>
      <c r="F351" s="14" t="str">
        <f>_xlfn.XLOOKUP(B351,'[1]Synthese suivi modernisation'!A:A,'[1]Synthese suivi modernisation'!S:S)</f>
        <v>KAFFRINE</v>
      </c>
      <c r="G351" s="14" t="str">
        <f>_xlfn.XLOOKUP(B351,'[1]Synthese suivi modernisation'!A:A,'[1]Synthese suivi modernisation'!T:T)</f>
        <v>KAOLACK</v>
      </c>
      <c r="H351" s="20" t="s">
        <v>40</v>
      </c>
      <c r="I351" s="14" t="s">
        <v>41</v>
      </c>
      <c r="J351" s="16" t="s">
        <v>40</v>
      </c>
      <c r="K351" s="24">
        <v>1750</v>
      </c>
      <c r="L351" s="14">
        <v>2</v>
      </c>
      <c r="M351" s="17" t="s">
        <v>42</v>
      </c>
      <c r="N351" s="16" t="s">
        <v>80</v>
      </c>
      <c r="O351" s="16">
        <v>33</v>
      </c>
      <c r="P351" s="18">
        <v>75.583333333333329</v>
      </c>
      <c r="Q351" s="20"/>
      <c r="R351" s="20"/>
      <c r="S351" s="19">
        <v>0.8</v>
      </c>
      <c r="T351" s="20">
        <f t="shared" si="31"/>
        <v>7.5757575757575744</v>
      </c>
      <c r="U351" s="20">
        <v>0.27</v>
      </c>
      <c r="V351" s="20">
        <f t="shared" si="32"/>
        <v>0.54</v>
      </c>
      <c r="W351" s="20"/>
      <c r="X351" s="20"/>
      <c r="Y351" s="20">
        <f t="shared" si="33"/>
        <v>0</v>
      </c>
      <c r="Z351" s="21">
        <f t="shared" si="34"/>
        <v>-75.583333333333329</v>
      </c>
      <c r="AA351" s="20"/>
      <c r="AB351" s="20"/>
      <c r="AC351" s="20"/>
      <c r="AD351" s="20">
        <f t="shared" si="35"/>
        <v>0</v>
      </c>
      <c r="AE351" s="20"/>
      <c r="AF351" s="20"/>
      <c r="AG351" s="20"/>
      <c r="AH351" s="20"/>
      <c r="AI351" s="20">
        <f t="shared" si="36"/>
        <v>0</v>
      </c>
      <c r="AJ351" s="20"/>
    </row>
    <row r="352" spans="2:36">
      <c r="B352" s="11" t="s">
        <v>833</v>
      </c>
      <c r="C352" s="12" t="s">
        <v>834</v>
      </c>
      <c r="D352" s="12" t="s">
        <v>38</v>
      </c>
      <c r="E352" s="13" t="s">
        <v>39</v>
      </c>
      <c r="F352" s="14" t="str">
        <f>_xlfn.XLOOKUP(B352,'[1]Synthese suivi modernisation'!A:A,'[1]Synthese suivi modernisation'!S:S)</f>
        <v>LOUGA</v>
      </c>
      <c r="G352" s="14" t="str">
        <f>_xlfn.XLOOKUP(B352,'[1]Synthese suivi modernisation'!A:A,'[1]Synthese suivi modernisation'!T:T)</f>
        <v>SAINT-LOUIS</v>
      </c>
      <c r="H352" s="20" t="s">
        <v>40</v>
      </c>
      <c r="I352" s="14" t="s">
        <v>41</v>
      </c>
      <c r="J352" s="16" t="s">
        <v>40</v>
      </c>
      <c r="K352" s="24">
        <v>1500</v>
      </c>
      <c r="L352" s="14">
        <v>3</v>
      </c>
      <c r="M352" s="17" t="s">
        <v>42</v>
      </c>
      <c r="N352" s="16" t="s">
        <v>80</v>
      </c>
      <c r="O352" s="16">
        <v>33</v>
      </c>
      <c r="P352" s="18">
        <v>271.91666666666669</v>
      </c>
      <c r="Q352" s="20"/>
      <c r="R352" s="20"/>
      <c r="S352" s="19">
        <v>0.8</v>
      </c>
      <c r="T352" s="20">
        <f t="shared" si="31"/>
        <v>11.363636363636363</v>
      </c>
      <c r="U352" s="20">
        <v>0.27</v>
      </c>
      <c r="V352" s="20">
        <f t="shared" si="32"/>
        <v>0.81</v>
      </c>
      <c r="W352" s="20"/>
      <c r="X352" s="20"/>
      <c r="Y352" s="20">
        <f t="shared" si="33"/>
        <v>0</v>
      </c>
      <c r="Z352" s="21">
        <f t="shared" si="34"/>
        <v>-271.91666666666669</v>
      </c>
      <c r="AA352" s="20"/>
      <c r="AB352" s="20"/>
      <c r="AC352" s="20"/>
      <c r="AD352" s="20">
        <f t="shared" si="35"/>
        <v>0</v>
      </c>
      <c r="AE352" s="20"/>
      <c r="AF352" s="20"/>
      <c r="AG352" s="20"/>
      <c r="AH352" s="20"/>
      <c r="AI352" s="20">
        <f t="shared" si="36"/>
        <v>0</v>
      </c>
      <c r="AJ352" s="20"/>
    </row>
    <row r="353" spans="2:36">
      <c r="B353" s="11" t="s">
        <v>835</v>
      </c>
      <c r="C353" s="12" t="s">
        <v>836</v>
      </c>
      <c r="D353" s="12" t="s">
        <v>38</v>
      </c>
      <c r="E353" s="13" t="s">
        <v>39</v>
      </c>
      <c r="F353" s="14" t="str">
        <f>_xlfn.XLOOKUP(B353,'[1]Synthese suivi modernisation'!A:A,'[1]Synthese suivi modernisation'!S:S)</f>
        <v>KEDOUGOU</v>
      </c>
      <c r="G353" s="14" t="str">
        <f>_xlfn.XLOOKUP(B353,'[1]Synthese suivi modernisation'!A:A,'[1]Synthese suivi modernisation'!T:T)</f>
        <v>TAMBACOUNDA</v>
      </c>
      <c r="H353" s="20" t="s">
        <v>166</v>
      </c>
      <c r="I353" s="14" t="s">
        <v>41</v>
      </c>
      <c r="J353" s="16" t="s">
        <v>166</v>
      </c>
      <c r="K353" s="24">
        <v>4500</v>
      </c>
      <c r="L353" s="14">
        <v>6</v>
      </c>
      <c r="M353" s="17" t="s">
        <v>42</v>
      </c>
      <c r="N353" s="16" t="s">
        <v>67</v>
      </c>
      <c r="O353" s="16">
        <v>50</v>
      </c>
      <c r="P353" s="18">
        <v>1198.0833333333333</v>
      </c>
      <c r="Q353" s="20"/>
      <c r="R353" s="20"/>
      <c r="S353" s="19">
        <v>0.8</v>
      </c>
      <c r="T353" s="20">
        <f t="shared" si="31"/>
        <v>15</v>
      </c>
      <c r="U353" s="20">
        <v>0.27</v>
      </c>
      <c r="V353" s="20">
        <f t="shared" si="32"/>
        <v>1.62</v>
      </c>
      <c r="W353" s="20"/>
      <c r="X353" s="20"/>
      <c r="Y353" s="20">
        <f t="shared" si="33"/>
        <v>0</v>
      </c>
      <c r="Z353" s="21">
        <f t="shared" si="34"/>
        <v>-1198.0833333333333</v>
      </c>
      <c r="AA353" s="20"/>
      <c r="AB353" s="20"/>
      <c r="AC353" s="20"/>
      <c r="AD353" s="20">
        <f t="shared" si="35"/>
        <v>0</v>
      </c>
      <c r="AE353" s="20"/>
      <c r="AF353" s="20"/>
      <c r="AG353" s="20"/>
      <c r="AH353" s="20"/>
      <c r="AI353" s="20">
        <f t="shared" si="36"/>
        <v>0</v>
      </c>
      <c r="AJ353" s="20"/>
    </row>
    <row r="354" spans="2:36">
      <c r="B354" s="11" t="s">
        <v>837</v>
      </c>
      <c r="C354" s="12" t="s">
        <v>838</v>
      </c>
      <c r="D354" s="12" t="s">
        <v>38</v>
      </c>
      <c r="E354" s="13" t="s">
        <v>39</v>
      </c>
      <c r="F354" s="14" t="str">
        <f>_xlfn.XLOOKUP(B354,'[1]Synthese suivi modernisation'!A:A,'[1]Synthese suivi modernisation'!S:S)</f>
        <v>DIOURBEL</v>
      </c>
      <c r="G354" s="14" t="str">
        <f>_xlfn.XLOOKUP(B354,'[1]Synthese suivi modernisation'!A:A,'[1]Synthese suivi modernisation'!T:T)</f>
        <v>THIES</v>
      </c>
      <c r="H354" s="20" t="s">
        <v>40</v>
      </c>
      <c r="I354" s="14" t="s">
        <v>41</v>
      </c>
      <c r="J354" s="16" t="s">
        <v>40</v>
      </c>
      <c r="K354" s="24">
        <v>1000</v>
      </c>
      <c r="L354" s="14">
        <v>4</v>
      </c>
      <c r="M354" s="17" t="s">
        <v>42</v>
      </c>
      <c r="N354" s="16" t="s">
        <v>80</v>
      </c>
      <c r="O354" s="16">
        <v>33</v>
      </c>
      <c r="P354" s="18">
        <v>328.25</v>
      </c>
      <c r="Q354" s="20"/>
      <c r="R354" s="20"/>
      <c r="S354" s="19">
        <v>0.8</v>
      </c>
      <c r="T354" s="20">
        <f t="shared" si="31"/>
        <v>15.151515151515149</v>
      </c>
      <c r="U354" s="20">
        <v>0.27</v>
      </c>
      <c r="V354" s="20">
        <f t="shared" si="32"/>
        <v>1.08</v>
      </c>
      <c r="W354" s="20"/>
      <c r="X354" s="20"/>
      <c r="Y354" s="20">
        <f t="shared" si="33"/>
        <v>0</v>
      </c>
      <c r="Z354" s="21">
        <f t="shared" si="34"/>
        <v>-328.25</v>
      </c>
      <c r="AA354" s="20"/>
      <c r="AB354" s="20"/>
      <c r="AC354" s="20"/>
      <c r="AD354" s="20">
        <f t="shared" si="35"/>
        <v>0</v>
      </c>
      <c r="AE354" s="20"/>
      <c r="AF354" s="20"/>
      <c r="AG354" s="20"/>
      <c r="AH354" s="20"/>
      <c r="AI354" s="20">
        <f t="shared" si="36"/>
        <v>0</v>
      </c>
      <c r="AJ354" s="20"/>
    </row>
    <row r="355" spans="2:36">
      <c r="B355" s="11" t="s">
        <v>839</v>
      </c>
      <c r="C355" s="12" t="s">
        <v>840</v>
      </c>
      <c r="D355" s="12" t="s">
        <v>38</v>
      </c>
      <c r="E355" s="13" t="s">
        <v>39</v>
      </c>
      <c r="F355" s="14" t="str">
        <f>_xlfn.XLOOKUP(B355,'[1]Synthese suivi modernisation'!A:A,'[1]Synthese suivi modernisation'!S:S)</f>
        <v>LOUGA</v>
      </c>
      <c r="G355" s="14" t="str">
        <f>_xlfn.XLOOKUP(B355,'[1]Synthese suivi modernisation'!A:A,'[1]Synthese suivi modernisation'!T:T)</f>
        <v>SAINT-LOUIS</v>
      </c>
      <c r="H355" s="20" t="s">
        <v>70</v>
      </c>
      <c r="I355" s="20" t="s">
        <v>71</v>
      </c>
      <c r="J355" s="16" t="s">
        <v>70</v>
      </c>
      <c r="K355" s="24">
        <v>11000</v>
      </c>
      <c r="L355" s="14">
        <v>12</v>
      </c>
      <c r="M355" s="17" t="s">
        <v>73</v>
      </c>
      <c r="N355" s="16" t="s">
        <v>60</v>
      </c>
      <c r="O355" s="16">
        <v>33</v>
      </c>
      <c r="P355" s="18">
        <v>70.916666666666671</v>
      </c>
      <c r="Q355" s="20"/>
      <c r="R355" s="20"/>
      <c r="S355" s="19">
        <v>0.8</v>
      </c>
      <c r="T355" s="20">
        <f t="shared" si="31"/>
        <v>45.454545454545453</v>
      </c>
      <c r="U355" s="20">
        <v>0.27</v>
      </c>
      <c r="V355" s="20">
        <f t="shared" si="32"/>
        <v>3.24</v>
      </c>
      <c r="W355" s="20"/>
      <c r="X355" s="20"/>
      <c r="Y355" s="20">
        <f t="shared" si="33"/>
        <v>0</v>
      </c>
      <c r="Z355" s="21">
        <f t="shared" si="34"/>
        <v>-70.916666666666671</v>
      </c>
      <c r="AA355" s="20"/>
      <c r="AB355" s="20"/>
      <c r="AC355" s="20"/>
      <c r="AD355" s="20">
        <f t="shared" si="35"/>
        <v>0</v>
      </c>
      <c r="AE355" s="20"/>
      <c r="AF355" s="20"/>
      <c r="AG355" s="20"/>
      <c r="AH355" s="20"/>
      <c r="AI355" s="20">
        <f t="shared" si="36"/>
        <v>0</v>
      </c>
      <c r="AJ355" s="20"/>
    </row>
    <row r="356" spans="2:36">
      <c r="B356" s="11" t="s">
        <v>841</v>
      </c>
      <c r="C356" s="12" t="s">
        <v>842</v>
      </c>
      <c r="D356" s="12" t="s">
        <v>38</v>
      </c>
      <c r="E356" s="13" t="s">
        <v>39</v>
      </c>
      <c r="F356" s="14" t="str">
        <f>_xlfn.XLOOKUP(B356,'[1]Synthese suivi modernisation'!A:A,'[1]Synthese suivi modernisation'!S:S)</f>
        <v>DIOURBEL</v>
      </c>
      <c r="G356" s="14" t="str">
        <f>_xlfn.XLOOKUP(B356,'[1]Synthese suivi modernisation'!A:A,'[1]Synthese suivi modernisation'!T:T)</f>
        <v>THIES</v>
      </c>
      <c r="H356" s="20" t="s">
        <v>70</v>
      </c>
      <c r="I356" s="20" t="s">
        <v>71</v>
      </c>
      <c r="J356" s="16" t="s">
        <v>72</v>
      </c>
      <c r="K356" s="24">
        <v>8000</v>
      </c>
      <c r="L356" s="14">
        <v>8</v>
      </c>
      <c r="M356" s="17" t="s">
        <v>73</v>
      </c>
      <c r="N356" s="16" t="s">
        <v>74</v>
      </c>
      <c r="O356" s="16">
        <v>30</v>
      </c>
      <c r="P356" s="18">
        <v>0</v>
      </c>
      <c r="Q356" s="20"/>
      <c r="R356" s="20"/>
      <c r="S356" s="19">
        <v>0.8</v>
      </c>
      <c r="T356" s="20">
        <f t="shared" si="31"/>
        <v>33.333333333333329</v>
      </c>
      <c r="U356" s="20">
        <v>0.27</v>
      </c>
      <c r="V356" s="20">
        <f t="shared" si="32"/>
        <v>2.16</v>
      </c>
      <c r="W356" s="20"/>
      <c r="X356" s="20"/>
      <c r="Y356" s="20">
        <f t="shared" si="33"/>
        <v>0</v>
      </c>
      <c r="Z356" s="21">
        <f t="shared" si="34"/>
        <v>0</v>
      </c>
      <c r="AA356" s="20"/>
      <c r="AB356" s="20"/>
      <c r="AC356" s="20"/>
      <c r="AD356" s="20">
        <f t="shared" si="35"/>
        <v>0</v>
      </c>
      <c r="AE356" s="20"/>
      <c r="AF356" s="20"/>
      <c r="AG356" s="20"/>
      <c r="AH356" s="20"/>
      <c r="AI356" s="20">
        <f t="shared" si="36"/>
        <v>0</v>
      </c>
      <c r="AJ356" s="20"/>
    </row>
    <row r="357" spans="2:36">
      <c r="B357" s="11" t="s">
        <v>843</v>
      </c>
      <c r="C357" s="12" t="s">
        <v>844</v>
      </c>
      <c r="D357" s="12" t="s">
        <v>38</v>
      </c>
      <c r="E357" s="13" t="s">
        <v>39</v>
      </c>
      <c r="F357" s="14" t="str">
        <f>_xlfn.XLOOKUP(B357,'[1]Synthese suivi modernisation'!A:A,'[1]Synthese suivi modernisation'!S:S)</f>
        <v>FATICK</v>
      </c>
      <c r="G357" s="14" t="str">
        <f>_xlfn.XLOOKUP(B357,'[1]Synthese suivi modernisation'!A:A,'[1]Synthese suivi modernisation'!T:T)</f>
        <v>KAOLACK</v>
      </c>
      <c r="H357" s="20" t="s">
        <v>355</v>
      </c>
      <c r="I357" s="20" t="s">
        <v>71</v>
      </c>
      <c r="J357" s="16" t="s">
        <v>520</v>
      </c>
      <c r="K357" s="24">
        <v>8000</v>
      </c>
      <c r="L357" s="14">
        <v>10</v>
      </c>
      <c r="M357" s="17" t="s">
        <v>73</v>
      </c>
      <c r="N357" s="16" t="s">
        <v>74</v>
      </c>
      <c r="O357" s="16">
        <v>30</v>
      </c>
      <c r="P357" s="18">
        <v>0</v>
      </c>
      <c r="Q357" s="20"/>
      <c r="R357" s="20"/>
      <c r="S357" s="19">
        <v>0.8</v>
      </c>
      <c r="T357" s="20">
        <f t="shared" si="31"/>
        <v>41.666666666666671</v>
      </c>
      <c r="U357" s="20">
        <v>0.27</v>
      </c>
      <c r="V357" s="20">
        <f t="shared" si="32"/>
        <v>2.7</v>
      </c>
      <c r="W357" s="20"/>
      <c r="X357" s="20"/>
      <c r="Y357" s="20">
        <f t="shared" si="33"/>
        <v>0</v>
      </c>
      <c r="Z357" s="21">
        <f t="shared" si="34"/>
        <v>0</v>
      </c>
      <c r="AA357" s="20"/>
      <c r="AB357" s="20"/>
      <c r="AC357" s="20"/>
      <c r="AD357" s="20">
        <f t="shared" si="35"/>
        <v>0</v>
      </c>
      <c r="AE357" s="20"/>
      <c r="AF357" s="20"/>
      <c r="AG357" s="20"/>
      <c r="AH357" s="20"/>
      <c r="AI357" s="20">
        <f t="shared" si="36"/>
        <v>0</v>
      </c>
      <c r="AJ357" s="20"/>
    </row>
    <row r="358" spans="2:36">
      <c r="B358" s="11" t="s">
        <v>845</v>
      </c>
      <c r="C358" s="12" t="s">
        <v>846</v>
      </c>
      <c r="D358" s="12" t="s">
        <v>38</v>
      </c>
      <c r="E358" s="13" t="s">
        <v>39</v>
      </c>
      <c r="F358" s="14" t="str">
        <f>_xlfn.XLOOKUP(B358,'[1]Synthese suivi modernisation'!A:A,'[1]Synthese suivi modernisation'!S:S)</f>
        <v>KOUNGHEUL</v>
      </c>
      <c r="G358" s="14" t="str">
        <f>_xlfn.XLOOKUP(B358,'[1]Synthese suivi modernisation'!A:A,'[1]Synthese suivi modernisation'!T:T)</f>
        <v>TAMBACOUNDA</v>
      </c>
      <c r="H358" s="20" t="s">
        <v>40</v>
      </c>
      <c r="I358" s="14" t="s">
        <v>41</v>
      </c>
      <c r="J358" s="16" t="s">
        <v>40</v>
      </c>
      <c r="K358" s="24">
        <v>3000</v>
      </c>
      <c r="L358" s="14">
        <v>3</v>
      </c>
      <c r="M358" s="17" t="s">
        <v>42</v>
      </c>
      <c r="N358" s="16" t="s">
        <v>80</v>
      </c>
      <c r="O358" s="16">
        <v>33</v>
      </c>
      <c r="P358" s="18">
        <v>240.41666666666666</v>
      </c>
      <c r="Q358" s="20"/>
      <c r="R358" s="20"/>
      <c r="S358" s="19">
        <v>0.8</v>
      </c>
      <c r="T358" s="20">
        <f t="shared" si="31"/>
        <v>11.363636363636363</v>
      </c>
      <c r="U358" s="20">
        <v>0.27</v>
      </c>
      <c r="V358" s="20">
        <f t="shared" si="32"/>
        <v>0.81</v>
      </c>
      <c r="W358" s="20"/>
      <c r="X358" s="20"/>
      <c r="Y358" s="20">
        <f t="shared" si="33"/>
        <v>0</v>
      </c>
      <c r="Z358" s="21">
        <f t="shared" si="34"/>
        <v>-240.41666666666666</v>
      </c>
      <c r="AA358" s="20"/>
      <c r="AB358" s="20"/>
      <c r="AC358" s="20"/>
      <c r="AD358" s="20">
        <f t="shared" si="35"/>
        <v>0</v>
      </c>
      <c r="AE358" s="20"/>
      <c r="AF358" s="20"/>
      <c r="AG358" s="20"/>
      <c r="AH358" s="20"/>
      <c r="AI358" s="20">
        <f t="shared" si="36"/>
        <v>0</v>
      </c>
      <c r="AJ358" s="20"/>
    </row>
    <row r="359" spans="2:36">
      <c r="B359" s="11" t="s">
        <v>847</v>
      </c>
      <c r="C359" s="12" t="s">
        <v>848</v>
      </c>
      <c r="D359" s="12" t="s">
        <v>38</v>
      </c>
      <c r="E359" s="13" t="s">
        <v>39</v>
      </c>
      <c r="F359" s="14" t="str">
        <f>_xlfn.XLOOKUP(B359,'[1]Synthese suivi modernisation'!A:A,'[1]Synthese suivi modernisation'!S:S)</f>
        <v>DIOURBEL</v>
      </c>
      <c r="G359" s="14" t="str">
        <f>_xlfn.XLOOKUP(B359,'[1]Synthese suivi modernisation'!A:A,'[1]Synthese suivi modernisation'!T:T)</f>
        <v>THIES</v>
      </c>
      <c r="H359" s="20" t="s">
        <v>40</v>
      </c>
      <c r="I359" s="14" t="s">
        <v>41</v>
      </c>
      <c r="J359" s="16" t="s">
        <v>40</v>
      </c>
      <c r="K359" s="24">
        <v>3500</v>
      </c>
      <c r="L359" s="14">
        <v>3.5</v>
      </c>
      <c r="M359" s="17" t="s">
        <v>42</v>
      </c>
      <c r="N359" s="16" t="s">
        <v>60</v>
      </c>
      <c r="O359" s="16">
        <v>33</v>
      </c>
      <c r="P359" s="18">
        <v>206.91666666666666</v>
      </c>
      <c r="Q359" s="20"/>
      <c r="R359" s="20"/>
      <c r="S359" s="19">
        <v>0.8</v>
      </c>
      <c r="T359" s="20">
        <f t="shared" si="31"/>
        <v>13.257575757575758</v>
      </c>
      <c r="U359" s="20">
        <v>0.27</v>
      </c>
      <c r="V359" s="20">
        <f t="shared" si="32"/>
        <v>0.94500000000000006</v>
      </c>
      <c r="W359" s="20"/>
      <c r="X359" s="20"/>
      <c r="Y359" s="20">
        <f t="shared" si="33"/>
        <v>0</v>
      </c>
      <c r="Z359" s="21">
        <f t="shared" si="34"/>
        <v>-206.91666666666666</v>
      </c>
      <c r="AA359" s="20"/>
      <c r="AB359" s="20"/>
      <c r="AC359" s="20"/>
      <c r="AD359" s="20">
        <f t="shared" si="35"/>
        <v>0</v>
      </c>
      <c r="AE359" s="20"/>
      <c r="AF359" s="20"/>
      <c r="AG359" s="20"/>
      <c r="AH359" s="20"/>
      <c r="AI359" s="20">
        <f t="shared" si="36"/>
        <v>0</v>
      </c>
      <c r="AJ359" s="20"/>
    </row>
    <row r="360" spans="2:36">
      <c r="B360" s="11" t="s">
        <v>849</v>
      </c>
      <c r="C360" s="12" t="s">
        <v>850</v>
      </c>
      <c r="D360" s="12" t="s">
        <v>38</v>
      </c>
      <c r="E360" s="13" t="s">
        <v>39</v>
      </c>
      <c r="F360" s="14" t="str">
        <f>_xlfn.XLOOKUP(B360,'[1]Synthese suivi modernisation'!A:A,'[1]Synthese suivi modernisation'!S:S)</f>
        <v>DIOURBEL</v>
      </c>
      <c r="G360" s="14" t="str">
        <f>_xlfn.XLOOKUP(B360,'[1]Synthese suivi modernisation'!A:A,'[1]Synthese suivi modernisation'!T:T)</f>
        <v>THIES</v>
      </c>
      <c r="H360" s="20" t="s">
        <v>355</v>
      </c>
      <c r="I360" s="20" t="s">
        <v>71</v>
      </c>
      <c r="J360" s="16" t="s">
        <v>355</v>
      </c>
      <c r="K360" s="24">
        <v>3000</v>
      </c>
      <c r="L360" s="14">
        <v>4</v>
      </c>
      <c r="M360" s="17" t="s">
        <v>73</v>
      </c>
      <c r="N360" s="16" t="s">
        <v>324</v>
      </c>
      <c r="O360" s="16">
        <v>22</v>
      </c>
      <c r="P360" s="18">
        <v>28.333333333333332</v>
      </c>
      <c r="Q360" s="20"/>
      <c r="R360" s="20"/>
      <c r="S360" s="19">
        <v>0.8</v>
      </c>
      <c r="T360" s="20">
        <f t="shared" si="31"/>
        <v>22.727272727272727</v>
      </c>
      <c r="U360" s="20">
        <v>0.27</v>
      </c>
      <c r="V360" s="20">
        <f t="shared" si="32"/>
        <v>1.08</v>
      </c>
      <c r="W360" s="20"/>
      <c r="X360" s="20"/>
      <c r="Y360" s="20">
        <f t="shared" si="33"/>
        <v>0</v>
      </c>
      <c r="Z360" s="21">
        <f t="shared" si="34"/>
        <v>-28.333333333333332</v>
      </c>
      <c r="AA360" s="20"/>
      <c r="AB360" s="20"/>
      <c r="AC360" s="20"/>
      <c r="AD360" s="20">
        <f t="shared" si="35"/>
        <v>0</v>
      </c>
      <c r="AE360" s="20"/>
      <c r="AF360" s="20"/>
      <c r="AG360" s="20"/>
      <c r="AH360" s="20"/>
      <c r="AI360" s="20">
        <f t="shared" si="36"/>
        <v>0</v>
      </c>
      <c r="AJ360" s="20"/>
    </row>
    <row r="361" spans="2:36">
      <c r="B361" s="11" t="s">
        <v>851</v>
      </c>
      <c r="C361" s="12" t="s">
        <v>852</v>
      </c>
      <c r="D361" s="12" t="s">
        <v>38</v>
      </c>
      <c r="E361" s="13" t="s">
        <v>39</v>
      </c>
      <c r="F361" s="14" t="str">
        <f>_xlfn.XLOOKUP(B361,'[1]Synthese suivi modernisation'!A:A,'[1]Synthese suivi modernisation'!S:S)</f>
        <v>THIES</v>
      </c>
      <c r="G361" s="14" t="str">
        <f>_xlfn.XLOOKUP(B361,'[1]Synthese suivi modernisation'!A:A,'[1]Synthese suivi modernisation'!T:T)</f>
        <v>THIES</v>
      </c>
      <c r="H361" s="20" t="s">
        <v>40</v>
      </c>
      <c r="I361" s="14" t="s">
        <v>41</v>
      </c>
      <c r="J361" s="16" t="s">
        <v>40</v>
      </c>
      <c r="K361" s="24">
        <v>1500</v>
      </c>
      <c r="L361" s="14">
        <v>6.5</v>
      </c>
      <c r="M361" s="17" t="s">
        <v>42</v>
      </c>
      <c r="N361" s="16" t="s">
        <v>794</v>
      </c>
      <c r="O361" s="16">
        <v>15</v>
      </c>
      <c r="P361" s="18">
        <v>1150.6666666666667</v>
      </c>
      <c r="Q361" s="20"/>
      <c r="R361" s="20"/>
      <c r="S361" s="19">
        <v>0.8</v>
      </c>
      <c r="T361" s="20">
        <f t="shared" si="31"/>
        <v>54.166666666666664</v>
      </c>
      <c r="U361" s="20">
        <v>0.27</v>
      </c>
      <c r="V361" s="20">
        <f t="shared" si="32"/>
        <v>1.7550000000000001</v>
      </c>
      <c r="W361" s="20"/>
      <c r="X361" s="20"/>
      <c r="Y361" s="20">
        <f t="shared" si="33"/>
        <v>0</v>
      </c>
      <c r="Z361" s="21">
        <f t="shared" si="34"/>
        <v>-1150.6666666666667</v>
      </c>
      <c r="AA361" s="20"/>
      <c r="AB361" s="20"/>
      <c r="AC361" s="20"/>
      <c r="AD361" s="20">
        <f t="shared" si="35"/>
        <v>0</v>
      </c>
      <c r="AE361" s="20"/>
      <c r="AF361" s="20"/>
      <c r="AG361" s="20"/>
      <c r="AH361" s="20"/>
      <c r="AI361" s="20">
        <f t="shared" si="36"/>
        <v>0</v>
      </c>
      <c r="AJ361" s="20"/>
    </row>
    <row r="362" spans="2:36">
      <c r="B362" s="11" t="s">
        <v>853</v>
      </c>
      <c r="C362" s="12" t="s">
        <v>854</v>
      </c>
      <c r="D362" s="12" t="s">
        <v>38</v>
      </c>
      <c r="E362" s="13" t="s">
        <v>39</v>
      </c>
      <c r="F362" s="14" t="str">
        <f>_xlfn.XLOOKUP(B362,'[1]Synthese suivi modernisation'!A:A,'[1]Synthese suivi modernisation'!S:S)</f>
        <v>DIOURBEL</v>
      </c>
      <c r="G362" s="14" t="str">
        <f>_xlfn.XLOOKUP(B362,'[1]Synthese suivi modernisation'!A:A,'[1]Synthese suivi modernisation'!T:T)</f>
        <v>THIES</v>
      </c>
      <c r="H362" s="20" t="s">
        <v>40</v>
      </c>
      <c r="I362" s="14" t="s">
        <v>41</v>
      </c>
      <c r="J362" s="16" t="s">
        <v>40</v>
      </c>
      <c r="K362" s="24">
        <v>2750</v>
      </c>
      <c r="L362" s="14">
        <v>4.5</v>
      </c>
      <c r="M362" s="17" t="s">
        <v>42</v>
      </c>
      <c r="N362" s="16" t="s">
        <v>67</v>
      </c>
      <c r="O362" s="16">
        <v>50</v>
      </c>
      <c r="P362" s="18">
        <v>669.91666666666663</v>
      </c>
      <c r="Q362" s="20"/>
      <c r="R362" s="20"/>
      <c r="S362" s="19">
        <v>0.8</v>
      </c>
      <c r="T362" s="20">
        <f t="shared" si="31"/>
        <v>11.25</v>
      </c>
      <c r="U362" s="20">
        <v>0.27</v>
      </c>
      <c r="V362" s="20">
        <f t="shared" si="32"/>
        <v>1.2150000000000001</v>
      </c>
      <c r="W362" s="20"/>
      <c r="X362" s="20"/>
      <c r="Y362" s="20">
        <f t="shared" si="33"/>
        <v>0</v>
      </c>
      <c r="Z362" s="21">
        <f t="shared" si="34"/>
        <v>-669.91666666666663</v>
      </c>
      <c r="AA362" s="20"/>
      <c r="AB362" s="20"/>
      <c r="AC362" s="20"/>
      <c r="AD362" s="20">
        <f t="shared" si="35"/>
        <v>0</v>
      </c>
      <c r="AE362" s="20"/>
      <c r="AF362" s="20"/>
      <c r="AG362" s="20"/>
      <c r="AH362" s="20"/>
      <c r="AI362" s="20">
        <f t="shared" si="36"/>
        <v>0</v>
      </c>
      <c r="AJ362" s="20"/>
    </row>
    <row r="363" spans="2:36">
      <c r="B363" s="11" t="s">
        <v>855</v>
      </c>
      <c r="C363" s="12" t="s">
        <v>856</v>
      </c>
      <c r="D363" s="12" t="s">
        <v>38</v>
      </c>
      <c r="E363" s="13" t="s">
        <v>39</v>
      </c>
      <c r="F363" s="14" t="str">
        <f>_xlfn.XLOOKUP(B363,'[1]Synthese suivi modernisation'!A:A,'[1]Synthese suivi modernisation'!S:S)</f>
        <v>NDIOUM</v>
      </c>
      <c r="G363" s="14" t="str">
        <f>_xlfn.XLOOKUP(B363,'[1]Synthese suivi modernisation'!A:A,'[1]Synthese suivi modernisation'!T:T)</f>
        <v>SAINT-LOUIS</v>
      </c>
      <c r="H363" s="20" t="s">
        <v>192</v>
      </c>
      <c r="I363" s="14" t="s">
        <v>41</v>
      </c>
      <c r="J363" s="16" t="s">
        <v>192</v>
      </c>
      <c r="K363" s="24">
        <v>1000</v>
      </c>
      <c r="L363" s="14">
        <v>0.5</v>
      </c>
      <c r="M363" s="17" t="s">
        <v>42</v>
      </c>
      <c r="N363" s="16" t="s">
        <v>111</v>
      </c>
      <c r="O363" s="16">
        <v>22</v>
      </c>
      <c r="P363" s="18">
        <v>0</v>
      </c>
      <c r="Q363" s="20"/>
      <c r="R363" s="20"/>
      <c r="S363" s="19">
        <v>0.8</v>
      </c>
      <c r="T363" s="20">
        <f t="shared" si="31"/>
        <v>2.8409090909090908</v>
      </c>
      <c r="U363" s="20">
        <v>0.27</v>
      </c>
      <c r="V363" s="20">
        <f t="shared" si="32"/>
        <v>0.13500000000000001</v>
      </c>
      <c r="W363" s="20"/>
      <c r="X363" s="20"/>
      <c r="Y363" s="20">
        <f t="shared" si="33"/>
        <v>0</v>
      </c>
      <c r="Z363" s="21">
        <f t="shared" si="34"/>
        <v>0</v>
      </c>
      <c r="AA363" s="20"/>
      <c r="AB363" s="20"/>
      <c r="AC363" s="20"/>
      <c r="AD363" s="20">
        <f t="shared" si="35"/>
        <v>0</v>
      </c>
      <c r="AE363" s="20"/>
      <c r="AF363" s="20"/>
      <c r="AG363" s="20"/>
      <c r="AH363" s="20"/>
      <c r="AI363" s="20">
        <f t="shared" si="36"/>
        <v>0</v>
      </c>
      <c r="AJ363" s="20"/>
    </row>
    <row r="364" spans="2:36">
      <c r="B364" s="11" t="s">
        <v>857</v>
      </c>
      <c r="C364" s="12" t="s">
        <v>858</v>
      </c>
      <c r="D364" s="12" t="s">
        <v>38</v>
      </c>
      <c r="E364" s="13" t="s">
        <v>39</v>
      </c>
      <c r="F364" s="14" t="str">
        <f>_xlfn.XLOOKUP(B364,'[1]Synthese suivi modernisation'!A:A,'[1]Synthese suivi modernisation'!S:S)</f>
        <v>KAFFRINE</v>
      </c>
      <c r="G364" s="14" t="str">
        <f>_xlfn.XLOOKUP(B364,'[1]Synthese suivi modernisation'!A:A,'[1]Synthese suivi modernisation'!T:T)</f>
        <v>KAOLACK</v>
      </c>
      <c r="H364" s="20" t="s">
        <v>40</v>
      </c>
      <c r="I364" s="14" t="s">
        <v>41</v>
      </c>
      <c r="J364" s="16" t="s">
        <v>40</v>
      </c>
      <c r="K364" s="24">
        <v>4000</v>
      </c>
      <c r="L364" s="14">
        <v>4.5</v>
      </c>
      <c r="M364" s="17" t="s">
        <v>42</v>
      </c>
      <c r="N364" s="16" t="s">
        <v>67</v>
      </c>
      <c r="O364" s="16">
        <v>50</v>
      </c>
      <c r="P364" s="18">
        <v>724.83333333333337</v>
      </c>
      <c r="Q364" s="20"/>
      <c r="R364" s="20"/>
      <c r="S364" s="19">
        <v>0.8</v>
      </c>
      <c r="T364" s="20">
        <f t="shared" si="31"/>
        <v>11.25</v>
      </c>
      <c r="U364" s="20">
        <v>0.27</v>
      </c>
      <c r="V364" s="20">
        <f t="shared" si="32"/>
        <v>1.2150000000000001</v>
      </c>
      <c r="W364" s="20"/>
      <c r="X364" s="20"/>
      <c r="Y364" s="20">
        <f t="shared" si="33"/>
        <v>0</v>
      </c>
      <c r="Z364" s="21">
        <f t="shared" si="34"/>
        <v>-724.83333333333337</v>
      </c>
      <c r="AA364" s="20"/>
      <c r="AB364" s="20"/>
      <c r="AC364" s="20"/>
      <c r="AD364" s="20">
        <f t="shared" si="35"/>
        <v>0</v>
      </c>
      <c r="AE364" s="20"/>
      <c r="AF364" s="20"/>
      <c r="AG364" s="20"/>
      <c r="AH364" s="20"/>
      <c r="AI364" s="20">
        <f t="shared" si="36"/>
        <v>0</v>
      </c>
      <c r="AJ364" s="20"/>
    </row>
    <row r="365" spans="2:36">
      <c r="B365" s="11" t="s">
        <v>859</v>
      </c>
      <c r="C365" s="12" t="s">
        <v>860</v>
      </c>
      <c r="D365" s="12" t="s">
        <v>38</v>
      </c>
      <c r="E365" s="13" t="s">
        <v>39</v>
      </c>
      <c r="F365" s="14" t="str">
        <f>_xlfn.XLOOKUP(B365,'[1]Synthese suivi modernisation'!A:A,'[1]Synthese suivi modernisation'!S:S)</f>
        <v>FATICK</v>
      </c>
      <c r="G365" s="14" t="str">
        <f>_xlfn.XLOOKUP(B365,'[1]Synthese suivi modernisation'!A:A,'[1]Synthese suivi modernisation'!T:T)</f>
        <v>KAOLACK</v>
      </c>
      <c r="H365" s="20" t="s">
        <v>66</v>
      </c>
      <c r="I365" s="14" t="s">
        <v>41</v>
      </c>
      <c r="J365" s="16" t="s">
        <v>66</v>
      </c>
      <c r="K365" s="24">
        <v>5000</v>
      </c>
      <c r="L365" s="14">
        <v>5.5</v>
      </c>
      <c r="M365" s="17" t="s">
        <v>42</v>
      </c>
      <c r="N365" s="16" t="s">
        <v>67</v>
      </c>
      <c r="O365" s="16">
        <v>50</v>
      </c>
      <c r="P365" s="18">
        <v>541.83333333333337</v>
      </c>
      <c r="Q365" s="20"/>
      <c r="R365" s="20"/>
      <c r="S365" s="19">
        <v>0.8</v>
      </c>
      <c r="T365" s="20">
        <f t="shared" si="31"/>
        <v>13.750000000000002</v>
      </c>
      <c r="U365" s="20">
        <v>0.27</v>
      </c>
      <c r="V365" s="20">
        <f t="shared" si="32"/>
        <v>1.4850000000000001</v>
      </c>
      <c r="W365" s="20"/>
      <c r="X365" s="20"/>
      <c r="Y365" s="20">
        <f t="shared" si="33"/>
        <v>0</v>
      </c>
      <c r="Z365" s="21">
        <f t="shared" si="34"/>
        <v>-541.83333333333337</v>
      </c>
      <c r="AA365" s="20"/>
      <c r="AB365" s="20"/>
      <c r="AC365" s="20"/>
      <c r="AD365" s="20">
        <f t="shared" si="35"/>
        <v>0</v>
      </c>
      <c r="AE365" s="20"/>
      <c r="AF365" s="20"/>
      <c r="AG365" s="20"/>
      <c r="AH365" s="20"/>
      <c r="AI365" s="20">
        <f t="shared" si="36"/>
        <v>0</v>
      </c>
      <c r="AJ365" s="20"/>
    </row>
    <row r="366" spans="2:36">
      <c r="B366" s="11" t="s">
        <v>861</v>
      </c>
      <c r="C366" s="12" t="s">
        <v>862</v>
      </c>
      <c r="D366" s="12" t="s">
        <v>38</v>
      </c>
      <c r="E366" s="13" t="s">
        <v>39</v>
      </c>
      <c r="F366" s="14" t="str">
        <f>_xlfn.XLOOKUP(B366,'[1]Synthese suivi modernisation'!A:A,'[1]Synthese suivi modernisation'!S:S)</f>
        <v>SAINT-LOUIS</v>
      </c>
      <c r="G366" s="14" t="str">
        <f>_xlfn.XLOOKUP(B366,'[1]Synthese suivi modernisation'!A:A,'[1]Synthese suivi modernisation'!T:T)</f>
        <v>SAINT-LOUIS</v>
      </c>
      <c r="H366" s="20" t="s">
        <v>66</v>
      </c>
      <c r="I366" s="14" t="s">
        <v>41</v>
      </c>
      <c r="J366" s="16" t="s">
        <v>66</v>
      </c>
      <c r="K366" s="24">
        <v>3500</v>
      </c>
      <c r="L366" s="14">
        <v>4</v>
      </c>
      <c r="M366" s="17" t="s">
        <v>42</v>
      </c>
      <c r="N366" s="16" t="s">
        <v>67</v>
      </c>
      <c r="O366" s="16">
        <v>50</v>
      </c>
      <c r="P366" s="18">
        <v>225.58333333333334</v>
      </c>
      <c r="Q366" s="20"/>
      <c r="R366" s="20"/>
      <c r="S366" s="19">
        <v>0.8</v>
      </c>
      <c r="T366" s="20">
        <f t="shared" si="31"/>
        <v>10</v>
      </c>
      <c r="U366" s="20">
        <v>0.27</v>
      </c>
      <c r="V366" s="20">
        <f t="shared" si="32"/>
        <v>1.08</v>
      </c>
      <c r="W366" s="20"/>
      <c r="X366" s="20"/>
      <c r="Y366" s="20">
        <f t="shared" si="33"/>
        <v>0</v>
      </c>
      <c r="Z366" s="21">
        <f t="shared" si="34"/>
        <v>-225.58333333333334</v>
      </c>
      <c r="AA366" s="20"/>
      <c r="AB366" s="20"/>
      <c r="AC366" s="20"/>
      <c r="AD366" s="20">
        <f t="shared" si="35"/>
        <v>0</v>
      </c>
      <c r="AE366" s="20"/>
      <c r="AF366" s="20"/>
      <c r="AG366" s="20"/>
      <c r="AH366" s="20"/>
      <c r="AI366" s="20">
        <f t="shared" si="36"/>
        <v>0</v>
      </c>
      <c r="AJ366" s="20"/>
    </row>
    <row r="367" spans="2:36">
      <c r="B367" s="11" t="s">
        <v>863</v>
      </c>
      <c r="C367" s="12" t="s">
        <v>864</v>
      </c>
      <c r="D367" s="12" t="s">
        <v>38</v>
      </c>
      <c r="E367" s="13" t="s">
        <v>39</v>
      </c>
      <c r="F367" s="14" t="str">
        <f>_xlfn.XLOOKUP(B367,'[1]Synthese suivi modernisation'!A:A,'[1]Synthese suivi modernisation'!S:S)</f>
        <v>SOKONE</v>
      </c>
      <c r="G367" s="14" t="str">
        <f>_xlfn.XLOOKUP(B367,'[1]Synthese suivi modernisation'!A:A,'[1]Synthese suivi modernisation'!T:T)</f>
        <v>KAOLACK</v>
      </c>
      <c r="H367" s="20" t="s">
        <v>54</v>
      </c>
      <c r="I367" s="14" t="s">
        <v>41</v>
      </c>
      <c r="J367" s="23" t="s">
        <v>40</v>
      </c>
      <c r="K367" s="24">
        <v>2000</v>
      </c>
      <c r="L367" s="14">
        <v>3</v>
      </c>
      <c r="M367" s="17" t="s">
        <v>42</v>
      </c>
      <c r="N367" s="16" t="s">
        <v>55</v>
      </c>
      <c r="O367" s="16">
        <v>33</v>
      </c>
      <c r="P367" s="18">
        <v>322.16666666666669</v>
      </c>
      <c r="Q367" s="20"/>
      <c r="R367" s="20"/>
      <c r="S367" s="19">
        <v>0.8</v>
      </c>
      <c r="T367" s="20">
        <f t="shared" si="31"/>
        <v>11.363636363636363</v>
      </c>
      <c r="U367" s="20">
        <v>0.27</v>
      </c>
      <c r="V367" s="20">
        <f t="shared" si="32"/>
        <v>0.81</v>
      </c>
      <c r="W367" s="20"/>
      <c r="X367" s="20"/>
      <c r="Y367" s="20">
        <f t="shared" si="33"/>
        <v>0</v>
      </c>
      <c r="Z367" s="21">
        <f t="shared" si="34"/>
        <v>-322.16666666666669</v>
      </c>
      <c r="AA367" s="20"/>
      <c r="AB367" s="20"/>
      <c r="AC367" s="20"/>
      <c r="AD367" s="20">
        <f t="shared" si="35"/>
        <v>0</v>
      </c>
      <c r="AE367" s="20"/>
      <c r="AF367" s="20"/>
      <c r="AG367" s="20"/>
      <c r="AH367" s="20"/>
      <c r="AI367" s="20">
        <f t="shared" si="36"/>
        <v>0</v>
      </c>
      <c r="AJ367" s="20"/>
    </row>
    <row r="368" spans="2:36">
      <c r="B368" s="11" t="s">
        <v>865</v>
      </c>
      <c r="C368" s="12" t="s">
        <v>866</v>
      </c>
      <c r="D368" s="12" t="s">
        <v>38</v>
      </c>
      <c r="E368" s="13" t="s">
        <v>39</v>
      </c>
      <c r="F368" s="14" t="str">
        <f>_xlfn.XLOOKUP(B368,'[1]Synthese suivi modernisation'!A:A,'[1]Synthese suivi modernisation'!S:S)</f>
        <v>LOUGA</v>
      </c>
      <c r="G368" s="14" t="str">
        <f>_xlfn.XLOOKUP(B368,'[1]Synthese suivi modernisation'!A:A,'[1]Synthese suivi modernisation'!T:T)</f>
        <v>SAINT-LOUIS</v>
      </c>
      <c r="H368" s="20" t="s">
        <v>40</v>
      </c>
      <c r="I368" s="14" t="s">
        <v>41</v>
      </c>
      <c r="J368" s="16" t="s">
        <v>40</v>
      </c>
      <c r="K368" s="24">
        <v>1500</v>
      </c>
      <c r="L368" s="14">
        <v>3</v>
      </c>
      <c r="M368" s="17" t="s">
        <v>42</v>
      </c>
      <c r="N368" s="16" t="s">
        <v>80</v>
      </c>
      <c r="O368" s="16">
        <v>33</v>
      </c>
      <c r="P368" s="18">
        <v>271.91666666666669</v>
      </c>
      <c r="Q368" s="20"/>
      <c r="R368" s="20"/>
      <c r="S368" s="19">
        <v>0.8</v>
      </c>
      <c r="T368" s="20">
        <f t="shared" si="31"/>
        <v>11.363636363636363</v>
      </c>
      <c r="U368" s="20">
        <v>0.27</v>
      </c>
      <c r="V368" s="20">
        <f t="shared" si="32"/>
        <v>0.81</v>
      </c>
      <c r="W368" s="20"/>
      <c r="X368" s="20"/>
      <c r="Y368" s="20">
        <f t="shared" si="33"/>
        <v>0</v>
      </c>
      <c r="Z368" s="21">
        <f t="shared" si="34"/>
        <v>-271.91666666666669</v>
      </c>
      <c r="AA368" s="20"/>
      <c r="AB368" s="20"/>
      <c r="AC368" s="20"/>
      <c r="AD368" s="20">
        <f t="shared" si="35"/>
        <v>0</v>
      </c>
      <c r="AE368" s="20"/>
      <c r="AF368" s="20"/>
      <c r="AG368" s="20"/>
      <c r="AH368" s="20"/>
      <c r="AI368" s="20">
        <f t="shared" si="36"/>
        <v>0</v>
      </c>
      <c r="AJ368" s="20"/>
    </row>
    <row r="369" spans="2:36">
      <c r="B369" s="11" t="s">
        <v>867</v>
      </c>
      <c r="C369" s="12" t="s">
        <v>868</v>
      </c>
      <c r="D369" s="12" t="s">
        <v>38</v>
      </c>
      <c r="E369" s="13" t="s">
        <v>39</v>
      </c>
      <c r="F369" s="14" t="str">
        <f>_xlfn.XLOOKUP(B369,'[1]Synthese suivi modernisation'!A:A,'[1]Synthese suivi modernisation'!S:S)</f>
        <v>MBOUR</v>
      </c>
      <c r="G369" s="14" t="str">
        <f>_xlfn.XLOOKUP(B369,'[1]Synthese suivi modernisation'!A:A,'[1]Synthese suivi modernisation'!T:T)</f>
        <v>THIES</v>
      </c>
      <c r="H369" s="20" t="s">
        <v>70</v>
      </c>
      <c r="I369" s="20" t="s">
        <v>71</v>
      </c>
      <c r="J369" s="16" t="s">
        <v>70</v>
      </c>
      <c r="K369" s="24">
        <v>10000</v>
      </c>
      <c r="L369" s="14">
        <v>15</v>
      </c>
      <c r="M369" s="17" t="s">
        <v>73</v>
      </c>
      <c r="N369" s="16" t="s">
        <v>63</v>
      </c>
      <c r="O369" s="16">
        <v>30</v>
      </c>
      <c r="P369" s="18">
        <v>53.75</v>
      </c>
      <c r="Q369" s="20"/>
      <c r="R369" s="20"/>
      <c r="S369" s="19">
        <v>0.8</v>
      </c>
      <c r="T369" s="20">
        <f t="shared" si="31"/>
        <v>62.5</v>
      </c>
      <c r="U369" s="20">
        <v>0.27</v>
      </c>
      <c r="V369" s="20">
        <f t="shared" si="32"/>
        <v>4.0500000000000007</v>
      </c>
      <c r="W369" s="20"/>
      <c r="X369" s="20"/>
      <c r="Y369" s="20">
        <f t="shared" si="33"/>
        <v>0</v>
      </c>
      <c r="Z369" s="21">
        <f t="shared" si="34"/>
        <v>-53.75</v>
      </c>
      <c r="AA369" s="20"/>
      <c r="AB369" s="20"/>
      <c r="AC369" s="20"/>
      <c r="AD369" s="20">
        <f t="shared" si="35"/>
        <v>0</v>
      </c>
      <c r="AE369" s="20"/>
      <c r="AF369" s="20"/>
      <c r="AG369" s="20"/>
      <c r="AH369" s="20"/>
      <c r="AI369" s="20">
        <f t="shared" si="36"/>
        <v>0</v>
      </c>
      <c r="AJ369" s="20"/>
    </row>
    <row r="370" spans="2:36">
      <c r="B370" s="11" t="s">
        <v>869</v>
      </c>
      <c r="C370" s="12" t="s">
        <v>870</v>
      </c>
      <c r="D370" s="12" t="s">
        <v>38</v>
      </c>
      <c r="E370" s="13" t="s">
        <v>39</v>
      </c>
      <c r="F370" s="14" t="str">
        <f>_xlfn.XLOOKUP(B370,'[1]Synthese suivi modernisation'!A:A,'[1]Synthese suivi modernisation'!S:S)</f>
        <v>KAFFRINE</v>
      </c>
      <c r="G370" s="14" t="str">
        <f>_xlfn.XLOOKUP(B370,'[1]Synthese suivi modernisation'!A:A,'[1]Synthese suivi modernisation'!T:T)</f>
        <v>KAOLACK</v>
      </c>
      <c r="H370" s="20" t="s">
        <v>40</v>
      </c>
      <c r="I370" s="14" t="s">
        <v>41</v>
      </c>
      <c r="J370" s="16" t="s">
        <v>40</v>
      </c>
      <c r="K370" s="24">
        <v>1750</v>
      </c>
      <c r="L370" s="14">
        <v>3</v>
      </c>
      <c r="M370" s="17" t="s">
        <v>42</v>
      </c>
      <c r="N370" s="16" t="s">
        <v>80</v>
      </c>
      <c r="O370" s="16">
        <v>33</v>
      </c>
      <c r="P370" s="18">
        <v>240.41666666666666</v>
      </c>
      <c r="Q370" s="20"/>
      <c r="R370" s="20"/>
      <c r="S370" s="19">
        <v>0.8</v>
      </c>
      <c r="T370" s="20">
        <f t="shared" si="31"/>
        <v>11.363636363636363</v>
      </c>
      <c r="U370" s="20">
        <v>0.27</v>
      </c>
      <c r="V370" s="20">
        <f t="shared" si="32"/>
        <v>0.81</v>
      </c>
      <c r="W370" s="20"/>
      <c r="X370" s="20"/>
      <c r="Y370" s="20">
        <f t="shared" si="33"/>
        <v>0</v>
      </c>
      <c r="Z370" s="21">
        <f t="shared" si="34"/>
        <v>-240.41666666666666</v>
      </c>
      <c r="AA370" s="20"/>
      <c r="AB370" s="20"/>
      <c r="AC370" s="20"/>
      <c r="AD370" s="20">
        <f t="shared" si="35"/>
        <v>0</v>
      </c>
      <c r="AE370" s="20"/>
      <c r="AF370" s="20"/>
      <c r="AG370" s="20"/>
      <c r="AH370" s="20"/>
      <c r="AI370" s="20">
        <f t="shared" si="36"/>
        <v>0</v>
      </c>
      <c r="AJ370" s="20"/>
    </row>
    <row r="371" spans="2:36">
      <c r="B371" s="11" t="s">
        <v>871</v>
      </c>
      <c r="C371" s="12" t="s">
        <v>872</v>
      </c>
      <c r="D371" s="12" t="s">
        <v>38</v>
      </c>
      <c r="E371" s="13" t="s">
        <v>39</v>
      </c>
      <c r="F371" s="14" t="str">
        <f>_xlfn.XLOOKUP(B371,'[1]Synthese suivi modernisation'!A:A,'[1]Synthese suivi modernisation'!S:S)</f>
        <v>THIES</v>
      </c>
      <c r="G371" s="14" t="str">
        <f>_xlfn.XLOOKUP(B371,'[1]Synthese suivi modernisation'!A:A,'[1]Synthese suivi modernisation'!T:T)</f>
        <v>THIES</v>
      </c>
      <c r="H371" s="20" t="s">
        <v>142</v>
      </c>
      <c r="I371" s="20" t="s">
        <v>143</v>
      </c>
      <c r="J371" s="16" t="s">
        <v>142</v>
      </c>
      <c r="K371" s="24">
        <v>9000</v>
      </c>
      <c r="L371" s="14">
        <v>8</v>
      </c>
      <c r="M371" s="17" t="s">
        <v>73</v>
      </c>
      <c r="N371" s="16" t="s">
        <v>48</v>
      </c>
      <c r="O371" s="16">
        <v>22</v>
      </c>
      <c r="P371" s="18">
        <v>31.333333333333332</v>
      </c>
      <c r="Q371" s="20"/>
      <c r="R371" s="20"/>
      <c r="S371" s="19">
        <v>0.8</v>
      </c>
      <c r="T371" s="20">
        <f t="shared" si="31"/>
        <v>45.454545454545453</v>
      </c>
      <c r="U371" s="20">
        <v>0.27</v>
      </c>
      <c r="V371" s="20">
        <f t="shared" si="32"/>
        <v>2.16</v>
      </c>
      <c r="W371" s="20"/>
      <c r="X371" s="20"/>
      <c r="Y371" s="20">
        <f t="shared" si="33"/>
        <v>0</v>
      </c>
      <c r="Z371" s="21">
        <f t="shared" si="34"/>
        <v>-31.333333333333332</v>
      </c>
      <c r="AA371" s="20"/>
      <c r="AB371" s="20"/>
      <c r="AC371" s="20"/>
      <c r="AD371" s="20">
        <f t="shared" si="35"/>
        <v>0</v>
      </c>
      <c r="AE371" s="20"/>
      <c r="AF371" s="20"/>
      <c r="AG371" s="20"/>
      <c r="AH371" s="20"/>
      <c r="AI371" s="20">
        <f t="shared" si="36"/>
        <v>0</v>
      </c>
      <c r="AJ371" s="20"/>
    </row>
    <row r="372" spans="2:36">
      <c r="B372" s="11" t="s">
        <v>873</v>
      </c>
      <c r="C372" s="12" t="s">
        <v>874</v>
      </c>
      <c r="D372" s="12" t="s">
        <v>38</v>
      </c>
      <c r="E372" s="13" t="s">
        <v>39</v>
      </c>
      <c r="F372" s="14" t="str">
        <f>_xlfn.XLOOKUP(B372,'[1]Synthese suivi modernisation'!A:A,'[1]Synthese suivi modernisation'!S:S)</f>
        <v>MBOUR</v>
      </c>
      <c r="G372" s="14" t="str">
        <f>_xlfn.XLOOKUP(B372,'[1]Synthese suivi modernisation'!A:A,'[1]Synthese suivi modernisation'!T:T)</f>
        <v>DAKAR</v>
      </c>
      <c r="H372" s="20" t="s">
        <v>242</v>
      </c>
      <c r="I372" s="20" t="s">
        <v>143</v>
      </c>
      <c r="J372" s="16" t="s">
        <v>242</v>
      </c>
      <c r="K372" s="24">
        <v>3000</v>
      </c>
      <c r="L372" s="14">
        <v>4</v>
      </c>
      <c r="M372" s="17" t="s">
        <v>73</v>
      </c>
      <c r="N372" s="16" t="s">
        <v>529</v>
      </c>
      <c r="O372" s="16">
        <v>80</v>
      </c>
      <c r="P372" s="18">
        <v>71.166666666666671</v>
      </c>
      <c r="Q372" s="20"/>
      <c r="R372" s="20"/>
      <c r="S372" s="19">
        <v>0.8</v>
      </c>
      <c r="T372" s="20">
        <f t="shared" si="31"/>
        <v>6.25</v>
      </c>
      <c r="U372" s="20">
        <v>0.27</v>
      </c>
      <c r="V372" s="20">
        <f t="shared" si="32"/>
        <v>1.08</v>
      </c>
      <c r="W372" s="20"/>
      <c r="X372" s="20"/>
      <c r="Y372" s="20">
        <f t="shared" si="33"/>
        <v>0</v>
      </c>
      <c r="Z372" s="21">
        <f t="shared" si="34"/>
        <v>-71.166666666666671</v>
      </c>
      <c r="AA372" s="20"/>
      <c r="AB372" s="20"/>
      <c r="AC372" s="20"/>
      <c r="AD372" s="20">
        <f t="shared" si="35"/>
        <v>0</v>
      </c>
      <c r="AE372" s="20"/>
      <c r="AF372" s="20"/>
      <c r="AG372" s="20"/>
      <c r="AH372" s="20"/>
      <c r="AI372" s="20">
        <f t="shared" si="36"/>
        <v>0</v>
      </c>
      <c r="AJ372" s="20"/>
    </row>
    <row r="373" spans="2:36">
      <c r="B373" s="11" t="s">
        <v>875</v>
      </c>
      <c r="C373" s="12" t="s">
        <v>876</v>
      </c>
      <c r="D373" s="12" t="s">
        <v>38</v>
      </c>
      <c r="E373" s="13" t="s">
        <v>39</v>
      </c>
      <c r="F373" s="14" t="str">
        <f>_xlfn.XLOOKUP(B373,'[1]Synthese suivi modernisation'!A:A,'[1]Synthese suivi modernisation'!S:S)</f>
        <v>MATAM</v>
      </c>
      <c r="G373" s="14" t="str">
        <f>_xlfn.XLOOKUP(B373,'[1]Synthese suivi modernisation'!A:A,'[1]Synthese suivi modernisation'!T:T)</f>
        <v>SAINT-LOUIS</v>
      </c>
      <c r="H373" s="20" t="s">
        <v>355</v>
      </c>
      <c r="I373" s="20" t="s">
        <v>71</v>
      </c>
      <c r="J373" s="16" t="s">
        <v>520</v>
      </c>
      <c r="K373" s="24">
        <v>7000</v>
      </c>
      <c r="L373" s="14">
        <v>6</v>
      </c>
      <c r="M373" s="17" t="s">
        <v>73</v>
      </c>
      <c r="N373" s="16" t="s">
        <v>877</v>
      </c>
      <c r="O373" s="16">
        <v>22</v>
      </c>
      <c r="P373" s="18">
        <v>0</v>
      </c>
      <c r="Q373" s="20"/>
      <c r="R373" s="20"/>
      <c r="S373" s="19">
        <v>0.8</v>
      </c>
      <c r="T373" s="20">
        <f t="shared" si="31"/>
        <v>34.090909090909086</v>
      </c>
      <c r="U373" s="20">
        <v>0.27</v>
      </c>
      <c r="V373" s="20">
        <f t="shared" si="32"/>
        <v>1.62</v>
      </c>
      <c r="W373" s="20"/>
      <c r="X373" s="20"/>
      <c r="Y373" s="20">
        <f t="shared" si="33"/>
        <v>0</v>
      </c>
      <c r="Z373" s="21">
        <f t="shared" si="34"/>
        <v>0</v>
      </c>
      <c r="AA373" s="20"/>
      <c r="AB373" s="20"/>
      <c r="AC373" s="20"/>
      <c r="AD373" s="20">
        <f t="shared" si="35"/>
        <v>0</v>
      </c>
      <c r="AE373" s="20"/>
      <c r="AF373" s="20"/>
      <c r="AG373" s="20"/>
      <c r="AH373" s="20"/>
      <c r="AI373" s="20">
        <f t="shared" si="36"/>
        <v>0</v>
      </c>
      <c r="AJ373" s="20"/>
    </row>
    <row r="374" spans="2:36">
      <c r="B374" s="11" t="s">
        <v>878</v>
      </c>
      <c r="C374" s="12" t="s">
        <v>879</v>
      </c>
      <c r="D374" s="12" t="s">
        <v>38</v>
      </c>
      <c r="E374" s="13" t="s">
        <v>39</v>
      </c>
      <c r="F374" s="14" t="str">
        <f>_xlfn.XLOOKUP(B374,'[1]Synthese suivi modernisation'!A:A,'[1]Synthese suivi modernisation'!S:S)</f>
        <v>MATAM</v>
      </c>
      <c r="G374" s="14" t="str">
        <f>_xlfn.XLOOKUP(B374,'[1]Synthese suivi modernisation'!A:A,'[1]Synthese suivi modernisation'!T:T)</f>
        <v>SAINT-LOUIS</v>
      </c>
      <c r="H374" s="20" t="s">
        <v>535</v>
      </c>
      <c r="I374" s="20" t="s">
        <v>71</v>
      </c>
      <c r="J374" s="16" t="s">
        <v>535</v>
      </c>
      <c r="K374" s="24">
        <v>20000</v>
      </c>
      <c r="L374" s="14">
        <v>5</v>
      </c>
      <c r="M374" s="17" t="s">
        <v>73</v>
      </c>
      <c r="N374" s="16" t="s">
        <v>493</v>
      </c>
      <c r="O374" s="16">
        <v>110</v>
      </c>
      <c r="P374" s="18">
        <v>109.91666666666667</v>
      </c>
      <c r="Q374" s="20"/>
      <c r="R374" s="20"/>
      <c r="S374" s="19">
        <v>0.8</v>
      </c>
      <c r="T374" s="20">
        <f t="shared" si="31"/>
        <v>5.6818181818181817</v>
      </c>
      <c r="U374" s="20">
        <v>0.27</v>
      </c>
      <c r="V374" s="20">
        <f t="shared" si="32"/>
        <v>1.35</v>
      </c>
      <c r="W374" s="20"/>
      <c r="X374" s="20"/>
      <c r="Y374" s="20">
        <f t="shared" si="33"/>
        <v>0</v>
      </c>
      <c r="Z374" s="21">
        <f t="shared" si="34"/>
        <v>-109.91666666666667</v>
      </c>
      <c r="AA374" s="20"/>
      <c r="AB374" s="20"/>
      <c r="AC374" s="20"/>
      <c r="AD374" s="20">
        <f t="shared" si="35"/>
        <v>0</v>
      </c>
      <c r="AE374" s="20"/>
      <c r="AF374" s="20"/>
      <c r="AG374" s="20"/>
      <c r="AH374" s="20"/>
      <c r="AI374" s="20">
        <f t="shared" si="36"/>
        <v>0</v>
      </c>
      <c r="AJ374" s="20"/>
    </row>
    <row r="375" spans="2:36">
      <c r="B375" s="11" t="s">
        <v>880</v>
      </c>
      <c r="C375" s="12" t="s">
        <v>881</v>
      </c>
      <c r="D375" s="12" t="s">
        <v>38</v>
      </c>
      <c r="E375" s="13" t="s">
        <v>39</v>
      </c>
      <c r="F375" s="14" t="str">
        <f>_xlfn.XLOOKUP(B375,'[1]Synthese suivi modernisation'!A:A,'[1]Synthese suivi modernisation'!S:S)</f>
        <v>MATAM</v>
      </c>
      <c r="G375" s="14" t="str">
        <f>_xlfn.XLOOKUP(B375,'[1]Synthese suivi modernisation'!A:A,'[1]Synthese suivi modernisation'!T:T)</f>
        <v>SAINT-LOUIS</v>
      </c>
      <c r="H375" s="20" t="s">
        <v>70</v>
      </c>
      <c r="I375" s="20" t="s">
        <v>71</v>
      </c>
      <c r="J375" s="16" t="s">
        <v>70</v>
      </c>
      <c r="K375" s="24">
        <v>11000</v>
      </c>
      <c r="L375" s="14">
        <v>25</v>
      </c>
      <c r="M375" s="17" t="s">
        <v>73</v>
      </c>
      <c r="N375" s="16" t="s">
        <v>493</v>
      </c>
      <c r="O375" s="16">
        <v>110</v>
      </c>
      <c r="P375" s="18">
        <v>142.75</v>
      </c>
      <c r="Q375" s="20"/>
      <c r="R375" s="20"/>
      <c r="S375" s="19">
        <v>0.8</v>
      </c>
      <c r="T375" s="20">
        <f t="shared" si="31"/>
        <v>28.40909090909091</v>
      </c>
      <c r="U375" s="20">
        <v>0.27</v>
      </c>
      <c r="V375" s="20">
        <f t="shared" si="32"/>
        <v>6.75</v>
      </c>
      <c r="W375" s="20"/>
      <c r="X375" s="20"/>
      <c r="Y375" s="20">
        <f t="shared" si="33"/>
        <v>0</v>
      </c>
      <c r="Z375" s="21">
        <f t="shared" si="34"/>
        <v>-142.75</v>
      </c>
      <c r="AA375" s="20"/>
      <c r="AB375" s="20"/>
      <c r="AC375" s="20"/>
      <c r="AD375" s="20">
        <f t="shared" si="35"/>
        <v>0</v>
      </c>
      <c r="AE375" s="20"/>
      <c r="AF375" s="20"/>
      <c r="AG375" s="20"/>
      <c r="AH375" s="20"/>
      <c r="AI375" s="20">
        <f t="shared" si="36"/>
        <v>0</v>
      </c>
      <c r="AJ375" s="20"/>
    </row>
    <row r="376" spans="2:36">
      <c r="B376" s="11" t="s">
        <v>882</v>
      </c>
      <c r="C376" s="12" t="s">
        <v>883</v>
      </c>
      <c r="D376" s="12" t="s">
        <v>38</v>
      </c>
      <c r="E376" s="13" t="s">
        <v>39</v>
      </c>
      <c r="F376" s="14" t="str">
        <f>_xlfn.XLOOKUP(B376,'[1]Synthese suivi modernisation'!A:A,'[1]Synthese suivi modernisation'!S:S)</f>
        <v>DIOURBEL</v>
      </c>
      <c r="G376" s="14" t="str">
        <f>_xlfn.XLOOKUP(B376,'[1]Synthese suivi modernisation'!A:A,'[1]Synthese suivi modernisation'!T:T)</f>
        <v>THIES</v>
      </c>
      <c r="H376" s="20" t="s">
        <v>54</v>
      </c>
      <c r="I376" s="14" t="s">
        <v>41</v>
      </c>
      <c r="J376" s="23" t="s">
        <v>40</v>
      </c>
      <c r="K376" s="24">
        <v>1750</v>
      </c>
      <c r="L376" s="14">
        <v>3</v>
      </c>
      <c r="M376" s="17" t="s">
        <v>42</v>
      </c>
      <c r="N376" s="16" t="s">
        <v>55</v>
      </c>
      <c r="O376" s="16">
        <v>33</v>
      </c>
      <c r="P376" s="18">
        <v>290.66666666666669</v>
      </c>
      <c r="Q376" s="20"/>
      <c r="R376" s="20"/>
      <c r="S376" s="19">
        <v>0.8</v>
      </c>
      <c r="T376" s="20">
        <f t="shared" si="31"/>
        <v>11.363636363636363</v>
      </c>
      <c r="U376" s="20">
        <v>0.27</v>
      </c>
      <c r="V376" s="20">
        <f t="shared" si="32"/>
        <v>0.81</v>
      </c>
      <c r="W376" s="20"/>
      <c r="X376" s="20"/>
      <c r="Y376" s="20">
        <f t="shared" si="33"/>
        <v>0</v>
      </c>
      <c r="Z376" s="21">
        <f t="shared" si="34"/>
        <v>-290.66666666666669</v>
      </c>
      <c r="AA376" s="20"/>
      <c r="AB376" s="20"/>
      <c r="AC376" s="20"/>
      <c r="AD376" s="20">
        <f t="shared" si="35"/>
        <v>0</v>
      </c>
      <c r="AE376" s="20"/>
      <c r="AF376" s="20"/>
      <c r="AG376" s="20"/>
      <c r="AH376" s="20"/>
      <c r="AI376" s="20">
        <f t="shared" si="36"/>
        <v>0</v>
      </c>
      <c r="AJ376" s="20"/>
    </row>
    <row r="377" spans="2:36">
      <c r="B377" s="11" t="s">
        <v>884</v>
      </c>
      <c r="C377" s="12" t="s">
        <v>885</v>
      </c>
      <c r="D377" s="12" t="s">
        <v>38</v>
      </c>
      <c r="E377" s="13" t="s">
        <v>39</v>
      </c>
      <c r="F377" s="14" t="str">
        <f>_xlfn.XLOOKUP(B377,'[1]Synthese suivi modernisation'!A:A,'[1]Synthese suivi modernisation'!S:S)</f>
        <v>NDIOUM</v>
      </c>
      <c r="G377" s="14" t="str">
        <f>_xlfn.XLOOKUP(B377,'[1]Synthese suivi modernisation'!A:A,'[1]Synthese suivi modernisation'!T:T)</f>
        <v>SAINT-LOUIS</v>
      </c>
      <c r="H377" s="20" t="s">
        <v>40</v>
      </c>
      <c r="I377" s="14" t="s">
        <v>41</v>
      </c>
      <c r="J377" s="16" t="s">
        <v>40</v>
      </c>
      <c r="K377" s="24">
        <v>4000</v>
      </c>
      <c r="L377" s="14">
        <v>4</v>
      </c>
      <c r="M377" s="17" t="s">
        <v>42</v>
      </c>
      <c r="N377" s="16" t="s">
        <v>67</v>
      </c>
      <c r="O377" s="16">
        <v>50</v>
      </c>
      <c r="P377" s="18">
        <v>305.16666666666669</v>
      </c>
      <c r="Q377" s="20"/>
      <c r="R377" s="20"/>
      <c r="S377" s="19">
        <v>0.8</v>
      </c>
      <c r="T377" s="20">
        <f t="shared" si="31"/>
        <v>10</v>
      </c>
      <c r="U377" s="20">
        <v>0.27</v>
      </c>
      <c r="V377" s="20">
        <f t="shared" si="32"/>
        <v>1.08</v>
      </c>
      <c r="W377" s="20"/>
      <c r="X377" s="20"/>
      <c r="Y377" s="20">
        <f t="shared" si="33"/>
        <v>0</v>
      </c>
      <c r="Z377" s="21">
        <f t="shared" si="34"/>
        <v>-305.16666666666669</v>
      </c>
      <c r="AA377" s="20"/>
      <c r="AB377" s="20"/>
      <c r="AC377" s="20"/>
      <c r="AD377" s="20">
        <f t="shared" si="35"/>
        <v>0</v>
      </c>
      <c r="AE377" s="20"/>
      <c r="AF377" s="20"/>
      <c r="AG377" s="20"/>
      <c r="AH377" s="20"/>
      <c r="AI377" s="20">
        <f t="shared" si="36"/>
        <v>0</v>
      </c>
      <c r="AJ377" s="20"/>
    </row>
    <row r="378" spans="2:36">
      <c r="B378" s="11" t="s">
        <v>886</v>
      </c>
      <c r="C378" s="12" t="s">
        <v>887</v>
      </c>
      <c r="D378" s="12" t="s">
        <v>38</v>
      </c>
      <c r="E378" s="13" t="s">
        <v>39</v>
      </c>
      <c r="F378" s="14" t="str">
        <f>_xlfn.XLOOKUP(B378,'[1]Synthese suivi modernisation'!A:A,'[1]Synthese suivi modernisation'!S:S)</f>
        <v>SAINT-LOUIS</v>
      </c>
      <c r="G378" s="14" t="str">
        <f>_xlfn.XLOOKUP(B378,'[1]Synthese suivi modernisation'!A:A,'[1]Synthese suivi modernisation'!T:T)</f>
        <v>SAINT-LOUIS</v>
      </c>
      <c r="H378" s="20" t="s">
        <v>40</v>
      </c>
      <c r="I378" s="14" t="s">
        <v>41</v>
      </c>
      <c r="J378" s="16" t="s">
        <v>40</v>
      </c>
      <c r="K378" s="24">
        <v>2750</v>
      </c>
      <c r="L378" s="14">
        <v>4</v>
      </c>
      <c r="M378" s="17" t="s">
        <v>42</v>
      </c>
      <c r="N378" s="16" t="s">
        <v>80</v>
      </c>
      <c r="O378" s="16">
        <v>33</v>
      </c>
      <c r="P378" s="18">
        <v>305.16666666666669</v>
      </c>
      <c r="Q378" s="20"/>
      <c r="R378" s="20"/>
      <c r="S378" s="19">
        <v>0.8</v>
      </c>
      <c r="T378" s="20">
        <f t="shared" si="31"/>
        <v>15.151515151515149</v>
      </c>
      <c r="U378" s="20">
        <v>0.27</v>
      </c>
      <c r="V378" s="20">
        <f t="shared" si="32"/>
        <v>1.08</v>
      </c>
      <c r="W378" s="20"/>
      <c r="X378" s="20"/>
      <c r="Y378" s="20">
        <f t="shared" si="33"/>
        <v>0</v>
      </c>
      <c r="Z378" s="21">
        <f t="shared" si="34"/>
        <v>-305.16666666666669</v>
      </c>
      <c r="AA378" s="20"/>
      <c r="AB378" s="20"/>
      <c r="AC378" s="20"/>
      <c r="AD378" s="20">
        <f t="shared" si="35"/>
        <v>0</v>
      </c>
      <c r="AE378" s="20"/>
      <c r="AF378" s="20"/>
      <c r="AG378" s="20"/>
      <c r="AH378" s="20"/>
      <c r="AI378" s="20">
        <f t="shared" si="36"/>
        <v>0</v>
      </c>
      <c r="AJ378" s="20"/>
    </row>
    <row r="379" spans="2:36">
      <c r="B379" s="11" t="s">
        <v>888</v>
      </c>
      <c r="C379" s="12" t="s">
        <v>889</v>
      </c>
      <c r="D379" s="12" t="s">
        <v>38</v>
      </c>
      <c r="E379" s="13" t="s">
        <v>39</v>
      </c>
      <c r="F379" s="14" t="str">
        <f>_xlfn.XLOOKUP(B379,'[1]Synthese suivi modernisation'!A:A,'[1]Synthese suivi modernisation'!S:S)</f>
        <v>MBOUR</v>
      </c>
      <c r="G379" s="14" t="str">
        <f>_xlfn.XLOOKUP(B379,'[1]Synthese suivi modernisation'!A:A,'[1]Synthese suivi modernisation'!T:T)</f>
        <v>THIES</v>
      </c>
      <c r="H379" s="20" t="s">
        <v>180</v>
      </c>
      <c r="I379" s="20" t="s">
        <v>71</v>
      </c>
      <c r="J379" s="16" t="s">
        <v>180</v>
      </c>
      <c r="K379" s="24">
        <v>7000</v>
      </c>
      <c r="L379" s="14">
        <v>8</v>
      </c>
      <c r="M379" s="17" t="s">
        <v>73</v>
      </c>
      <c r="N379" s="16" t="s">
        <v>63</v>
      </c>
      <c r="O379" s="16">
        <v>30</v>
      </c>
      <c r="P379" s="18">
        <v>28.75</v>
      </c>
      <c r="Q379" s="20"/>
      <c r="R379" s="20"/>
      <c r="S379" s="19">
        <v>0.8</v>
      </c>
      <c r="T379" s="20">
        <f t="shared" si="31"/>
        <v>33.333333333333329</v>
      </c>
      <c r="U379" s="20">
        <v>0.27</v>
      </c>
      <c r="V379" s="20">
        <f t="shared" si="32"/>
        <v>2.16</v>
      </c>
      <c r="W379" s="20"/>
      <c r="X379" s="20"/>
      <c r="Y379" s="20">
        <f t="shared" si="33"/>
        <v>0</v>
      </c>
      <c r="Z379" s="21">
        <f t="shared" si="34"/>
        <v>-28.75</v>
      </c>
      <c r="AA379" s="20"/>
      <c r="AB379" s="20"/>
      <c r="AC379" s="20"/>
      <c r="AD379" s="20">
        <f t="shared" si="35"/>
        <v>0</v>
      </c>
      <c r="AE379" s="20"/>
      <c r="AF379" s="20"/>
      <c r="AG379" s="20"/>
      <c r="AH379" s="20"/>
      <c r="AI379" s="20">
        <f t="shared" si="36"/>
        <v>0</v>
      </c>
      <c r="AJ379" s="20"/>
    </row>
    <row r="380" spans="2:36">
      <c r="B380" s="11" t="s">
        <v>890</v>
      </c>
      <c r="C380" s="12" t="s">
        <v>891</v>
      </c>
      <c r="D380" s="12" t="s">
        <v>38</v>
      </c>
      <c r="E380" s="13" t="s">
        <v>39</v>
      </c>
      <c r="F380" s="14" t="str">
        <f>_xlfn.XLOOKUP(B380,'[1]Synthese suivi modernisation'!A:A,'[1]Synthese suivi modernisation'!S:S)</f>
        <v>SOKONE</v>
      </c>
      <c r="G380" s="14" t="str">
        <f>_xlfn.XLOOKUP(B380,'[1]Synthese suivi modernisation'!A:A,'[1]Synthese suivi modernisation'!T:T)</f>
        <v>KAOLACK</v>
      </c>
      <c r="H380" s="20" t="s">
        <v>70</v>
      </c>
      <c r="I380" s="20" t="s">
        <v>71</v>
      </c>
      <c r="J380" s="16" t="s">
        <v>70</v>
      </c>
      <c r="K380" s="24">
        <v>5000</v>
      </c>
      <c r="L380" s="14">
        <v>6</v>
      </c>
      <c r="M380" s="17" t="s">
        <v>73</v>
      </c>
      <c r="N380" s="16" t="s">
        <v>493</v>
      </c>
      <c r="O380" s="16">
        <v>110</v>
      </c>
      <c r="P380" s="18">
        <v>32.75</v>
      </c>
      <c r="Q380" s="20"/>
      <c r="R380" s="20"/>
      <c r="S380" s="19">
        <v>0.8</v>
      </c>
      <c r="T380" s="20">
        <f t="shared" si="31"/>
        <v>6.8181818181818175</v>
      </c>
      <c r="U380" s="20">
        <v>0.27</v>
      </c>
      <c r="V380" s="20">
        <f t="shared" si="32"/>
        <v>1.62</v>
      </c>
      <c r="W380" s="20"/>
      <c r="X380" s="20"/>
      <c r="Y380" s="20">
        <f t="shared" si="33"/>
        <v>0</v>
      </c>
      <c r="Z380" s="21">
        <f t="shared" si="34"/>
        <v>-32.75</v>
      </c>
      <c r="AA380" s="20"/>
      <c r="AB380" s="20"/>
      <c r="AC380" s="20"/>
      <c r="AD380" s="20">
        <f t="shared" si="35"/>
        <v>0</v>
      </c>
      <c r="AE380" s="20"/>
      <c r="AF380" s="20"/>
      <c r="AG380" s="20"/>
      <c r="AH380" s="20"/>
      <c r="AI380" s="20">
        <f t="shared" si="36"/>
        <v>0</v>
      </c>
      <c r="AJ380" s="20"/>
    </row>
    <row r="381" spans="2:36">
      <c r="B381" s="11" t="s">
        <v>892</v>
      </c>
      <c r="C381" s="12" t="s">
        <v>893</v>
      </c>
      <c r="D381" s="12" t="s">
        <v>38</v>
      </c>
      <c r="E381" s="13" t="s">
        <v>39</v>
      </c>
      <c r="F381" s="14" t="str">
        <f>_xlfn.XLOOKUP(B381,'[1]Synthese suivi modernisation'!A:A,'[1]Synthese suivi modernisation'!S:S)</f>
        <v>MBOUR</v>
      </c>
      <c r="G381" s="14" t="str">
        <f>_xlfn.XLOOKUP(B381,'[1]Synthese suivi modernisation'!A:A,'[1]Synthese suivi modernisation'!T:T)</f>
        <v>DAKAR</v>
      </c>
      <c r="H381" s="20" t="s">
        <v>292</v>
      </c>
      <c r="I381" s="20" t="s">
        <v>71</v>
      </c>
      <c r="J381" s="16" t="s">
        <v>292</v>
      </c>
      <c r="K381" s="24">
        <v>3000</v>
      </c>
      <c r="L381" s="14">
        <v>5</v>
      </c>
      <c r="M381" s="17" t="s">
        <v>73</v>
      </c>
      <c r="N381" s="16" t="s">
        <v>894</v>
      </c>
      <c r="O381" s="16">
        <v>400</v>
      </c>
      <c r="P381" s="18">
        <v>47.5</v>
      </c>
      <c r="Q381" s="20"/>
      <c r="R381" s="20"/>
      <c r="S381" s="19">
        <v>0.8</v>
      </c>
      <c r="T381" s="20">
        <f t="shared" si="31"/>
        <v>1.5625</v>
      </c>
      <c r="U381" s="20">
        <v>0.27</v>
      </c>
      <c r="V381" s="20">
        <f t="shared" si="32"/>
        <v>1.35</v>
      </c>
      <c r="W381" s="20"/>
      <c r="X381" s="20"/>
      <c r="Y381" s="20">
        <f t="shared" si="33"/>
        <v>0</v>
      </c>
      <c r="Z381" s="21">
        <f t="shared" si="34"/>
        <v>-47.5</v>
      </c>
      <c r="AA381" s="20"/>
      <c r="AB381" s="20"/>
      <c r="AC381" s="20"/>
      <c r="AD381" s="20">
        <f t="shared" si="35"/>
        <v>0</v>
      </c>
      <c r="AE381" s="20"/>
      <c r="AF381" s="20"/>
      <c r="AG381" s="20"/>
      <c r="AH381" s="20"/>
      <c r="AI381" s="20">
        <f t="shared" si="36"/>
        <v>0</v>
      </c>
      <c r="AJ381" s="20"/>
    </row>
    <row r="382" spans="2:36">
      <c r="B382" s="11" t="s">
        <v>895</v>
      </c>
      <c r="C382" s="12" t="s">
        <v>896</v>
      </c>
      <c r="D382" s="12" t="s">
        <v>38</v>
      </c>
      <c r="E382" s="13" t="s">
        <v>39</v>
      </c>
      <c r="F382" s="14" t="str">
        <f>_xlfn.XLOOKUP(B382,'[1]Synthese suivi modernisation'!A:A,'[1]Synthese suivi modernisation'!S:S)</f>
        <v>RUFISQUE</v>
      </c>
      <c r="G382" s="14" t="str">
        <f>_xlfn.XLOOKUP(B382,'[1]Synthese suivi modernisation'!A:A,'[1]Synthese suivi modernisation'!T:T)</f>
        <v>DAKAR</v>
      </c>
      <c r="H382" s="20" t="s">
        <v>47</v>
      </c>
      <c r="I382" s="14" t="s">
        <v>41</v>
      </c>
      <c r="J382" s="16" t="s">
        <v>47</v>
      </c>
      <c r="K382" s="24">
        <v>2500</v>
      </c>
      <c r="L382" s="14">
        <v>2.5</v>
      </c>
      <c r="M382" s="17" t="s">
        <v>42</v>
      </c>
      <c r="N382" s="16" t="s">
        <v>48</v>
      </c>
      <c r="O382" s="16">
        <v>22</v>
      </c>
      <c r="P382" s="18">
        <v>330.5</v>
      </c>
      <c r="Q382" s="20"/>
      <c r="R382" s="20"/>
      <c r="S382" s="19">
        <v>0.8</v>
      </c>
      <c r="T382" s="20">
        <f t="shared" si="31"/>
        <v>14.204545454545453</v>
      </c>
      <c r="U382" s="20">
        <v>0.27</v>
      </c>
      <c r="V382" s="20">
        <f t="shared" si="32"/>
        <v>0.67500000000000004</v>
      </c>
      <c r="W382" s="20"/>
      <c r="X382" s="20"/>
      <c r="Y382" s="20">
        <f t="shared" si="33"/>
        <v>0</v>
      </c>
      <c r="Z382" s="21">
        <f t="shared" si="34"/>
        <v>-330.5</v>
      </c>
      <c r="AA382" s="20"/>
      <c r="AB382" s="20"/>
      <c r="AC382" s="20"/>
      <c r="AD382" s="20">
        <f t="shared" si="35"/>
        <v>0</v>
      </c>
      <c r="AE382" s="20"/>
      <c r="AF382" s="20"/>
      <c r="AG382" s="20"/>
      <c r="AH382" s="20"/>
      <c r="AI382" s="20">
        <f t="shared" si="36"/>
        <v>0</v>
      </c>
      <c r="AJ382" s="20"/>
    </row>
    <row r="383" spans="2:36">
      <c r="B383" s="11" t="s">
        <v>897</v>
      </c>
      <c r="C383" s="12" t="s">
        <v>898</v>
      </c>
      <c r="D383" s="12" t="s">
        <v>38</v>
      </c>
      <c r="E383" s="13" t="s">
        <v>39</v>
      </c>
      <c r="F383" s="14" t="str">
        <f>_xlfn.XLOOKUP(B383,'[1]Synthese suivi modernisation'!A:A,'[1]Synthese suivi modernisation'!S:S)</f>
        <v>SAINT-LOUIS</v>
      </c>
      <c r="G383" s="14" t="str">
        <f>_xlfn.XLOOKUP(B383,'[1]Synthese suivi modernisation'!A:A,'[1]Synthese suivi modernisation'!T:T)</f>
        <v>SAINT-LOUIS</v>
      </c>
      <c r="H383" s="20" t="s">
        <v>142</v>
      </c>
      <c r="I383" s="20" t="s">
        <v>143</v>
      </c>
      <c r="J383" s="16" t="s">
        <v>142</v>
      </c>
      <c r="K383" s="24">
        <v>8000</v>
      </c>
      <c r="L383" s="14">
        <v>10</v>
      </c>
      <c r="M383" s="17" t="s">
        <v>73</v>
      </c>
      <c r="N383" s="16" t="s">
        <v>63</v>
      </c>
      <c r="O383" s="16">
        <v>30</v>
      </c>
      <c r="P383" s="18">
        <v>76.083333333333329</v>
      </c>
      <c r="Q383" s="20"/>
      <c r="R383" s="20"/>
      <c r="S383" s="19">
        <v>0.8</v>
      </c>
      <c r="T383" s="20">
        <f t="shared" si="31"/>
        <v>41.666666666666671</v>
      </c>
      <c r="U383" s="20">
        <v>0.27</v>
      </c>
      <c r="V383" s="20">
        <f t="shared" si="32"/>
        <v>2.7</v>
      </c>
      <c r="W383" s="20"/>
      <c r="X383" s="20"/>
      <c r="Y383" s="20">
        <f t="shared" si="33"/>
        <v>0</v>
      </c>
      <c r="Z383" s="21">
        <f t="shared" si="34"/>
        <v>-76.083333333333329</v>
      </c>
      <c r="AA383" s="20"/>
      <c r="AB383" s="20"/>
      <c r="AC383" s="20"/>
      <c r="AD383" s="20">
        <f t="shared" si="35"/>
        <v>0</v>
      </c>
      <c r="AE383" s="20"/>
      <c r="AF383" s="20"/>
      <c r="AG383" s="20"/>
      <c r="AH383" s="20"/>
      <c r="AI383" s="20">
        <f t="shared" si="36"/>
        <v>0</v>
      </c>
      <c r="AJ383" s="20"/>
    </row>
    <row r="384" spans="2:36">
      <c r="B384" s="11" t="s">
        <v>899</v>
      </c>
      <c r="C384" s="12" t="s">
        <v>900</v>
      </c>
      <c r="D384" s="12" t="s">
        <v>38</v>
      </c>
      <c r="E384" s="13" t="s">
        <v>39</v>
      </c>
      <c r="F384" s="14" t="str">
        <f>_xlfn.XLOOKUP(B384,'[1]Synthese suivi modernisation'!A:A,'[1]Synthese suivi modernisation'!S:S)</f>
        <v>MEDINA</v>
      </c>
      <c r="G384" s="14" t="str">
        <f>_xlfn.XLOOKUP(B384,'[1]Synthese suivi modernisation'!A:A,'[1]Synthese suivi modernisation'!T:T)</f>
        <v>DAKAR</v>
      </c>
      <c r="H384" s="20" t="s">
        <v>355</v>
      </c>
      <c r="I384" s="20" t="s">
        <v>71</v>
      </c>
      <c r="J384" s="16" t="s">
        <v>355</v>
      </c>
      <c r="K384" s="24">
        <v>6000</v>
      </c>
      <c r="L384" s="14">
        <v>8</v>
      </c>
      <c r="M384" s="17" t="s">
        <v>73</v>
      </c>
      <c r="N384" s="16" t="s">
        <v>901</v>
      </c>
      <c r="O384" s="16">
        <v>400</v>
      </c>
      <c r="P384" s="18">
        <v>27.083333333333332</v>
      </c>
      <c r="Q384" s="20"/>
      <c r="R384" s="20"/>
      <c r="S384" s="19">
        <v>0.8</v>
      </c>
      <c r="T384" s="20">
        <f t="shared" si="31"/>
        <v>2.5</v>
      </c>
      <c r="U384" s="20">
        <v>0.27</v>
      </c>
      <c r="V384" s="20">
        <f t="shared" si="32"/>
        <v>2.16</v>
      </c>
      <c r="W384" s="20"/>
      <c r="X384" s="20"/>
      <c r="Y384" s="20">
        <f t="shared" si="33"/>
        <v>0</v>
      </c>
      <c r="Z384" s="21">
        <f t="shared" si="34"/>
        <v>-27.083333333333332</v>
      </c>
      <c r="AA384" s="20"/>
      <c r="AB384" s="20"/>
      <c r="AC384" s="20"/>
      <c r="AD384" s="20">
        <f t="shared" si="35"/>
        <v>0</v>
      </c>
      <c r="AE384" s="20"/>
      <c r="AF384" s="20"/>
      <c r="AG384" s="20"/>
      <c r="AH384" s="20"/>
      <c r="AI384" s="20">
        <f t="shared" si="36"/>
        <v>0</v>
      </c>
      <c r="AJ384" s="20"/>
    </row>
    <row r="385" spans="2:36">
      <c r="B385" s="11" t="s">
        <v>902</v>
      </c>
      <c r="C385" s="12" t="s">
        <v>903</v>
      </c>
      <c r="D385" s="12" t="s">
        <v>38</v>
      </c>
      <c r="E385" s="13" t="s">
        <v>39</v>
      </c>
      <c r="F385" s="14" t="str">
        <f>_xlfn.XLOOKUP(B385,'[1]Synthese suivi modernisation'!A:A,'[1]Synthese suivi modernisation'!S:S)</f>
        <v>SAINT-LOUIS</v>
      </c>
      <c r="G385" s="14" t="str">
        <f>_xlfn.XLOOKUP(B385,'[1]Synthese suivi modernisation'!A:A,'[1]Synthese suivi modernisation'!T:T)</f>
        <v>SAINT-LOUIS</v>
      </c>
      <c r="H385" s="20" t="s">
        <v>70</v>
      </c>
      <c r="I385" s="20" t="s">
        <v>71</v>
      </c>
      <c r="J385" s="16" t="s">
        <v>70</v>
      </c>
      <c r="K385" s="24">
        <v>17000</v>
      </c>
      <c r="L385" s="14">
        <v>16</v>
      </c>
      <c r="M385" s="17" t="s">
        <v>73</v>
      </c>
      <c r="N385" s="16" t="s">
        <v>410</v>
      </c>
      <c r="O385" s="16">
        <v>88</v>
      </c>
      <c r="P385" s="18">
        <v>132.41666666666666</v>
      </c>
      <c r="Q385" s="20"/>
      <c r="R385" s="20"/>
      <c r="S385" s="19">
        <v>0.8</v>
      </c>
      <c r="T385" s="20">
        <f t="shared" si="31"/>
        <v>22.727272727272727</v>
      </c>
      <c r="U385" s="20">
        <v>0.27</v>
      </c>
      <c r="V385" s="20">
        <f t="shared" si="32"/>
        <v>4.32</v>
      </c>
      <c r="W385" s="20"/>
      <c r="X385" s="20"/>
      <c r="Y385" s="20">
        <f t="shared" si="33"/>
        <v>0</v>
      </c>
      <c r="Z385" s="21">
        <f t="shared" si="34"/>
        <v>-132.41666666666666</v>
      </c>
      <c r="AA385" s="20"/>
      <c r="AB385" s="20"/>
      <c r="AC385" s="20"/>
      <c r="AD385" s="20">
        <f t="shared" si="35"/>
        <v>0</v>
      </c>
      <c r="AE385" s="20"/>
      <c r="AF385" s="20"/>
      <c r="AG385" s="20"/>
      <c r="AH385" s="20"/>
      <c r="AI385" s="20">
        <f t="shared" si="36"/>
        <v>0</v>
      </c>
      <c r="AJ385" s="20"/>
    </row>
    <row r="386" spans="2:36">
      <c r="B386" s="11" t="s">
        <v>904</v>
      </c>
      <c r="C386" s="12" t="s">
        <v>905</v>
      </c>
      <c r="D386" s="12" t="s">
        <v>38</v>
      </c>
      <c r="E386" s="13" t="s">
        <v>39</v>
      </c>
      <c r="F386" s="14" t="str">
        <f>_xlfn.XLOOKUP(B386,'[1]Synthese suivi modernisation'!A:A,'[1]Synthese suivi modernisation'!S:S)</f>
        <v>RUFISQUE</v>
      </c>
      <c r="G386" s="14" t="str">
        <f>_xlfn.XLOOKUP(B386,'[1]Synthese suivi modernisation'!A:A,'[1]Synthese suivi modernisation'!T:T)</f>
        <v>DAKAR</v>
      </c>
      <c r="H386" s="20" t="s">
        <v>535</v>
      </c>
      <c r="I386" s="20" t="s">
        <v>71</v>
      </c>
      <c r="J386" s="16" t="s">
        <v>535</v>
      </c>
      <c r="K386" s="24">
        <v>6000</v>
      </c>
      <c r="L386" s="14">
        <v>10</v>
      </c>
      <c r="M386" s="17" t="s">
        <v>73</v>
      </c>
      <c r="N386" s="16" t="s">
        <v>529</v>
      </c>
      <c r="O386" s="16">
        <v>80</v>
      </c>
      <c r="P386" s="18">
        <v>65.583333333333329</v>
      </c>
      <c r="Q386" s="20"/>
      <c r="R386" s="20"/>
      <c r="S386" s="19">
        <v>0.8</v>
      </c>
      <c r="T386" s="20">
        <f t="shared" si="31"/>
        <v>15.625</v>
      </c>
      <c r="U386" s="20">
        <v>0.27</v>
      </c>
      <c r="V386" s="20">
        <f t="shared" si="32"/>
        <v>2.7</v>
      </c>
      <c r="W386" s="20"/>
      <c r="X386" s="20"/>
      <c r="Y386" s="20">
        <f t="shared" si="33"/>
        <v>0</v>
      </c>
      <c r="Z386" s="21">
        <f t="shared" si="34"/>
        <v>-65.583333333333329</v>
      </c>
      <c r="AA386" s="20"/>
      <c r="AB386" s="20"/>
      <c r="AC386" s="20"/>
      <c r="AD386" s="20">
        <f t="shared" si="35"/>
        <v>0</v>
      </c>
      <c r="AE386" s="20"/>
      <c r="AF386" s="20"/>
      <c r="AG386" s="20"/>
      <c r="AH386" s="20"/>
      <c r="AI386" s="20">
        <f t="shared" si="36"/>
        <v>0</v>
      </c>
      <c r="AJ386" s="20"/>
    </row>
    <row r="387" spans="2:36">
      <c r="B387" s="11" t="s">
        <v>906</v>
      </c>
      <c r="C387" s="12" t="s">
        <v>907</v>
      </c>
      <c r="D387" s="12" t="s">
        <v>38</v>
      </c>
      <c r="E387" s="13" t="s">
        <v>39</v>
      </c>
      <c r="F387" s="14" t="str">
        <f>_xlfn.XLOOKUP(B387,'[1]Synthese suivi modernisation'!A:A,'[1]Synthese suivi modernisation'!S:S)</f>
        <v>KEDOUGOU</v>
      </c>
      <c r="G387" s="14" t="str">
        <f>_xlfn.XLOOKUP(B387,'[1]Synthese suivi modernisation'!A:A,'[1]Synthese suivi modernisation'!T:T)</f>
        <v>TAMBACOUNDA</v>
      </c>
      <c r="H387" s="20" t="s">
        <v>40</v>
      </c>
      <c r="I387" s="14" t="s">
        <v>41</v>
      </c>
      <c r="J387" s="16" t="s">
        <v>40</v>
      </c>
      <c r="K387" s="24">
        <v>4000</v>
      </c>
      <c r="L387" s="14">
        <v>6</v>
      </c>
      <c r="M387" s="17" t="s">
        <v>42</v>
      </c>
      <c r="N387" s="16" t="s">
        <v>80</v>
      </c>
      <c r="O387" s="16">
        <v>33</v>
      </c>
      <c r="P387" s="18">
        <v>775.58333333333337</v>
      </c>
      <c r="Q387" s="20"/>
      <c r="R387" s="20"/>
      <c r="S387" s="19">
        <v>0.8</v>
      </c>
      <c r="T387" s="20">
        <f t="shared" si="31"/>
        <v>22.727272727272727</v>
      </c>
      <c r="U387" s="20">
        <v>0.27</v>
      </c>
      <c r="V387" s="20">
        <f t="shared" si="32"/>
        <v>1.62</v>
      </c>
      <c r="W387" s="20"/>
      <c r="X387" s="20"/>
      <c r="Y387" s="20">
        <f t="shared" si="33"/>
        <v>0</v>
      </c>
      <c r="Z387" s="21">
        <f t="shared" si="34"/>
        <v>-775.58333333333337</v>
      </c>
      <c r="AA387" s="20"/>
      <c r="AB387" s="20"/>
      <c r="AC387" s="20"/>
      <c r="AD387" s="20">
        <f t="shared" si="35"/>
        <v>0</v>
      </c>
      <c r="AE387" s="20"/>
      <c r="AF387" s="20"/>
      <c r="AG387" s="20"/>
      <c r="AH387" s="20"/>
      <c r="AI387" s="20">
        <f t="shared" si="36"/>
        <v>0</v>
      </c>
      <c r="AJ387" s="20"/>
    </row>
    <row r="388" spans="2:36">
      <c r="B388" s="11" t="s">
        <v>908</v>
      </c>
      <c r="C388" s="12" t="s">
        <v>909</v>
      </c>
      <c r="D388" s="12" t="s">
        <v>38</v>
      </c>
      <c r="E388" s="13" t="s">
        <v>39</v>
      </c>
      <c r="F388" s="14" t="str">
        <f>_xlfn.XLOOKUP(B388,'[1]Synthese suivi modernisation'!A:A,'[1]Synthese suivi modernisation'!S:S)</f>
        <v>MBOUR</v>
      </c>
      <c r="G388" s="14" t="str">
        <f>_xlfn.XLOOKUP(B388,'[1]Synthese suivi modernisation'!A:A,'[1]Synthese suivi modernisation'!T:T)</f>
        <v>THIES</v>
      </c>
      <c r="H388" s="20" t="s">
        <v>70</v>
      </c>
      <c r="I388" s="20" t="s">
        <v>71</v>
      </c>
      <c r="J388" s="16" t="s">
        <v>70</v>
      </c>
      <c r="K388" s="24">
        <v>11000</v>
      </c>
      <c r="L388" s="14">
        <v>7</v>
      </c>
      <c r="M388" s="17" t="s">
        <v>73</v>
      </c>
      <c r="N388" s="16" t="s">
        <v>566</v>
      </c>
      <c r="O388" s="16">
        <v>150</v>
      </c>
      <c r="P388" s="18">
        <v>33</v>
      </c>
      <c r="Q388" s="20"/>
      <c r="R388" s="20"/>
      <c r="S388" s="19">
        <v>0.8</v>
      </c>
      <c r="T388" s="20">
        <f t="shared" si="31"/>
        <v>5.833333333333333</v>
      </c>
      <c r="U388" s="20">
        <v>0.27</v>
      </c>
      <c r="V388" s="20">
        <f t="shared" si="32"/>
        <v>1.8900000000000001</v>
      </c>
      <c r="W388" s="20"/>
      <c r="X388" s="20"/>
      <c r="Y388" s="20">
        <f t="shared" si="33"/>
        <v>0</v>
      </c>
      <c r="Z388" s="21">
        <f t="shared" si="34"/>
        <v>-33</v>
      </c>
      <c r="AA388" s="20"/>
      <c r="AB388" s="20"/>
      <c r="AC388" s="20"/>
      <c r="AD388" s="20">
        <f t="shared" si="35"/>
        <v>0</v>
      </c>
      <c r="AE388" s="20"/>
      <c r="AF388" s="20"/>
      <c r="AG388" s="20"/>
      <c r="AH388" s="20"/>
      <c r="AI388" s="20">
        <f t="shared" si="36"/>
        <v>0</v>
      </c>
      <c r="AJ388" s="20"/>
    </row>
    <row r="389" spans="2:36">
      <c r="B389" s="11" t="s">
        <v>910</v>
      </c>
      <c r="C389" s="12" t="s">
        <v>911</v>
      </c>
      <c r="D389" s="12" t="s">
        <v>38</v>
      </c>
      <c r="E389" s="13" t="s">
        <v>39</v>
      </c>
      <c r="F389" s="14" t="str">
        <f>_xlfn.XLOOKUP(B389,'[1]Synthese suivi modernisation'!A:A,'[1]Synthese suivi modernisation'!S:S)</f>
        <v>KEDOUGOU</v>
      </c>
      <c r="G389" s="14" t="str">
        <f>_xlfn.XLOOKUP(B389,'[1]Synthese suivi modernisation'!A:A,'[1]Synthese suivi modernisation'!T:T)</f>
        <v>TAMBACOUNDA</v>
      </c>
      <c r="H389" s="20" t="s">
        <v>40</v>
      </c>
      <c r="I389" s="14" t="s">
        <v>41</v>
      </c>
      <c r="J389" s="16" t="s">
        <v>40</v>
      </c>
      <c r="K389" s="24">
        <v>4000</v>
      </c>
      <c r="L389" s="14">
        <v>5</v>
      </c>
      <c r="M389" s="17" t="s">
        <v>42</v>
      </c>
      <c r="N389" s="16" t="s">
        <v>259</v>
      </c>
      <c r="O389" s="16">
        <v>22</v>
      </c>
      <c r="P389" s="18">
        <v>478.16666666666669</v>
      </c>
      <c r="Q389" s="20"/>
      <c r="R389" s="20"/>
      <c r="S389" s="19">
        <v>0.8</v>
      </c>
      <c r="T389" s="20">
        <f t="shared" si="31"/>
        <v>28.409090909090907</v>
      </c>
      <c r="U389" s="20">
        <v>0.27</v>
      </c>
      <c r="V389" s="20">
        <f t="shared" si="32"/>
        <v>1.35</v>
      </c>
      <c r="W389" s="20"/>
      <c r="X389" s="20"/>
      <c r="Y389" s="20">
        <f t="shared" si="33"/>
        <v>0</v>
      </c>
      <c r="Z389" s="21">
        <f t="shared" si="34"/>
        <v>-478.16666666666669</v>
      </c>
      <c r="AA389" s="20"/>
      <c r="AB389" s="20"/>
      <c r="AC389" s="20"/>
      <c r="AD389" s="20">
        <f t="shared" si="35"/>
        <v>0</v>
      </c>
      <c r="AE389" s="20"/>
      <c r="AF389" s="20"/>
      <c r="AG389" s="20"/>
      <c r="AH389" s="20"/>
      <c r="AI389" s="20">
        <f t="shared" si="36"/>
        <v>0</v>
      </c>
      <c r="AJ389" s="20"/>
    </row>
    <row r="390" spans="2:36">
      <c r="B390" s="11" t="s">
        <v>912</v>
      </c>
      <c r="C390" s="12" t="s">
        <v>913</v>
      </c>
      <c r="D390" s="12" t="s">
        <v>38</v>
      </c>
      <c r="E390" s="13" t="s">
        <v>39</v>
      </c>
      <c r="F390" s="14" t="str">
        <f>_xlfn.XLOOKUP(B390,'[1]Synthese suivi modernisation'!A:A,'[1]Synthese suivi modernisation'!S:S)</f>
        <v>MBOUR</v>
      </c>
      <c r="G390" s="14" t="str">
        <f>_xlfn.XLOOKUP(B390,'[1]Synthese suivi modernisation'!A:A,'[1]Synthese suivi modernisation'!T:T)</f>
        <v>DAKAR</v>
      </c>
      <c r="H390" s="20" t="s">
        <v>355</v>
      </c>
      <c r="I390" s="20" t="s">
        <v>71</v>
      </c>
      <c r="J390" s="16" t="s">
        <v>355</v>
      </c>
      <c r="K390" s="24">
        <v>6000</v>
      </c>
      <c r="L390" s="14">
        <v>9</v>
      </c>
      <c r="M390" s="17" t="s">
        <v>73</v>
      </c>
      <c r="N390" s="16" t="s">
        <v>63</v>
      </c>
      <c r="O390" s="16">
        <v>30</v>
      </c>
      <c r="P390" s="18">
        <v>30.416666666666668</v>
      </c>
      <c r="Q390" s="20"/>
      <c r="R390" s="20"/>
      <c r="S390" s="19">
        <v>0.8</v>
      </c>
      <c r="T390" s="20">
        <f t="shared" ref="T390:T453" si="37">(((Q390*R390)/(1000*S390)+L390)/(O390*0.8))*100</f>
        <v>37.5</v>
      </c>
      <c r="U390" s="20">
        <v>0.27</v>
      </c>
      <c r="V390" s="20">
        <f t="shared" ref="V390:V453" si="38">(((Q390*R390)/(1000*S390)+L390))*U390</f>
        <v>2.4300000000000002</v>
      </c>
      <c r="W390" s="20"/>
      <c r="X390" s="20"/>
      <c r="Y390" s="20">
        <f t="shared" ref="Y390:Y453" si="39">+X390*V390</f>
        <v>0</v>
      </c>
      <c r="Z390" s="21">
        <f t="shared" ref="Z390:Z453" si="40">Y390-P390</f>
        <v>-30.416666666666668</v>
      </c>
      <c r="AA390" s="20"/>
      <c r="AB390" s="20"/>
      <c r="AC390" s="20"/>
      <c r="AD390" s="20">
        <f t="shared" ref="AD390:AD453" si="41">AC390-Y390</f>
        <v>0</v>
      </c>
      <c r="AE390" s="20"/>
      <c r="AF390" s="20"/>
      <c r="AG390" s="20"/>
      <c r="AH390" s="20"/>
      <c r="AI390" s="20">
        <f t="shared" ref="AI390:AI453" si="42">AG390-AH390</f>
        <v>0</v>
      </c>
      <c r="AJ390" s="20"/>
    </row>
    <row r="391" spans="2:36">
      <c r="B391" s="11" t="s">
        <v>914</v>
      </c>
      <c r="C391" s="12" t="s">
        <v>915</v>
      </c>
      <c r="D391" s="12" t="s">
        <v>38</v>
      </c>
      <c r="E391" s="13" t="s">
        <v>39</v>
      </c>
      <c r="F391" s="14" t="str">
        <f>_xlfn.XLOOKUP(B391,'[1]Synthese suivi modernisation'!A:A,'[1]Synthese suivi modernisation'!S:S)</f>
        <v>MATAM</v>
      </c>
      <c r="G391" s="14" t="str">
        <f>_xlfn.XLOOKUP(B391,'[1]Synthese suivi modernisation'!A:A,'[1]Synthese suivi modernisation'!T:T)</f>
        <v>SAINT-LOUIS</v>
      </c>
      <c r="H391" s="20" t="s">
        <v>192</v>
      </c>
      <c r="I391" s="14" t="s">
        <v>41</v>
      </c>
      <c r="J391" s="16" t="s">
        <v>192</v>
      </c>
      <c r="K391" s="24">
        <v>1000</v>
      </c>
      <c r="L391" s="14">
        <v>0.5</v>
      </c>
      <c r="M391" s="17" t="s">
        <v>42</v>
      </c>
      <c r="N391" s="16" t="s">
        <v>111</v>
      </c>
      <c r="O391" s="16">
        <v>22</v>
      </c>
      <c r="P391" s="18">
        <v>72.833333333333329</v>
      </c>
      <c r="Q391" s="20"/>
      <c r="R391" s="20"/>
      <c r="S391" s="19">
        <v>0.8</v>
      </c>
      <c r="T391" s="20">
        <f t="shared" si="37"/>
        <v>2.8409090909090908</v>
      </c>
      <c r="U391" s="20">
        <v>0.27</v>
      </c>
      <c r="V391" s="20">
        <f t="shared" si="38"/>
        <v>0.13500000000000001</v>
      </c>
      <c r="W391" s="20"/>
      <c r="X391" s="20"/>
      <c r="Y391" s="20">
        <f t="shared" si="39"/>
        <v>0</v>
      </c>
      <c r="Z391" s="21">
        <f t="shared" si="40"/>
        <v>-72.833333333333329</v>
      </c>
      <c r="AA391" s="20"/>
      <c r="AB391" s="20"/>
      <c r="AC391" s="20"/>
      <c r="AD391" s="20">
        <f t="shared" si="41"/>
        <v>0</v>
      </c>
      <c r="AE391" s="20"/>
      <c r="AF391" s="20"/>
      <c r="AG391" s="20"/>
      <c r="AH391" s="20"/>
      <c r="AI391" s="20">
        <f t="shared" si="42"/>
        <v>0</v>
      </c>
      <c r="AJ391" s="20"/>
    </row>
    <row r="392" spans="2:36">
      <c r="B392" s="11" t="s">
        <v>916</v>
      </c>
      <c r="C392" s="12" t="s">
        <v>917</v>
      </c>
      <c r="D392" s="12" t="s">
        <v>38</v>
      </c>
      <c r="E392" s="13" t="s">
        <v>39</v>
      </c>
      <c r="F392" s="14" t="str">
        <f>_xlfn.XLOOKUP(B392,'[1]Synthese suivi modernisation'!A:A,'[1]Synthese suivi modernisation'!S:S)</f>
        <v>ZIGUINCHOR</v>
      </c>
      <c r="G392" s="14" t="str">
        <f>_xlfn.XLOOKUP(B392,'[1]Synthese suivi modernisation'!A:A,'[1]Synthese suivi modernisation'!T:T)</f>
        <v>ZIGUINCHOR</v>
      </c>
      <c r="H392" s="20" t="s">
        <v>70</v>
      </c>
      <c r="I392" s="20" t="s">
        <v>71</v>
      </c>
      <c r="J392" s="16" t="s">
        <v>70</v>
      </c>
      <c r="K392" s="24">
        <v>4000</v>
      </c>
      <c r="L392" s="14">
        <v>7</v>
      </c>
      <c r="M392" s="17" t="s">
        <v>73</v>
      </c>
      <c r="N392" s="16" t="s">
        <v>324</v>
      </c>
      <c r="O392" s="16">
        <v>22</v>
      </c>
      <c r="P392" s="18">
        <v>38.083333333333336</v>
      </c>
      <c r="Q392" s="20"/>
      <c r="R392" s="20"/>
      <c r="S392" s="19">
        <v>0.8</v>
      </c>
      <c r="T392" s="20">
        <f t="shared" si="37"/>
        <v>39.772727272727273</v>
      </c>
      <c r="U392" s="20">
        <v>0.27</v>
      </c>
      <c r="V392" s="20">
        <f t="shared" si="38"/>
        <v>1.8900000000000001</v>
      </c>
      <c r="W392" s="20"/>
      <c r="X392" s="20"/>
      <c r="Y392" s="20">
        <f t="shared" si="39"/>
        <v>0</v>
      </c>
      <c r="Z392" s="21">
        <f t="shared" si="40"/>
        <v>-38.083333333333336</v>
      </c>
      <c r="AA392" s="20"/>
      <c r="AB392" s="20"/>
      <c r="AC392" s="20"/>
      <c r="AD392" s="20">
        <f t="shared" si="41"/>
        <v>0</v>
      </c>
      <c r="AE392" s="20"/>
      <c r="AF392" s="20"/>
      <c r="AG392" s="20"/>
      <c r="AH392" s="20"/>
      <c r="AI392" s="20">
        <f t="shared" si="42"/>
        <v>0</v>
      </c>
      <c r="AJ392" s="20"/>
    </row>
    <row r="393" spans="2:36">
      <c r="B393" s="11" t="s">
        <v>918</v>
      </c>
      <c r="C393" s="12" t="s">
        <v>919</v>
      </c>
      <c r="D393" s="12" t="s">
        <v>38</v>
      </c>
      <c r="E393" s="13" t="s">
        <v>39</v>
      </c>
      <c r="F393" s="14" t="str">
        <f>_xlfn.XLOOKUP(B393,'[1]Synthese suivi modernisation'!A:A,'[1]Synthese suivi modernisation'!S:S)</f>
        <v>VELINGARA</v>
      </c>
      <c r="G393" s="14" t="str">
        <f>_xlfn.XLOOKUP(B393,'[1]Synthese suivi modernisation'!A:A,'[1]Synthese suivi modernisation'!T:T)</f>
        <v>ZIGUINCHOR</v>
      </c>
      <c r="H393" s="20" t="s">
        <v>54</v>
      </c>
      <c r="I393" s="14" t="s">
        <v>41</v>
      </c>
      <c r="J393" s="23" t="s">
        <v>40</v>
      </c>
      <c r="K393" s="24">
        <v>750</v>
      </c>
      <c r="L393" s="14">
        <v>2.25</v>
      </c>
      <c r="M393" s="17" t="s">
        <v>42</v>
      </c>
      <c r="N393" s="16" t="s">
        <v>55</v>
      </c>
      <c r="O393" s="16">
        <v>33</v>
      </c>
      <c r="P393" s="18">
        <v>109.33333333333333</v>
      </c>
      <c r="Q393" s="20"/>
      <c r="R393" s="20"/>
      <c r="S393" s="19">
        <v>0.8</v>
      </c>
      <c r="T393" s="20">
        <f t="shared" si="37"/>
        <v>8.5227272727272716</v>
      </c>
      <c r="U393" s="20">
        <v>0.27</v>
      </c>
      <c r="V393" s="20">
        <f t="shared" si="38"/>
        <v>0.60750000000000004</v>
      </c>
      <c r="W393" s="20"/>
      <c r="X393" s="20"/>
      <c r="Y393" s="20">
        <f t="shared" si="39"/>
        <v>0</v>
      </c>
      <c r="Z393" s="21">
        <f t="shared" si="40"/>
        <v>-109.33333333333333</v>
      </c>
      <c r="AA393" s="20"/>
      <c r="AB393" s="20"/>
      <c r="AC393" s="20"/>
      <c r="AD393" s="20">
        <f t="shared" si="41"/>
        <v>0</v>
      </c>
      <c r="AE393" s="20"/>
      <c r="AF393" s="20"/>
      <c r="AG393" s="20"/>
      <c r="AH393" s="20"/>
      <c r="AI393" s="20">
        <f t="shared" si="42"/>
        <v>0</v>
      </c>
      <c r="AJ393" s="20"/>
    </row>
    <row r="394" spans="2:36">
      <c r="B394" s="11" t="s">
        <v>920</v>
      </c>
      <c r="C394" s="12" t="s">
        <v>921</v>
      </c>
      <c r="D394" s="12" t="s">
        <v>38</v>
      </c>
      <c r="E394" s="13" t="s">
        <v>39</v>
      </c>
      <c r="F394" s="14" t="str">
        <f>_xlfn.XLOOKUP(B394,'[1]Synthese suivi modernisation'!A:A,'[1]Synthese suivi modernisation'!S:S)</f>
        <v>MATAM</v>
      </c>
      <c r="G394" s="14" t="str">
        <f>_xlfn.XLOOKUP(B394,'[1]Synthese suivi modernisation'!A:A,'[1]Synthese suivi modernisation'!T:T)</f>
        <v>SAINT-LOUIS</v>
      </c>
      <c r="H394" s="20" t="s">
        <v>70</v>
      </c>
      <c r="I394" s="20" t="s">
        <v>71</v>
      </c>
      <c r="J394" s="16" t="s">
        <v>70</v>
      </c>
      <c r="K394" s="24">
        <v>12000</v>
      </c>
      <c r="L394" s="14">
        <v>13</v>
      </c>
      <c r="M394" s="17" t="s">
        <v>73</v>
      </c>
      <c r="N394" s="16" t="s">
        <v>91</v>
      </c>
      <c r="O394" s="16">
        <v>30</v>
      </c>
      <c r="P394" s="18">
        <v>88.833333333333329</v>
      </c>
      <c r="Q394" s="20"/>
      <c r="R394" s="20"/>
      <c r="S394" s="19">
        <v>0.8</v>
      </c>
      <c r="T394" s="20">
        <f t="shared" si="37"/>
        <v>54.166666666666664</v>
      </c>
      <c r="U394" s="20">
        <v>0.27</v>
      </c>
      <c r="V394" s="20">
        <f t="shared" si="38"/>
        <v>3.5100000000000002</v>
      </c>
      <c r="W394" s="20"/>
      <c r="X394" s="20"/>
      <c r="Y394" s="20">
        <f t="shared" si="39"/>
        <v>0</v>
      </c>
      <c r="Z394" s="21">
        <f t="shared" si="40"/>
        <v>-88.833333333333329</v>
      </c>
      <c r="AA394" s="20"/>
      <c r="AB394" s="20"/>
      <c r="AC394" s="20"/>
      <c r="AD394" s="20">
        <f t="shared" si="41"/>
        <v>0</v>
      </c>
      <c r="AE394" s="20"/>
      <c r="AF394" s="20"/>
      <c r="AG394" s="20"/>
      <c r="AH394" s="20"/>
      <c r="AI394" s="20">
        <f t="shared" si="42"/>
        <v>0</v>
      </c>
      <c r="AJ394" s="20"/>
    </row>
    <row r="395" spans="2:36">
      <c r="B395" s="11" t="s">
        <v>922</v>
      </c>
      <c r="C395" s="12" t="s">
        <v>923</v>
      </c>
      <c r="D395" s="12" t="s">
        <v>38</v>
      </c>
      <c r="E395" s="13" t="s">
        <v>39</v>
      </c>
      <c r="F395" s="14" t="str">
        <f>_xlfn.XLOOKUP(B395,'[1]Synthese suivi modernisation'!A:A,'[1]Synthese suivi modernisation'!S:S)</f>
        <v>SOKONE</v>
      </c>
      <c r="G395" s="14" t="str">
        <f>_xlfn.XLOOKUP(B395,'[1]Synthese suivi modernisation'!A:A,'[1]Synthese suivi modernisation'!T:T)</f>
        <v>KAOLACK</v>
      </c>
      <c r="H395" s="20" t="s">
        <v>70</v>
      </c>
      <c r="I395" s="20" t="s">
        <v>71</v>
      </c>
      <c r="J395" s="16" t="s">
        <v>70</v>
      </c>
      <c r="K395" s="24">
        <v>9000</v>
      </c>
      <c r="L395" s="14">
        <v>11</v>
      </c>
      <c r="M395" s="17" t="s">
        <v>73</v>
      </c>
      <c r="N395" s="16" t="s">
        <v>63</v>
      </c>
      <c r="O395" s="16">
        <v>30</v>
      </c>
      <c r="P395" s="18">
        <v>59.5</v>
      </c>
      <c r="Q395" s="20"/>
      <c r="R395" s="20"/>
      <c r="S395" s="19">
        <v>0.8</v>
      </c>
      <c r="T395" s="20">
        <f t="shared" si="37"/>
        <v>45.833333333333329</v>
      </c>
      <c r="U395" s="20">
        <v>0.27</v>
      </c>
      <c r="V395" s="20">
        <f t="shared" si="38"/>
        <v>2.97</v>
      </c>
      <c r="W395" s="20"/>
      <c r="X395" s="20"/>
      <c r="Y395" s="20">
        <f t="shared" si="39"/>
        <v>0</v>
      </c>
      <c r="Z395" s="21">
        <f t="shared" si="40"/>
        <v>-59.5</v>
      </c>
      <c r="AA395" s="20"/>
      <c r="AB395" s="20"/>
      <c r="AC395" s="20"/>
      <c r="AD395" s="20">
        <f t="shared" si="41"/>
        <v>0</v>
      </c>
      <c r="AE395" s="20"/>
      <c r="AF395" s="20"/>
      <c r="AG395" s="20"/>
      <c r="AH395" s="20"/>
      <c r="AI395" s="20">
        <f t="shared" si="42"/>
        <v>0</v>
      </c>
      <c r="AJ395" s="20"/>
    </row>
    <row r="396" spans="2:36">
      <c r="B396" s="11" t="s">
        <v>924</v>
      </c>
      <c r="C396" s="12" t="s">
        <v>925</v>
      </c>
      <c r="D396" s="12" t="s">
        <v>38</v>
      </c>
      <c r="E396" s="13" t="s">
        <v>39</v>
      </c>
      <c r="F396" s="14" t="str">
        <f>_xlfn.XLOOKUP(B396,'[1]Synthese suivi modernisation'!A:A,'[1]Synthese suivi modernisation'!S:S)</f>
        <v>DAKAR</v>
      </c>
      <c r="G396" s="14" t="str">
        <f>_xlfn.XLOOKUP(B396,'[1]Synthese suivi modernisation'!A:A,'[1]Synthese suivi modernisation'!T:T)</f>
        <v>DAKAR</v>
      </c>
      <c r="H396" s="20" t="s">
        <v>292</v>
      </c>
      <c r="I396" s="20" t="s">
        <v>71</v>
      </c>
      <c r="J396" s="16" t="s">
        <v>292</v>
      </c>
      <c r="K396" s="24">
        <v>4000</v>
      </c>
      <c r="L396" s="14">
        <v>22</v>
      </c>
      <c r="M396" s="17" t="s">
        <v>73</v>
      </c>
      <c r="N396" s="16" t="s">
        <v>493</v>
      </c>
      <c r="O396" s="16">
        <v>110</v>
      </c>
      <c r="P396" s="18">
        <v>105.33333333333333</v>
      </c>
      <c r="Q396" s="20"/>
      <c r="R396" s="20"/>
      <c r="S396" s="19">
        <v>0.8</v>
      </c>
      <c r="T396" s="20">
        <f t="shared" si="37"/>
        <v>25</v>
      </c>
      <c r="U396" s="20">
        <v>0.27</v>
      </c>
      <c r="V396" s="20">
        <f t="shared" si="38"/>
        <v>5.94</v>
      </c>
      <c r="W396" s="20"/>
      <c r="X396" s="20"/>
      <c r="Y396" s="20">
        <f t="shared" si="39"/>
        <v>0</v>
      </c>
      <c r="Z396" s="21">
        <f t="shared" si="40"/>
        <v>-105.33333333333333</v>
      </c>
      <c r="AA396" s="20"/>
      <c r="AB396" s="20"/>
      <c r="AC396" s="20"/>
      <c r="AD396" s="20">
        <f t="shared" si="41"/>
        <v>0</v>
      </c>
      <c r="AE396" s="20"/>
      <c r="AF396" s="20"/>
      <c r="AG396" s="20"/>
      <c r="AH396" s="20"/>
      <c r="AI396" s="20">
        <f t="shared" si="42"/>
        <v>0</v>
      </c>
      <c r="AJ396" s="20"/>
    </row>
    <row r="397" spans="2:36">
      <c r="B397" s="11" t="s">
        <v>926</v>
      </c>
      <c r="C397" s="12" t="s">
        <v>927</v>
      </c>
      <c r="D397" s="12" t="s">
        <v>38</v>
      </c>
      <c r="E397" s="13" t="s">
        <v>39</v>
      </c>
      <c r="F397" s="14" t="str">
        <f>_xlfn.XLOOKUP(B397,'[1]Synthese suivi modernisation'!A:A,'[1]Synthese suivi modernisation'!S:S)</f>
        <v>RUFISQUE</v>
      </c>
      <c r="G397" s="14" t="str">
        <f>_xlfn.XLOOKUP(B397,'[1]Synthese suivi modernisation'!A:A,'[1]Synthese suivi modernisation'!T:T)</f>
        <v>DAKAR</v>
      </c>
      <c r="H397" s="20" t="s">
        <v>40</v>
      </c>
      <c r="I397" s="14" t="s">
        <v>41</v>
      </c>
      <c r="J397" s="16" t="s">
        <v>40</v>
      </c>
      <c r="K397" s="24">
        <v>5000</v>
      </c>
      <c r="L397" s="14">
        <v>4.5</v>
      </c>
      <c r="M397" s="17" t="s">
        <v>42</v>
      </c>
      <c r="N397" s="16" t="s">
        <v>928</v>
      </c>
      <c r="O397" s="16">
        <v>33</v>
      </c>
      <c r="P397" s="18">
        <v>614.16666666666663</v>
      </c>
      <c r="Q397" s="20"/>
      <c r="R397" s="20"/>
      <c r="S397" s="19">
        <v>0.8</v>
      </c>
      <c r="T397" s="20">
        <f t="shared" si="37"/>
        <v>17.045454545454543</v>
      </c>
      <c r="U397" s="20">
        <v>0.27</v>
      </c>
      <c r="V397" s="20">
        <f t="shared" si="38"/>
        <v>1.2150000000000001</v>
      </c>
      <c r="W397" s="20"/>
      <c r="X397" s="20"/>
      <c r="Y397" s="20">
        <f t="shared" si="39"/>
        <v>0</v>
      </c>
      <c r="Z397" s="21">
        <f t="shared" si="40"/>
        <v>-614.16666666666663</v>
      </c>
      <c r="AA397" s="20"/>
      <c r="AB397" s="20"/>
      <c r="AC397" s="20"/>
      <c r="AD397" s="20">
        <f t="shared" si="41"/>
        <v>0</v>
      </c>
      <c r="AE397" s="20"/>
      <c r="AF397" s="20"/>
      <c r="AG397" s="20"/>
      <c r="AH397" s="20"/>
      <c r="AI397" s="20">
        <f t="shared" si="42"/>
        <v>0</v>
      </c>
      <c r="AJ397" s="20"/>
    </row>
    <row r="398" spans="2:36">
      <c r="B398" s="11" t="s">
        <v>929</v>
      </c>
      <c r="C398" s="12" t="s">
        <v>930</v>
      </c>
      <c r="D398" s="12" t="s">
        <v>38</v>
      </c>
      <c r="E398" s="13" t="s">
        <v>39</v>
      </c>
      <c r="F398" s="14" t="str">
        <f>_xlfn.XLOOKUP(B398,'[1]Synthese suivi modernisation'!A:A,'[1]Synthese suivi modernisation'!S:S)</f>
        <v>SAINT-LOUIS</v>
      </c>
      <c r="G398" s="14" t="str">
        <f>_xlfn.XLOOKUP(B398,'[1]Synthese suivi modernisation'!A:A,'[1]Synthese suivi modernisation'!T:T)</f>
        <v>SAINT-LOUIS</v>
      </c>
      <c r="H398" s="20" t="s">
        <v>142</v>
      </c>
      <c r="I398" s="20" t="s">
        <v>71</v>
      </c>
      <c r="J398" s="23" t="s">
        <v>70</v>
      </c>
      <c r="K398" s="24">
        <v>11000</v>
      </c>
      <c r="L398" s="14">
        <v>14</v>
      </c>
      <c r="M398" s="17" t="s">
        <v>73</v>
      </c>
      <c r="N398" s="16" t="s">
        <v>362</v>
      </c>
      <c r="O398" s="16">
        <v>165</v>
      </c>
      <c r="P398" s="18">
        <v>160</v>
      </c>
      <c r="Q398" s="20"/>
      <c r="R398" s="20"/>
      <c r="S398" s="19">
        <v>0.8</v>
      </c>
      <c r="T398" s="20">
        <f t="shared" si="37"/>
        <v>10.606060606060606</v>
      </c>
      <c r="U398" s="20">
        <v>0.27</v>
      </c>
      <c r="V398" s="20">
        <f t="shared" si="38"/>
        <v>3.7800000000000002</v>
      </c>
      <c r="W398" s="20"/>
      <c r="X398" s="20"/>
      <c r="Y398" s="20">
        <f t="shared" si="39"/>
        <v>0</v>
      </c>
      <c r="Z398" s="21">
        <f t="shared" si="40"/>
        <v>-160</v>
      </c>
      <c r="AA398" s="20"/>
      <c r="AB398" s="20"/>
      <c r="AC398" s="20"/>
      <c r="AD398" s="20">
        <f t="shared" si="41"/>
        <v>0</v>
      </c>
      <c r="AE398" s="20"/>
      <c r="AF398" s="20"/>
      <c r="AG398" s="20"/>
      <c r="AH398" s="20"/>
      <c r="AI398" s="20">
        <f t="shared" si="42"/>
        <v>0</v>
      </c>
      <c r="AJ398" s="20"/>
    </row>
    <row r="399" spans="2:36">
      <c r="B399" s="11" t="s">
        <v>931</v>
      </c>
      <c r="C399" s="12" t="s">
        <v>932</v>
      </c>
      <c r="D399" s="12" t="s">
        <v>38</v>
      </c>
      <c r="E399" s="13" t="s">
        <v>39</v>
      </c>
      <c r="F399" s="14" t="str">
        <f>_xlfn.XLOOKUP(B399,'[1]Synthese suivi modernisation'!A:A,'[1]Synthese suivi modernisation'!S:S)</f>
        <v>OUAKAM</v>
      </c>
      <c r="G399" s="14" t="str">
        <f>_xlfn.XLOOKUP(B399,'[1]Synthese suivi modernisation'!A:A,'[1]Synthese suivi modernisation'!T:T)</f>
        <v>DAKAR</v>
      </c>
      <c r="H399" s="20" t="s">
        <v>142</v>
      </c>
      <c r="I399" s="20" t="s">
        <v>143</v>
      </c>
      <c r="J399" s="23" t="s">
        <v>142</v>
      </c>
      <c r="K399" s="24">
        <v>25000</v>
      </c>
      <c r="L399" s="14">
        <v>22</v>
      </c>
      <c r="M399" s="17" t="s">
        <v>73</v>
      </c>
      <c r="N399" s="16" t="s">
        <v>933</v>
      </c>
      <c r="O399" s="16">
        <v>200</v>
      </c>
      <c r="P399" s="18">
        <v>109.33333333333333</v>
      </c>
      <c r="Q399" s="20"/>
      <c r="R399" s="20"/>
      <c r="S399" s="19">
        <v>0.8</v>
      </c>
      <c r="T399" s="20">
        <f t="shared" si="37"/>
        <v>13.750000000000002</v>
      </c>
      <c r="U399" s="20">
        <v>0.27</v>
      </c>
      <c r="V399" s="20">
        <f t="shared" si="38"/>
        <v>5.94</v>
      </c>
      <c r="W399" s="20"/>
      <c r="X399" s="20"/>
      <c r="Y399" s="20">
        <f t="shared" si="39"/>
        <v>0</v>
      </c>
      <c r="Z399" s="21">
        <f t="shared" si="40"/>
        <v>-109.33333333333333</v>
      </c>
      <c r="AA399" s="20"/>
      <c r="AB399" s="20"/>
      <c r="AC399" s="20"/>
      <c r="AD399" s="20">
        <f t="shared" si="41"/>
        <v>0</v>
      </c>
      <c r="AE399" s="20"/>
      <c r="AF399" s="20"/>
      <c r="AG399" s="20"/>
      <c r="AH399" s="20"/>
      <c r="AI399" s="20">
        <f t="shared" si="42"/>
        <v>0</v>
      </c>
      <c r="AJ399" s="20"/>
    </row>
    <row r="400" spans="2:36">
      <c r="B400" s="11" t="s">
        <v>934</v>
      </c>
      <c r="C400" s="12" t="s">
        <v>935</v>
      </c>
      <c r="D400" s="12" t="s">
        <v>38</v>
      </c>
      <c r="E400" s="13" t="s">
        <v>39</v>
      </c>
      <c r="F400" s="14" t="str">
        <f>_xlfn.XLOOKUP(B400,'[1]Synthese suivi modernisation'!A:A,'[1]Synthese suivi modernisation'!S:S)</f>
        <v>TIVAOUANE</v>
      </c>
      <c r="G400" s="14" t="str">
        <f>_xlfn.XLOOKUP(B400,'[1]Synthese suivi modernisation'!A:A,'[1]Synthese suivi modernisation'!T:T)</f>
        <v>THIES</v>
      </c>
      <c r="H400" s="20" t="s">
        <v>70</v>
      </c>
      <c r="I400" s="20" t="s">
        <v>71</v>
      </c>
      <c r="J400" s="16" t="s">
        <v>72</v>
      </c>
      <c r="K400" s="24">
        <v>6000</v>
      </c>
      <c r="L400" s="14">
        <v>7</v>
      </c>
      <c r="M400" s="17" t="s">
        <v>73</v>
      </c>
      <c r="N400" s="16" t="s">
        <v>96</v>
      </c>
      <c r="O400" s="16">
        <v>22</v>
      </c>
      <c r="P400" s="18">
        <v>0</v>
      </c>
      <c r="Q400" s="20"/>
      <c r="R400" s="20"/>
      <c r="S400" s="19">
        <v>0.8</v>
      </c>
      <c r="T400" s="20">
        <f t="shared" si="37"/>
        <v>39.772727272727273</v>
      </c>
      <c r="U400" s="20">
        <v>0.27</v>
      </c>
      <c r="V400" s="20">
        <f t="shared" si="38"/>
        <v>1.8900000000000001</v>
      </c>
      <c r="W400" s="20"/>
      <c r="X400" s="20"/>
      <c r="Y400" s="20">
        <f t="shared" si="39"/>
        <v>0</v>
      </c>
      <c r="Z400" s="21">
        <f t="shared" si="40"/>
        <v>0</v>
      </c>
      <c r="AA400" s="20"/>
      <c r="AB400" s="20"/>
      <c r="AC400" s="20"/>
      <c r="AD400" s="20">
        <f t="shared" si="41"/>
        <v>0</v>
      </c>
      <c r="AE400" s="20"/>
      <c r="AF400" s="20"/>
      <c r="AG400" s="20"/>
      <c r="AH400" s="20"/>
      <c r="AI400" s="20">
        <f t="shared" si="42"/>
        <v>0</v>
      </c>
      <c r="AJ400" s="20"/>
    </row>
    <row r="401" spans="2:36">
      <c r="B401" s="11" t="s">
        <v>936</v>
      </c>
      <c r="C401" s="12" t="s">
        <v>937</v>
      </c>
      <c r="D401" s="12" t="s">
        <v>38</v>
      </c>
      <c r="E401" s="13" t="s">
        <v>39</v>
      </c>
      <c r="F401" s="14" t="str">
        <f>_xlfn.XLOOKUP(B401,'[1]Synthese suivi modernisation'!A:A,'[1]Synthese suivi modernisation'!S:S)</f>
        <v>SOKONE</v>
      </c>
      <c r="G401" s="14" t="str">
        <f>_xlfn.XLOOKUP(B401,'[1]Synthese suivi modernisation'!A:A,'[1]Synthese suivi modernisation'!T:T)</f>
        <v>KAOLACK</v>
      </c>
      <c r="H401" s="20" t="s">
        <v>70</v>
      </c>
      <c r="I401" s="20" t="s">
        <v>71</v>
      </c>
      <c r="J401" s="16" t="s">
        <v>70</v>
      </c>
      <c r="K401" s="24">
        <v>7000</v>
      </c>
      <c r="L401" s="14">
        <v>7</v>
      </c>
      <c r="M401" s="17" t="s">
        <v>73</v>
      </c>
      <c r="N401" s="16" t="s">
        <v>63</v>
      </c>
      <c r="O401" s="16">
        <v>30</v>
      </c>
      <c r="P401" s="18">
        <v>38.083333333333336</v>
      </c>
      <c r="Q401" s="20"/>
      <c r="R401" s="20"/>
      <c r="S401" s="19">
        <v>0.8</v>
      </c>
      <c r="T401" s="20">
        <f t="shared" si="37"/>
        <v>29.166666666666668</v>
      </c>
      <c r="U401" s="20">
        <v>0.27</v>
      </c>
      <c r="V401" s="20">
        <f t="shared" si="38"/>
        <v>1.8900000000000001</v>
      </c>
      <c r="W401" s="20"/>
      <c r="X401" s="20"/>
      <c r="Y401" s="20">
        <f t="shared" si="39"/>
        <v>0</v>
      </c>
      <c r="Z401" s="21">
        <f t="shared" si="40"/>
        <v>-38.083333333333336</v>
      </c>
      <c r="AA401" s="20"/>
      <c r="AB401" s="20"/>
      <c r="AC401" s="20"/>
      <c r="AD401" s="20">
        <f t="shared" si="41"/>
        <v>0</v>
      </c>
      <c r="AE401" s="20"/>
      <c r="AF401" s="20"/>
      <c r="AG401" s="20"/>
      <c r="AH401" s="20"/>
      <c r="AI401" s="20">
        <f t="shared" si="42"/>
        <v>0</v>
      </c>
      <c r="AJ401" s="20"/>
    </row>
    <row r="402" spans="2:36">
      <c r="B402" s="11" t="s">
        <v>938</v>
      </c>
      <c r="C402" s="12" t="s">
        <v>939</v>
      </c>
      <c r="D402" s="12" t="s">
        <v>38</v>
      </c>
      <c r="E402" s="13" t="s">
        <v>39</v>
      </c>
      <c r="F402" s="14" t="str">
        <f>_xlfn.XLOOKUP(B402,'[1]Synthese suivi modernisation'!A:A,'[1]Synthese suivi modernisation'!S:S)</f>
        <v>TAMBA</v>
      </c>
      <c r="G402" s="14" t="str">
        <f>_xlfn.XLOOKUP(B402,'[1]Synthese suivi modernisation'!A:A,'[1]Synthese suivi modernisation'!T:T)</f>
        <v>TAMBACOUNDA</v>
      </c>
      <c r="H402" s="20" t="s">
        <v>142</v>
      </c>
      <c r="I402" s="20" t="s">
        <v>143</v>
      </c>
      <c r="J402" s="23" t="s">
        <v>142</v>
      </c>
      <c r="K402" s="24">
        <v>35000</v>
      </c>
      <c r="L402" s="14">
        <v>42</v>
      </c>
      <c r="M402" s="17" t="s">
        <v>73</v>
      </c>
      <c r="N402" s="16" t="s">
        <v>940</v>
      </c>
      <c r="O402" s="16">
        <v>220</v>
      </c>
      <c r="P402" s="18">
        <v>1259.5</v>
      </c>
      <c r="Q402" s="20"/>
      <c r="R402" s="20"/>
      <c r="S402" s="19">
        <v>0.8</v>
      </c>
      <c r="T402" s="20">
        <f t="shared" si="37"/>
        <v>23.863636363636363</v>
      </c>
      <c r="U402" s="20">
        <v>0.27</v>
      </c>
      <c r="V402" s="20">
        <f t="shared" si="38"/>
        <v>11.34</v>
      </c>
      <c r="W402" s="20"/>
      <c r="X402" s="20"/>
      <c r="Y402" s="20">
        <f t="shared" si="39"/>
        <v>0</v>
      </c>
      <c r="Z402" s="21">
        <f t="shared" si="40"/>
        <v>-1259.5</v>
      </c>
      <c r="AA402" s="20"/>
      <c r="AB402" s="20"/>
      <c r="AC402" s="20"/>
      <c r="AD402" s="20">
        <f t="shared" si="41"/>
        <v>0</v>
      </c>
      <c r="AE402" s="20"/>
      <c r="AF402" s="20"/>
      <c r="AG402" s="20"/>
      <c r="AH402" s="20"/>
      <c r="AI402" s="20">
        <f t="shared" si="42"/>
        <v>0</v>
      </c>
      <c r="AJ402" s="20"/>
    </row>
    <row r="403" spans="2:36">
      <c r="B403" s="11" t="s">
        <v>941</v>
      </c>
      <c r="C403" s="12" t="s">
        <v>942</v>
      </c>
      <c r="D403" s="12" t="s">
        <v>38</v>
      </c>
      <c r="E403" s="13" t="s">
        <v>39</v>
      </c>
      <c r="F403" s="14" t="str">
        <f>_xlfn.XLOOKUP(B403,'[1]Synthese suivi modernisation'!A:A,'[1]Synthese suivi modernisation'!S:S)</f>
        <v>SACRE_COEUR</v>
      </c>
      <c r="G403" s="14" t="str">
        <f>_xlfn.XLOOKUP(B403,'[1]Synthese suivi modernisation'!A:A,'[1]Synthese suivi modernisation'!T:T)</f>
        <v>DAKAR</v>
      </c>
      <c r="H403" s="20" t="s">
        <v>242</v>
      </c>
      <c r="I403" s="20" t="s">
        <v>143</v>
      </c>
      <c r="J403" s="16" t="s">
        <v>242</v>
      </c>
      <c r="K403" s="24">
        <v>5000</v>
      </c>
      <c r="L403" s="14">
        <v>2</v>
      </c>
      <c r="M403" s="17" t="s">
        <v>73</v>
      </c>
      <c r="N403" s="16" t="s">
        <v>943</v>
      </c>
      <c r="O403" s="16">
        <v>440</v>
      </c>
      <c r="P403" s="18">
        <v>47.5</v>
      </c>
      <c r="Q403" s="20"/>
      <c r="R403" s="20"/>
      <c r="S403" s="19">
        <v>0.8</v>
      </c>
      <c r="T403" s="20">
        <f t="shared" si="37"/>
        <v>0.56818181818181823</v>
      </c>
      <c r="U403" s="20">
        <v>0.27</v>
      </c>
      <c r="V403" s="20">
        <f t="shared" si="38"/>
        <v>0.54</v>
      </c>
      <c r="W403" s="20"/>
      <c r="X403" s="20"/>
      <c r="Y403" s="20">
        <f t="shared" si="39"/>
        <v>0</v>
      </c>
      <c r="Z403" s="21">
        <f t="shared" si="40"/>
        <v>-47.5</v>
      </c>
      <c r="AA403" s="20"/>
      <c r="AB403" s="20"/>
      <c r="AC403" s="20"/>
      <c r="AD403" s="20">
        <f t="shared" si="41"/>
        <v>0</v>
      </c>
      <c r="AE403" s="20"/>
      <c r="AF403" s="20"/>
      <c r="AG403" s="20"/>
      <c r="AH403" s="20"/>
      <c r="AI403" s="20">
        <f t="shared" si="42"/>
        <v>0</v>
      </c>
      <c r="AJ403" s="20"/>
    </row>
    <row r="404" spans="2:36">
      <c r="B404" s="11" t="s">
        <v>944</v>
      </c>
      <c r="C404" s="12" t="s">
        <v>945</v>
      </c>
      <c r="D404" s="12" t="s">
        <v>38</v>
      </c>
      <c r="E404" s="13" t="s">
        <v>39</v>
      </c>
      <c r="F404" s="14" t="str">
        <f>_xlfn.XLOOKUP(B404,'[1]Synthese suivi modernisation'!A:A,'[1]Synthese suivi modernisation'!S:S)</f>
        <v>THIES</v>
      </c>
      <c r="G404" s="14" t="str">
        <f>_xlfn.XLOOKUP(B404,'[1]Synthese suivi modernisation'!A:A,'[1]Synthese suivi modernisation'!T:T)</f>
        <v>THIES</v>
      </c>
      <c r="H404" s="20" t="s">
        <v>70</v>
      </c>
      <c r="I404" s="20" t="s">
        <v>71</v>
      </c>
      <c r="J404" s="16" t="s">
        <v>70</v>
      </c>
      <c r="K404" s="24">
        <v>8000</v>
      </c>
      <c r="L404" s="14">
        <v>7</v>
      </c>
      <c r="M404" s="17" t="s">
        <v>73</v>
      </c>
      <c r="N404" s="16" t="s">
        <v>946</v>
      </c>
      <c r="O404" s="16">
        <v>44</v>
      </c>
      <c r="P404" s="18">
        <v>33</v>
      </c>
      <c r="Q404" s="20"/>
      <c r="R404" s="20"/>
      <c r="S404" s="19">
        <v>0.8</v>
      </c>
      <c r="T404" s="20">
        <f t="shared" si="37"/>
        <v>19.886363636363637</v>
      </c>
      <c r="U404" s="20">
        <v>0.27</v>
      </c>
      <c r="V404" s="20">
        <f t="shared" si="38"/>
        <v>1.8900000000000001</v>
      </c>
      <c r="W404" s="20"/>
      <c r="X404" s="20"/>
      <c r="Y404" s="20">
        <f t="shared" si="39"/>
        <v>0</v>
      </c>
      <c r="Z404" s="21">
        <f t="shared" si="40"/>
        <v>-33</v>
      </c>
      <c r="AA404" s="20"/>
      <c r="AB404" s="20"/>
      <c r="AC404" s="20"/>
      <c r="AD404" s="20">
        <f t="shared" si="41"/>
        <v>0</v>
      </c>
      <c r="AE404" s="20"/>
      <c r="AF404" s="20"/>
      <c r="AG404" s="20"/>
      <c r="AH404" s="20"/>
      <c r="AI404" s="20">
        <f t="shared" si="42"/>
        <v>0</v>
      </c>
      <c r="AJ404" s="20"/>
    </row>
    <row r="405" spans="2:36">
      <c r="B405" s="11" t="s">
        <v>947</v>
      </c>
      <c r="C405" s="12" t="s">
        <v>948</v>
      </c>
      <c r="D405" s="12" t="s">
        <v>38</v>
      </c>
      <c r="E405" s="13" t="s">
        <v>39</v>
      </c>
      <c r="F405" s="14" t="str">
        <f>_xlfn.XLOOKUP(B405,'[1]Synthese suivi modernisation'!A:A,'[1]Synthese suivi modernisation'!S:S)</f>
        <v>KAOLACK</v>
      </c>
      <c r="G405" s="14" t="str">
        <f>_xlfn.XLOOKUP(B405,'[1]Synthese suivi modernisation'!A:A,'[1]Synthese suivi modernisation'!T:T)</f>
        <v>KAOLACK</v>
      </c>
      <c r="H405" s="20" t="s">
        <v>54</v>
      </c>
      <c r="I405" s="14" t="s">
        <v>41</v>
      </c>
      <c r="J405" s="23" t="s">
        <v>40</v>
      </c>
      <c r="K405" s="24">
        <v>2750</v>
      </c>
      <c r="L405" s="14">
        <v>3.25</v>
      </c>
      <c r="M405" s="17" t="s">
        <v>42</v>
      </c>
      <c r="N405" s="16" t="s">
        <v>55</v>
      </c>
      <c r="O405" s="16">
        <v>33</v>
      </c>
      <c r="P405" s="18">
        <v>200.25</v>
      </c>
      <c r="Q405" s="20"/>
      <c r="R405" s="20"/>
      <c r="S405" s="19">
        <v>0.8</v>
      </c>
      <c r="T405" s="20">
        <f t="shared" si="37"/>
        <v>12.310606060606059</v>
      </c>
      <c r="U405" s="20">
        <v>0.27</v>
      </c>
      <c r="V405" s="20">
        <f t="shared" si="38"/>
        <v>0.87750000000000006</v>
      </c>
      <c r="W405" s="20"/>
      <c r="X405" s="20"/>
      <c r="Y405" s="20">
        <f t="shared" si="39"/>
        <v>0</v>
      </c>
      <c r="Z405" s="21">
        <f t="shared" si="40"/>
        <v>-200.25</v>
      </c>
      <c r="AA405" s="20"/>
      <c r="AB405" s="20"/>
      <c r="AC405" s="20"/>
      <c r="AD405" s="20">
        <f t="shared" si="41"/>
        <v>0</v>
      </c>
      <c r="AE405" s="20"/>
      <c r="AF405" s="20"/>
      <c r="AG405" s="20"/>
      <c r="AH405" s="20"/>
      <c r="AI405" s="20">
        <f t="shared" si="42"/>
        <v>0</v>
      </c>
      <c r="AJ405" s="20"/>
    </row>
    <row r="406" spans="2:36">
      <c r="B406" s="11" t="s">
        <v>949</v>
      </c>
      <c r="C406" s="12" t="s">
        <v>950</v>
      </c>
      <c r="D406" s="12" t="s">
        <v>38</v>
      </c>
      <c r="E406" s="13" t="s">
        <v>39</v>
      </c>
      <c r="F406" s="14" t="str">
        <f>_xlfn.XLOOKUP(B406,'[1]Synthese suivi modernisation'!A:A,'[1]Synthese suivi modernisation'!S:S)</f>
        <v>SOKONE</v>
      </c>
      <c r="G406" s="14" t="str">
        <f>_xlfn.XLOOKUP(B406,'[1]Synthese suivi modernisation'!A:A,'[1]Synthese suivi modernisation'!T:T)</f>
        <v>KAOLACK</v>
      </c>
      <c r="H406" s="20" t="s">
        <v>40</v>
      </c>
      <c r="I406" s="14" t="s">
        <v>41</v>
      </c>
      <c r="J406" s="16" t="s">
        <v>40</v>
      </c>
      <c r="K406" s="24">
        <v>3000</v>
      </c>
      <c r="L406" s="14">
        <v>3.5</v>
      </c>
      <c r="M406" s="17" t="s">
        <v>42</v>
      </c>
      <c r="N406" s="16" t="s">
        <v>80</v>
      </c>
      <c r="O406" s="16">
        <v>33</v>
      </c>
      <c r="P406" s="18">
        <v>243.33333333333334</v>
      </c>
      <c r="Q406" s="20"/>
      <c r="R406" s="20"/>
      <c r="S406" s="19">
        <v>0.8</v>
      </c>
      <c r="T406" s="20">
        <f t="shared" si="37"/>
        <v>13.257575757575758</v>
      </c>
      <c r="U406" s="20">
        <v>0.27</v>
      </c>
      <c r="V406" s="20">
        <f t="shared" si="38"/>
        <v>0.94500000000000006</v>
      </c>
      <c r="W406" s="20"/>
      <c r="X406" s="20"/>
      <c r="Y406" s="20">
        <f t="shared" si="39"/>
        <v>0</v>
      </c>
      <c r="Z406" s="21">
        <f t="shared" si="40"/>
        <v>-243.33333333333334</v>
      </c>
      <c r="AA406" s="20"/>
      <c r="AB406" s="20"/>
      <c r="AC406" s="20"/>
      <c r="AD406" s="20">
        <f t="shared" si="41"/>
        <v>0</v>
      </c>
      <c r="AE406" s="20"/>
      <c r="AF406" s="20"/>
      <c r="AG406" s="20"/>
      <c r="AH406" s="20"/>
      <c r="AI406" s="20">
        <f t="shared" si="42"/>
        <v>0</v>
      </c>
      <c r="AJ406" s="20"/>
    </row>
    <row r="407" spans="2:36">
      <c r="B407" s="11" t="s">
        <v>951</v>
      </c>
      <c r="C407" s="12" t="s">
        <v>952</v>
      </c>
      <c r="D407" s="12" t="s">
        <v>38</v>
      </c>
      <c r="E407" s="13" t="s">
        <v>39</v>
      </c>
      <c r="F407" s="14" t="str">
        <f>_xlfn.XLOOKUP(B407,'[1]Synthese suivi modernisation'!A:A,'[1]Synthese suivi modernisation'!S:S)</f>
        <v>DIOURBEL</v>
      </c>
      <c r="G407" s="14" t="str">
        <f>_xlfn.XLOOKUP(B407,'[1]Synthese suivi modernisation'!A:A,'[1]Synthese suivi modernisation'!T:T)</f>
        <v>THIES</v>
      </c>
      <c r="H407" s="20" t="s">
        <v>66</v>
      </c>
      <c r="I407" s="14" t="s">
        <v>41</v>
      </c>
      <c r="J407" s="16" t="s">
        <v>66</v>
      </c>
      <c r="K407" s="24">
        <v>5000</v>
      </c>
      <c r="L407" s="14">
        <v>5</v>
      </c>
      <c r="M407" s="17" t="s">
        <v>42</v>
      </c>
      <c r="N407" s="16" t="s">
        <v>67</v>
      </c>
      <c r="O407" s="16">
        <v>50</v>
      </c>
      <c r="P407" s="18">
        <v>338.33333333333331</v>
      </c>
      <c r="Q407" s="20"/>
      <c r="R407" s="20"/>
      <c r="S407" s="19">
        <v>0.8</v>
      </c>
      <c r="T407" s="20">
        <f t="shared" si="37"/>
        <v>12.5</v>
      </c>
      <c r="U407" s="20">
        <v>0.27</v>
      </c>
      <c r="V407" s="20">
        <f t="shared" si="38"/>
        <v>1.35</v>
      </c>
      <c r="W407" s="20"/>
      <c r="X407" s="20"/>
      <c r="Y407" s="20">
        <f t="shared" si="39"/>
        <v>0</v>
      </c>
      <c r="Z407" s="21">
        <f t="shared" si="40"/>
        <v>-338.33333333333331</v>
      </c>
      <c r="AA407" s="20"/>
      <c r="AB407" s="20"/>
      <c r="AC407" s="20"/>
      <c r="AD407" s="20">
        <f t="shared" si="41"/>
        <v>0</v>
      </c>
      <c r="AE407" s="20"/>
      <c r="AF407" s="20"/>
      <c r="AG407" s="20"/>
      <c r="AH407" s="20"/>
      <c r="AI407" s="20">
        <f t="shared" si="42"/>
        <v>0</v>
      </c>
      <c r="AJ407" s="20"/>
    </row>
    <row r="408" spans="2:36">
      <c r="B408" s="11" t="s">
        <v>953</v>
      </c>
      <c r="C408" s="12" t="s">
        <v>954</v>
      </c>
      <c r="D408" s="12" t="s">
        <v>38</v>
      </c>
      <c r="E408" s="13" t="s">
        <v>39</v>
      </c>
      <c r="F408" s="14" t="str">
        <f>_xlfn.XLOOKUP(B408,'[1]Synthese suivi modernisation'!A:A,'[1]Synthese suivi modernisation'!S:S)</f>
        <v>ZIGUINCHOR</v>
      </c>
      <c r="G408" s="14" t="str">
        <f>_xlfn.XLOOKUP(B408,'[1]Synthese suivi modernisation'!A:A,'[1]Synthese suivi modernisation'!T:T)</f>
        <v>ZIGUINCHOR</v>
      </c>
      <c r="H408" s="20" t="s">
        <v>70</v>
      </c>
      <c r="I408" s="20" t="s">
        <v>71</v>
      </c>
      <c r="J408" s="16" t="s">
        <v>72</v>
      </c>
      <c r="K408" s="24">
        <v>5000</v>
      </c>
      <c r="L408" s="14">
        <v>5</v>
      </c>
      <c r="M408" s="17" t="s">
        <v>73</v>
      </c>
      <c r="N408" s="16" t="s">
        <v>74</v>
      </c>
      <c r="O408" s="16">
        <v>30</v>
      </c>
      <c r="P408" s="18">
        <v>0</v>
      </c>
      <c r="Q408" s="20"/>
      <c r="R408" s="20"/>
      <c r="S408" s="19">
        <v>0.8</v>
      </c>
      <c r="T408" s="20">
        <f t="shared" si="37"/>
        <v>20.833333333333336</v>
      </c>
      <c r="U408" s="20">
        <v>0.27</v>
      </c>
      <c r="V408" s="20">
        <f t="shared" si="38"/>
        <v>1.35</v>
      </c>
      <c r="W408" s="20"/>
      <c r="X408" s="20"/>
      <c r="Y408" s="20">
        <f t="shared" si="39"/>
        <v>0</v>
      </c>
      <c r="Z408" s="21">
        <f t="shared" si="40"/>
        <v>0</v>
      </c>
      <c r="AA408" s="20"/>
      <c r="AB408" s="20"/>
      <c r="AC408" s="20"/>
      <c r="AD408" s="20">
        <f t="shared" si="41"/>
        <v>0</v>
      </c>
      <c r="AE408" s="20"/>
      <c r="AF408" s="20"/>
      <c r="AG408" s="20"/>
      <c r="AH408" s="20"/>
      <c r="AI408" s="20">
        <f t="shared" si="42"/>
        <v>0</v>
      </c>
      <c r="AJ408" s="20"/>
    </row>
    <row r="409" spans="2:36">
      <c r="B409" s="11" t="s">
        <v>955</v>
      </c>
      <c r="C409" s="12" t="s">
        <v>956</v>
      </c>
      <c r="D409" s="12" t="s">
        <v>38</v>
      </c>
      <c r="E409" s="13" t="s">
        <v>39</v>
      </c>
      <c r="F409" s="14" t="str">
        <f>_xlfn.XLOOKUP(B409,'[1]Synthese suivi modernisation'!A:A,'[1]Synthese suivi modernisation'!S:S)</f>
        <v>THIES</v>
      </c>
      <c r="G409" s="14" t="str">
        <f>_xlfn.XLOOKUP(B409,'[1]Synthese suivi modernisation'!A:A,'[1]Synthese suivi modernisation'!T:T)</f>
        <v>THIES</v>
      </c>
      <c r="H409" s="20" t="s">
        <v>70</v>
      </c>
      <c r="I409" s="20" t="s">
        <v>71</v>
      </c>
      <c r="J409" s="16" t="s">
        <v>70</v>
      </c>
      <c r="K409" s="24">
        <v>12000</v>
      </c>
      <c r="L409" s="14">
        <v>11</v>
      </c>
      <c r="M409" s="17" t="s">
        <v>73</v>
      </c>
      <c r="N409" s="16" t="s">
        <v>493</v>
      </c>
      <c r="O409" s="16">
        <v>110</v>
      </c>
      <c r="P409" s="18">
        <v>66.583333333333329</v>
      </c>
      <c r="Q409" s="20"/>
      <c r="R409" s="20"/>
      <c r="S409" s="19">
        <v>0.8</v>
      </c>
      <c r="T409" s="20">
        <f t="shared" si="37"/>
        <v>12.5</v>
      </c>
      <c r="U409" s="20">
        <v>0.27</v>
      </c>
      <c r="V409" s="20">
        <f t="shared" si="38"/>
        <v>2.97</v>
      </c>
      <c r="W409" s="20"/>
      <c r="X409" s="20"/>
      <c r="Y409" s="20">
        <f t="shared" si="39"/>
        <v>0</v>
      </c>
      <c r="Z409" s="21">
        <f t="shared" si="40"/>
        <v>-66.583333333333329</v>
      </c>
      <c r="AA409" s="20"/>
      <c r="AB409" s="20"/>
      <c r="AC409" s="20"/>
      <c r="AD409" s="20">
        <f t="shared" si="41"/>
        <v>0</v>
      </c>
      <c r="AE409" s="20"/>
      <c r="AF409" s="20"/>
      <c r="AG409" s="20"/>
      <c r="AH409" s="20"/>
      <c r="AI409" s="20">
        <f t="shared" si="42"/>
        <v>0</v>
      </c>
      <c r="AJ409" s="20"/>
    </row>
    <row r="410" spans="2:36">
      <c r="B410" s="11" t="s">
        <v>957</v>
      </c>
      <c r="C410" s="12" t="s">
        <v>958</v>
      </c>
      <c r="D410" s="12" t="s">
        <v>38</v>
      </c>
      <c r="E410" s="13" t="s">
        <v>39</v>
      </c>
      <c r="F410" s="14" t="str">
        <f>_xlfn.XLOOKUP(B410,'[1]Synthese suivi modernisation'!A:A,'[1]Synthese suivi modernisation'!S:S)</f>
        <v>TIVAOUANE</v>
      </c>
      <c r="G410" s="14" t="str">
        <f>_xlfn.XLOOKUP(B410,'[1]Synthese suivi modernisation'!A:A,'[1]Synthese suivi modernisation'!T:T)</f>
        <v>THIES</v>
      </c>
      <c r="H410" s="20" t="s">
        <v>70</v>
      </c>
      <c r="I410" s="20" t="s">
        <v>71</v>
      </c>
      <c r="J410" s="16" t="s">
        <v>70</v>
      </c>
      <c r="K410" s="24">
        <v>18000</v>
      </c>
      <c r="L410" s="14">
        <v>21</v>
      </c>
      <c r="M410" s="17" t="s">
        <v>73</v>
      </c>
      <c r="N410" s="16" t="s">
        <v>116</v>
      </c>
      <c r="O410" s="16">
        <v>66</v>
      </c>
      <c r="P410" s="18">
        <v>97.25</v>
      </c>
      <c r="Q410" s="20"/>
      <c r="R410" s="20"/>
      <c r="S410" s="19">
        <v>0.8</v>
      </c>
      <c r="T410" s="20">
        <f t="shared" si="37"/>
        <v>39.772727272727273</v>
      </c>
      <c r="U410" s="20">
        <v>0.27</v>
      </c>
      <c r="V410" s="20">
        <f t="shared" si="38"/>
        <v>5.67</v>
      </c>
      <c r="W410" s="20"/>
      <c r="X410" s="20"/>
      <c r="Y410" s="20">
        <f t="shared" si="39"/>
        <v>0</v>
      </c>
      <c r="Z410" s="21">
        <f t="shared" si="40"/>
        <v>-97.25</v>
      </c>
      <c r="AA410" s="20"/>
      <c r="AB410" s="20"/>
      <c r="AC410" s="20"/>
      <c r="AD410" s="20">
        <f t="shared" si="41"/>
        <v>0</v>
      </c>
      <c r="AE410" s="20"/>
      <c r="AF410" s="20"/>
      <c r="AG410" s="20"/>
      <c r="AH410" s="20"/>
      <c r="AI410" s="20">
        <f t="shared" si="42"/>
        <v>0</v>
      </c>
      <c r="AJ410" s="20"/>
    </row>
    <row r="411" spans="2:36">
      <c r="B411" s="11" t="s">
        <v>959</v>
      </c>
      <c r="C411" s="12" t="s">
        <v>960</v>
      </c>
      <c r="D411" s="12" t="s">
        <v>38</v>
      </c>
      <c r="E411" s="13" t="s">
        <v>39</v>
      </c>
      <c r="F411" s="14" t="str">
        <f>_xlfn.XLOOKUP(B411,'[1]Synthese suivi modernisation'!A:A,'[1]Synthese suivi modernisation'!S:S)</f>
        <v>KAFFRINE</v>
      </c>
      <c r="G411" s="14" t="str">
        <f>_xlfn.XLOOKUP(B411,'[1]Synthese suivi modernisation'!A:A,'[1]Synthese suivi modernisation'!T:T)</f>
        <v>KAOLACK</v>
      </c>
      <c r="H411" s="20" t="s">
        <v>40</v>
      </c>
      <c r="I411" s="14" t="s">
        <v>41</v>
      </c>
      <c r="J411" s="23" t="s">
        <v>40</v>
      </c>
      <c r="K411" s="24">
        <v>2750</v>
      </c>
      <c r="L411" s="14">
        <v>4</v>
      </c>
      <c r="M411" s="17" t="s">
        <v>42</v>
      </c>
      <c r="N411" s="16" t="s">
        <v>67</v>
      </c>
      <c r="O411" s="16">
        <v>50</v>
      </c>
      <c r="P411" s="18">
        <v>341.66666666666669</v>
      </c>
      <c r="Q411" s="20"/>
      <c r="R411" s="20"/>
      <c r="S411" s="19">
        <v>0.8</v>
      </c>
      <c r="T411" s="20">
        <f t="shared" si="37"/>
        <v>10</v>
      </c>
      <c r="U411" s="20">
        <v>0.27</v>
      </c>
      <c r="V411" s="20">
        <f t="shared" si="38"/>
        <v>1.08</v>
      </c>
      <c r="W411" s="20"/>
      <c r="X411" s="20"/>
      <c r="Y411" s="20">
        <f t="shared" si="39"/>
        <v>0</v>
      </c>
      <c r="Z411" s="21">
        <f t="shared" si="40"/>
        <v>-341.66666666666669</v>
      </c>
      <c r="AA411" s="20"/>
      <c r="AB411" s="20"/>
      <c r="AC411" s="20"/>
      <c r="AD411" s="20">
        <f t="shared" si="41"/>
        <v>0</v>
      </c>
      <c r="AE411" s="20"/>
      <c r="AF411" s="20"/>
      <c r="AG411" s="20"/>
      <c r="AH411" s="20"/>
      <c r="AI411" s="20">
        <f t="shared" si="42"/>
        <v>0</v>
      </c>
      <c r="AJ411" s="20"/>
    </row>
    <row r="412" spans="2:36">
      <c r="B412" s="11" t="s">
        <v>961</v>
      </c>
      <c r="C412" s="12" t="s">
        <v>962</v>
      </c>
      <c r="D412" s="12" t="s">
        <v>38</v>
      </c>
      <c r="E412" s="13" t="s">
        <v>39</v>
      </c>
      <c r="F412" s="14" t="str">
        <f>_xlfn.XLOOKUP(B412,'[1]Synthese suivi modernisation'!A:A,'[1]Synthese suivi modernisation'!S:S)</f>
        <v>TOUBA01</v>
      </c>
      <c r="G412" s="14" t="str">
        <f>_xlfn.XLOOKUP(B412,'[1]Synthese suivi modernisation'!A:A,'[1]Synthese suivi modernisation'!T:T)</f>
        <v>THIES</v>
      </c>
      <c r="H412" s="20" t="s">
        <v>70</v>
      </c>
      <c r="I412" s="20" t="s">
        <v>71</v>
      </c>
      <c r="J412" s="16" t="s">
        <v>70</v>
      </c>
      <c r="K412" s="24">
        <v>12000</v>
      </c>
      <c r="L412" s="14">
        <v>18</v>
      </c>
      <c r="M412" s="17" t="s">
        <v>73</v>
      </c>
      <c r="N412" s="16" t="s">
        <v>410</v>
      </c>
      <c r="O412" s="16">
        <v>88</v>
      </c>
      <c r="P412" s="18">
        <v>85.416666666666671</v>
      </c>
      <c r="Q412" s="20"/>
      <c r="R412" s="20"/>
      <c r="S412" s="19">
        <v>0.8</v>
      </c>
      <c r="T412" s="20">
        <f t="shared" si="37"/>
        <v>25.568181818181817</v>
      </c>
      <c r="U412" s="20">
        <v>0.27</v>
      </c>
      <c r="V412" s="20">
        <f t="shared" si="38"/>
        <v>4.8600000000000003</v>
      </c>
      <c r="W412" s="20"/>
      <c r="X412" s="20"/>
      <c r="Y412" s="20">
        <f t="shared" si="39"/>
        <v>0</v>
      </c>
      <c r="Z412" s="21">
        <f t="shared" si="40"/>
        <v>-85.416666666666671</v>
      </c>
      <c r="AA412" s="20"/>
      <c r="AB412" s="20"/>
      <c r="AC412" s="20"/>
      <c r="AD412" s="20">
        <f t="shared" si="41"/>
        <v>0</v>
      </c>
      <c r="AE412" s="20"/>
      <c r="AF412" s="20"/>
      <c r="AG412" s="20"/>
      <c r="AH412" s="20"/>
      <c r="AI412" s="20">
        <f t="shared" si="42"/>
        <v>0</v>
      </c>
      <c r="AJ412" s="20"/>
    </row>
    <row r="413" spans="2:36">
      <c r="B413" s="11" t="s">
        <v>963</v>
      </c>
      <c r="C413" s="12" t="s">
        <v>964</v>
      </c>
      <c r="D413" s="12" t="s">
        <v>38</v>
      </c>
      <c r="E413" s="13" t="s">
        <v>39</v>
      </c>
      <c r="F413" s="14" t="str">
        <f>_xlfn.XLOOKUP(B413,'[1]Synthese suivi modernisation'!A:A,'[1]Synthese suivi modernisation'!S:S)</f>
        <v>TOUBA02</v>
      </c>
      <c r="G413" s="14" t="str">
        <f>_xlfn.XLOOKUP(B413,'[1]Synthese suivi modernisation'!A:A,'[1]Synthese suivi modernisation'!T:T)</f>
        <v>THIES</v>
      </c>
      <c r="H413" s="20" t="s">
        <v>142</v>
      </c>
      <c r="I413" s="20" t="s">
        <v>143</v>
      </c>
      <c r="J413" s="23" t="s">
        <v>142</v>
      </c>
      <c r="K413" s="24">
        <v>40000</v>
      </c>
      <c r="L413" s="14">
        <v>30</v>
      </c>
      <c r="M413" s="17" t="s">
        <v>73</v>
      </c>
      <c r="N413" s="16" t="s">
        <v>965</v>
      </c>
      <c r="O413" s="16">
        <v>220</v>
      </c>
      <c r="P413" s="18">
        <v>140.41666666666666</v>
      </c>
      <c r="Q413" s="20"/>
      <c r="R413" s="20"/>
      <c r="S413" s="19">
        <v>0.8</v>
      </c>
      <c r="T413" s="20">
        <f t="shared" si="37"/>
        <v>17.045454545454543</v>
      </c>
      <c r="U413" s="20">
        <v>0.27</v>
      </c>
      <c r="V413" s="20">
        <f t="shared" si="38"/>
        <v>8.1000000000000014</v>
      </c>
      <c r="W413" s="20"/>
      <c r="X413" s="20"/>
      <c r="Y413" s="20">
        <f t="shared" si="39"/>
        <v>0</v>
      </c>
      <c r="Z413" s="21">
        <f t="shared" si="40"/>
        <v>-140.41666666666666</v>
      </c>
      <c r="AA413" s="20"/>
      <c r="AB413" s="20"/>
      <c r="AC413" s="20"/>
      <c r="AD413" s="20">
        <f t="shared" si="41"/>
        <v>0</v>
      </c>
      <c r="AE413" s="20"/>
      <c r="AF413" s="20"/>
      <c r="AG413" s="20"/>
      <c r="AH413" s="20"/>
      <c r="AI413" s="20">
        <f t="shared" si="42"/>
        <v>0</v>
      </c>
      <c r="AJ413" s="20"/>
    </row>
    <row r="414" spans="2:36">
      <c r="B414" s="11" t="s">
        <v>966</v>
      </c>
      <c r="C414" s="12" t="s">
        <v>967</v>
      </c>
      <c r="D414" s="12" t="s">
        <v>38</v>
      </c>
      <c r="E414" s="13" t="s">
        <v>39</v>
      </c>
      <c r="F414" s="14" t="str">
        <f>_xlfn.XLOOKUP(B414,'[1]Synthese suivi modernisation'!A:A,'[1]Synthese suivi modernisation'!S:S)</f>
        <v>SOKONE</v>
      </c>
      <c r="G414" s="14" t="str">
        <f>_xlfn.XLOOKUP(B414,'[1]Synthese suivi modernisation'!A:A,'[1]Synthese suivi modernisation'!T:T)</f>
        <v>KAOLACK</v>
      </c>
      <c r="H414" s="20" t="s">
        <v>355</v>
      </c>
      <c r="I414" s="20" t="s">
        <v>71</v>
      </c>
      <c r="J414" s="16" t="s">
        <v>355</v>
      </c>
      <c r="K414" s="24">
        <v>6000</v>
      </c>
      <c r="L414" s="14">
        <v>8</v>
      </c>
      <c r="M414" s="17" t="s">
        <v>73</v>
      </c>
      <c r="N414" s="16" t="s">
        <v>63</v>
      </c>
      <c r="O414" s="16">
        <v>30</v>
      </c>
      <c r="P414" s="18">
        <v>51.666666666666664</v>
      </c>
      <c r="Q414" s="20"/>
      <c r="R414" s="20"/>
      <c r="S414" s="19">
        <v>0.8</v>
      </c>
      <c r="T414" s="20">
        <f t="shared" si="37"/>
        <v>33.333333333333329</v>
      </c>
      <c r="U414" s="20">
        <v>0.27</v>
      </c>
      <c r="V414" s="20">
        <f t="shared" si="38"/>
        <v>2.16</v>
      </c>
      <c r="W414" s="20"/>
      <c r="X414" s="20"/>
      <c r="Y414" s="20">
        <f t="shared" si="39"/>
        <v>0</v>
      </c>
      <c r="Z414" s="21">
        <f t="shared" si="40"/>
        <v>-51.666666666666664</v>
      </c>
      <c r="AA414" s="20"/>
      <c r="AB414" s="20"/>
      <c r="AC414" s="20"/>
      <c r="AD414" s="20">
        <f t="shared" si="41"/>
        <v>0</v>
      </c>
      <c r="AE414" s="20"/>
      <c r="AF414" s="20"/>
      <c r="AG414" s="20"/>
      <c r="AH414" s="20"/>
      <c r="AI414" s="20">
        <f t="shared" si="42"/>
        <v>0</v>
      </c>
      <c r="AJ414" s="20"/>
    </row>
    <row r="415" spans="2:36">
      <c r="B415" s="11" t="s">
        <v>968</v>
      </c>
      <c r="C415" s="12" t="s">
        <v>969</v>
      </c>
      <c r="D415" s="12" t="s">
        <v>38</v>
      </c>
      <c r="E415" s="13" t="s">
        <v>39</v>
      </c>
      <c r="F415" s="14" t="str">
        <f>_xlfn.XLOOKUP(B415,'[1]Synthese suivi modernisation'!A:A,'[1]Synthese suivi modernisation'!S:S)</f>
        <v>SACRE_COEUR</v>
      </c>
      <c r="G415" s="14" t="str">
        <f>_xlfn.XLOOKUP(B415,'[1]Synthese suivi modernisation'!A:A,'[1]Synthese suivi modernisation'!T:T)</f>
        <v>DAKAR</v>
      </c>
      <c r="H415" s="20" t="s">
        <v>242</v>
      </c>
      <c r="I415" s="20" t="s">
        <v>71</v>
      </c>
      <c r="J415" s="16" t="s">
        <v>970</v>
      </c>
      <c r="K415" s="24">
        <v>4000</v>
      </c>
      <c r="L415" s="14">
        <v>9</v>
      </c>
      <c r="M415" s="17" t="s">
        <v>73</v>
      </c>
      <c r="N415" s="16" t="s">
        <v>971</v>
      </c>
      <c r="O415" s="16">
        <v>66</v>
      </c>
      <c r="P415" s="18">
        <v>0</v>
      </c>
      <c r="Q415" s="20"/>
      <c r="R415" s="20"/>
      <c r="S415" s="19">
        <v>0.8</v>
      </c>
      <c r="T415" s="20">
        <f t="shared" si="37"/>
        <v>17.045454545454543</v>
      </c>
      <c r="U415" s="20">
        <v>0.27</v>
      </c>
      <c r="V415" s="20">
        <f t="shared" si="38"/>
        <v>2.4300000000000002</v>
      </c>
      <c r="W415" s="20"/>
      <c r="X415" s="20"/>
      <c r="Y415" s="20">
        <f t="shared" si="39"/>
        <v>0</v>
      </c>
      <c r="Z415" s="21">
        <f t="shared" si="40"/>
        <v>0</v>
      </c>
      <c r="AA415" s="20"/>
      <c r="AB415" s="20"/>
      <c r="AC415" s="20"/>
      <c r="AD415" s="20">
        <f t="shared" si="41"/>
        <v>0</v>
      </c>
      <c r="AE415" s="20"/>
      <c r="AF415" s="20"/>
      <c r="AG415" s="20"/>
      <c r="AH415" s="20"/>
      <c r="AI415" s="20">
        <f t="shared" si="42"/>
        <v>0</v>
      </c>
      <c r="AJ415" s="20"/>
    </row>
    <row r="416" spans="2:36">
      <c r="B416" s="11" t="s">
        <v>972</v>
      </c>
      <c r="C416" s="12" t="s">
        <v>973</v>
      </c>
      <c r="D416" s="12" t="s">
        <v>38</v>
      </c>
      <c r="E416" s="13" t="s">
        <v>39</v>
      </c>
      <c r="F416" s="14" t="str">
        <f>_xlfn.XLOOKUP(B416,'[1]Synthese suivi modernisation'!A:A,'[1]Synthese suivi modernisation'!S:S)</f>
        <v>ZIGUINCHOR</v>
      </c>
      <c r="G416" s="14" t="str">
        <f>_xlfn.XLOOKUP(B416,'[1]Synthese suivi modernisation'!A:A,'[1]Synthese suivi modernisation'!T:T)</f>
        <v>ZIGUINCHOR</v>
      </c>
      <c r="H416" s="20" t="s">
        <v>535</v>
      </c>
      <c r="I416" s="20" t="s">
        <v>71</v>
      </c>
      <c r="J416" s="16" t="s">
        <v>535</v>
      </c>
      <c r="K416" s="24">
        <v>11000</v>
      </c>
      <c r="L416" s="14">
        <v>11</v>
      </c>
      <c r="M416" s="17" t="s">
        <v>73</v>
      </c>
      <c r="N416" s="16" t="s">
        <v>974</v>
      </c>
      <c r="O416" s="16">
        <v>60</v>
      </c>
      <c r="P416" s="18">
        <v>91.916666666666671</v>
      </c>
      <c r="Q416" s="20"/>
      <c r="R416" s="20"/>
      <c r="S416" s="19">
        <v>0.8</v>
      </c>
      <c r="T416" s="20">
        <f t="shared" si="37"/>
        <v>22.916666666666664</v>
      </c>
      <c r="U416" s="20">
        <v>0.27</v>
      </c>
      <c r="V416" s="20">
        <f t="shared" si="38"/>
        <v>2.97</v>
      </c>
      <c r="W416" s="20"/>
      <c r="X416" s="20"/>
      <c r="Y416" s="20">
        <f t="shared" si="39"/>
        <v>0</v>
      </c>
      <c r="Z416" s="21">
        <f t="shared" si="40"/>
        <v>-91.916666666666671</v>
      </c>
      <c r="AA416" s="20"/>
      <c r="AB416" s="20"/>
      <c r="AC416" s="20"/>
      <c r="AD416" s="20">
        <f t="shared" si="41"/>
        <v>0</v>
      </c>
      <c r="AE416" s="20"/>
      <c r="AF416" s="20"/>
      <c r="AG416" s="20"/>
      <c r="AH416" s="20"/>
      <c r="AI416" s="20">
        <f t="shared" si="42"/>
        <v>0</v>
      </c>
      <c r="AJ416" s="20"/>
    </row>
    <row r="417" spans="2:36">
      <c r="B417" s="11" t="s">
        <v>975</v>
      </c>
      <c r="C417" s="12" t="s">
        <v>976</v>
      </c>
      <c r="D417" s="12" t="s">
        <v>38</v>
      </c>
      <c r="E417" s="13" t="s">
        <v>39</v>
      </c>
      <c r="F417" s="14" t="str">
        <f>_xlfn.XLOOKUP(B417,'[1]Synthese suivi modernisation'!A:A,'[1]Synthese suivi modernisation'!S:S)</f>
        <v>ZIGUINCHOR</v>
      </c>
      <c r="G417" s="14" t="str">
        <f>_xlfn.XLOOKUP(B417,'[1]Synthese suivi modernisation'!A:A,'[1]Synthese suivi modernisation'!T:T)</f>
        <v>ZIGUINCHOR</v>
      </c>
      <c r="H417" s="20" t="s">
        <v>70</v>
      </c>
      <c r="I417" s="20" t="s">
        <v>71</v>
      </c>
      <c r="J417" s="16" t="s">
        <v>70</v>
      </c>
      <c r="K417" s="24">
        <v>14000</v>
      </c>
      <c r="L417" s="14">
        <v>12</v>
      </c>
      <c r="M417" s="17" t="s">
        <v>73</v>
      </c>
      <c r="N417" s="16" t="s">
        <v>940</v>
      </c>
      <c r="O417" s="16">
        <v>220</v>
      </c>
      <c r="P417" s="18">
        <v>63.916666666666664</v>
      </c>
      <c r="Q417" s="20"/>
      <c r="R417" s="20"/>
      <c r="S417" s="19">
        <v>0.8</v>
      </c>
      <c r="T417" s="20">
        <f t="shared" si="37"/>
        <v>6.8181818181818175</v>
      </c>
      <c r="U417" s="20">
        <v>0.27</v>
      </c>
      <c r="V417" s="20">
        <f t="shared" si="38"/>
        <v>3.24</v>
      </c>
      <c r="W417" s="20"/>
      <c r="X417" s="20"/>
      <c r="Y417" s="20">
        <f t="shared" si="39"/>
        <v>0</v>
      </c>
      <c r="Z417" s="21">
        <f t="shared" si="40"/>
        <v>-63.916666666666664</v>
      </c>
      <c r="AA417" s="20"/>
      <c r="AB417" s="20"/>
      <c r="AC417" s="20"/>
      <c r="AD417" s="20">
        <f t="shared" si="41"/>
        <v>0</v>
      </c>
      <c r="AE417" s="20"/>
      <c r="AF417" s="20"/>
      <c r="AG417" s="20"/>
      <c r="AH417" s="20"/>
      <c r="AI417" s="20">
        <f t="shared" si="42"/>
        <v>0</v>
      </c>
      <c r="AJ417" s="20"/>
    </row>
    <row r="418" spans="2:36">
      <c r="B418" s="11" t="s">
        <v>977</v>
      </c>
      <c r="C418" s="12" t="s">
        <v>978</v>
      </c>
      <c r="D418" s="12" t="s">
        <v>38</v>
      </c>
      <c r="E418" s="13" t="s">
        <v>39</v>
      </c>
      <c r="F418" s="14" t="str">
        <f>_xlfn.XLOOKUP(B418,'[1]Synthese suivi modernisation'!A:A,'[1]Synthese suivi modernisation'!S:S)</f>
        <v>KAFFRINE</v>
      </c>
      <c r="G418" s="14" t="str">
        <f>_xlfn.XLOOKUP(B418,'[1]Synthese suivi modernisation'!A:A,'[1]Synthese suivi modernisation'!T:T)</f>
        <v>KAOLACK</v>
      </c>
      <c r="H418" s="20" t="s">
        <v>40</v>
      </c>
      <c r="I418" s="14" t="s">
        <v>41</v>
      </c>
      <c r="J418" s="16" t="s">
        <v>40</v>
      </c>
      <c r="K418" s="24">
        <v>1500</v>
      </c>
      <c r="L418" s="14">
        <v>2.5</v>
      </c>
      <c r="M418" s="17" t="s">
        <v>42</v>
      </c>
      <c r="N418" s="16" t="s">
        <v>80</v>
      </c>
      <c r="O418" s="16">
        <v>33</v>
      </c>
      <c r="P418" s="18">
        <v>109.33333333333333</v>
      </c>
      <c r="Q418" s="20"/>
      <c r="R418" s="20"/>
      <c r="S418" s="19">
        <v>0.8</v>
      </c>
      <c r="T418" s="20">
        <f t="shared" si="37"/>
        <v>9.4696969696969688</v>
      </c>
      <c r="U418" s="20">
        <v>0.27</v>
      </c>
      <c r="V418" s="20">
        <f t="shared" si="38"/>
        <v>0.67500000000000004</v>
      </c>
      <c r="W418" s="20"/>
      <c r="X418" s="20"/>
      <c r="Y418" s="20">
        <f t="shared" si="39"/>
        <v>0</v>
      </c>
      <c r="Z418" s="21">
        <f t="shared" si="40"/>
        <v>-109.33333333333333</v>
      </c>
      <c r="AA418" s="20"/>
      <c r="AB418" s="20"/>
      <c r="AC418" s="20"/>
      <c r="AD418" s="20">
        <f t="shared" si="41"/>
        <v>0</v>
      </c>
      <c r="AE418" s="20"/>
      <c r="AF418" s="20"/>
      <c r="AG418" s="20"/>
      <c r="AH418" s="20"/>
      <c r="AI418" s="20">
        <f t="shared" si="42"/>
        <v>0</v>
      </c>
      <c r="AJ418" s="20"/>
    </row>
    <row r="419" spans="2:36">
      <c r="B419" s="11" t="s">
        <v>979</v>
      </c>
      <c r="C419" s="12" t="s">
        <v>980</v>
      </c>
      <c r="D419" s="12" t="s">
        <v>38</v>
      </c>
      <c r="E419" s="13" t="s">
        <v>39</v>
      </c>
      <c r="F419" s="14" t="str">
        <f>_xlfn.XLOOKUP(B419,'[1]Synthese suivi modernisation'!A:A,'[1]Synthese suivi modernisation'!S:S)</f>
        <v>LOUGA</v>
      </c>
      <c r="G419" s="14" t="str">
        <f>_xlfn.XLOOKUP(B419,'[1]Synthese suivi modernisation'!A:A,'[1]Synthese suivi modernisation'!T:T)</f>
        <v>SAINT-LOUIS</v>
      </c>
      <c r="H419" s="20" t="s">
        <v>40</v>
      </c>
      <c r="I419" s="14" t="s">
        <v>41</v>
      </c>
      <c r="J419" s="16" t="s">
        <v>40</v>
      </c>
      <c r="K419" s="24">
        <v>1500</v>
      </c>
      <c r="L419" s="14">
        <v>3.5</v>
      </c>
      <c r="M419" s="17" t="s">
        <v>42</v>
      </c>
      <c r="N419" s="16" t="s">
        <v>80</v>
      </c>
      <c r="O419" s="16">
        <v>33</v>
      </c>
      <c r="P419" s="18">
        <v>205.41666666666666</v>
      </c>
      <c r="Q419" s="20"/>
      <c r="R419" s="20"/>
      <c r="S419" s="19">
        <v>0.8</v>
      </c>
      <c r="T419" s="20">
        <f t="shared" si="37"/>
        <v>13.257575757575758</v>
      </c>
      <c r="U419" s="20">
        <v>0.27</v>
      </c>
      <c r="V419" s="20">
        <f t="shared" si="38"/>
        <v>0.94500000000000006</v>
      </c>
      <c r="W419" s="20"/>
      <c r="X419" s="20"/>
      <c r="Y419" s="20">
        <f t="shared" si="39"/>
        <v>0</v>
      </c>
      <c r="Z419" s="21">
        <f t="shared" si="40"/>
        <v>-205.41666666666666</v>
      </c>
      <c r="AA419" s="20"/>
      <c r="AB419" s="20"/>
      <c r="AC419" s="20"/>
      <c r="AD419" s="20">
        <f t="shared" si="41"/>
        <v>0</v>
      </c>
      <c r="AE419" s="20"/>
      <c r="AF419" s="20"/>
      <c r="AG419" s="20"/>
      <c r="AH419" s="20"/>
      <c r="AI419" s="20">
        <f t="shared" si="42"/>
        <v>0</v>
      </c>
      <c r="AJ419" s="20"/>
    </row>
    <row r="420" spans="2:36">
      <c r="B420" s="11" t="s">
        <v>981</v>
      </c>
      <c r="C420" s="12" t="s">
        <v>982</v>
      </c>
      <c r="D420" s="12" t="s">
        <v>38</v>
      </c>
      <c r="E420" s="13" t="s">
        <v>39</v>
      </c>
      <c r="F420" s="14" t="str">
        <f>_xlfn.XLOOKUP(B420,'[1]Synthese suivi modernisation'!A:A,'[1]Synthese suivi modernisation'!S:S)</f>
        <v>LOUGA</v>
      </c>
      <c r="G420" s="14" t="str">
        <f>_xlfn.XLOOKUP(B420,'[1]Synthese suivi modernisation'!A:A,'[1]Synthese suivi modernisation'!T:T)</f>
        <v>SAINT-LOUIS</v>
      </c>
      <c r="H420" s="20" t="s">
        <v>40</v>
      </c>
      <c r="I420" s="14" t="s">
        <v>41</v>
      </c>
      <c r="J420" s="16" t="s">
        <v>40</v>
      </c>
      <c r="K420" s="24">
        <v>2000</v>
      </c>
      <c r="L420" s="14">
        <v>3</v>
      </c>
      <c r="M420" s="17" t="s">
        <v>42</v>
      </c>
      <c r="N420" s="16" t="s">
        <v>80</v>
      </c>
      <c r="O420" s="16">
        <v>33</v>
      </c>
      <c r="P420" s="18">
        <v>271.91666666666669</v>
      </c>
      <c r="Q420" s="20"/>
      <c r="R420" s="20"/>
      <c r="S420" s="19">
        <v>0.8</v>
      </c>
      <c r="T420" s="20">
        <f t="shared" si="37"/>
        <v>11.363636363636363</v>
      </c>
      <c r="U420" s="20">
        <v>0.27</v>
      </c>
      <c r="V420" s="20">
        <f t="shared" si="38"/>
        <v>0.81</v>
      </c>
      <c r="W420" s="20"/>
      <c r="X420" s="20"/>
      <c r="Y420" s="20">
        <f t="shared" si="39"/>
        <v>0</v>
      </c>
      <c r="Z420" s="21">
        <f t="shared" si="40"/>
        <v>-271.91666666666669</v>
      </c>
      <c r="AA420" s="20"/>
      <c r="AB420" s="20"/>
      <c r="AC420" s="20"/>
      <c r="AD420" s="20">
        <f t="shared" si="41"/>
        <v>0</v>
      </c>
      <c r="AE420" s="20"/>
      <c r="AF420" s="20"/>
      <c r="AG420" s="20"/>
      <c r="AH420" s="20"/>
      <c r="AI420" s="20">
        <f t="shared" si="42"/>
        <v>0</v>
      </c>
      <c r="AJ420" s="20"/>
    </row>
    <row r="421" spans="2:36">
      <c r="B421" s="11" t="s">
        <v>983</v>
      </c>
      <c r="C421" s="12" t="s">
        <v>984</v>
      </c>
      <c r="D421" s="12" t="s">
        <v>38</v>
      </c>
      <c r="E421" s="13" t="s">
        <v>39</v>
      </c>
      <c r="F421" s="14" t="str">
        <f>_xlfn.XLOOKUP(B421,'[1]Synthese suivi modernisation'!A:A,'[1]Synthese suivi modernisation'!S:S)</f>
        <v>KAOLACK</v>
      </c>
      <c r="G421" s="14" t="str">
        <f>_xlfn.XLOOKUP(B421,'[1]Synthese suivi modernisation'!A:A,'[1]Synthese suivi modernisation'!T:T)</f>
        <v>KAOLACK</v>
      </c>
      <c r="H421" s="20" t="s">
        <v>54</v>
      </c>
      <c r="I421" s="14" t="s">
        <v>41</v>
      </c>
      <c r="J421" s="23" t="s">
        <v>40</v>
      </c>
      <c r="K421" s="24">
        <v>1750</v>
      </c>
      <c r="L421" s="14">
        <v>3</v>
      </c>
      <c r="M421" s="17" t="s">
        <v>42</v>
      </c>
      <c r="N421" s="16" t="s">
        <v>55</v>
      </c>
      <c r="O421" s="16">
        <v>33</v>
      </c>
      <c r="P421" s="18">
        <v>322.16666666666669</v>
      </c>
      <c r="Q421" s="20"/>
      <c r="R421" s="20"/>
      <c r="S421" s="19">
        <v>0.8</v>
      </c>
      <c r="T421" s="20">
        <f t="shared" si="37"/>
        <v>11.363636363636363</v>
      </c>
      <c r="U421" s="20">
        <v>0.27</v>
      </c>
      <c r="V421" s="20">
        <f t="shared" si="38"/>
        <v>0.81</v>
      </c>
      <c r="W421" s="20"/>
      <c r="X421" s="20"/>
      <c r="Y421" s="20">
        <f t="shared" si="39"/>
        <v>0</v>
      </c>
      <c r="Z421" s="21">
        <f t="shared" si="40"/>
        <v>-322.16666666666669</v>
      </c>
      <c r="AA421" s="20"/>
      <c r="AB421" s="20"/>
      <c r="AC421" s="20"/>
      <c r="AD421" s="20">
        <f t="shared" si="41"/>
        <v>0</v>
      </c>
      <c r="AE421" s="20"/>
      <c r="AF421" s="20"/>
      <c r="AG421" s="20"/>
      <c r="AH421" s="20"/>
      <c r="AI421" s="20">
        <f t="shared" si="42"/>
        <v>0</v>
      </c>
      <c r="AJ421" s="20"/>
    </row>
    <row r="422" spans="2:36">
      <c r="B422" s="11" t="s">
        <v>985</v>
      </c>
      <c r="C422" s="12" t="s">
        <v>986</v>
      </c>
      <c r="D422" s="12" t="s">
        <v>38</v>
      </c>
      <c r="E422" s="13" t="s">
        <v>39</v>
      </c>
      <c r="F422" s="14" t="str">
        <f>_xlfn.XLOOKUP(B422,'[1]Synthese suivi modernisation'!A:A,'[1]Synthese suivi modernisation'!S:S)</f>
        <v>KAOLACK</v>
      </c>
      <c r="G422" s="14" t="str">
        <f>_xlfn.XLOOKUP(B422,'[1]Synthese suivi modernisation'!A:A,'[1]Synthese suivi modernisation'!T:T)</f>
        <v>KAOLACK</v>
      </c>
      <c r="H422" s="20" t="s">
        <v>54</v>
      </c>
      <c r="I422" s="14" t="s">
        <v>41</v>
      </c>
      <c r="J422" s="23" t="s">
        <v>40</v>
      </c>
      <c r="K422" s="24">
        <v>1500</v>
      </c>
      <c r="L422" s="14">
        <v>3.5</v>
      </c>
      <c r="M422" s="17" t="s">
        <v>42</v>
      </c>
      <c r="N422" s="16" t="s">
        <v>55</v>
      </c>
      <c r="O422" s="16">
        <v>33</v>
      </c>
      <c r="P422" s="18">
        <v>221.5</v>
      </c>
      <c r="Q422" s="20"/>
      <c r="R422" s="20"/>
      <c r="S422" s="19">
        <v>0.8</v>
      </c>
      <c r="T422" s="20">
        <f t="shared" si="37"/>
        <v>13.257575757575758</v>
      </c>
      <c r="U422" s="20">
        <v>0.27</v>
      </c>
      <c r="V422" s="20">
        <f t="shared" si="38"/>
        <v>0.94500000000000006</v>
      </c>
      <c r="W422" s="20"/>
      <c r="X422" s="20"/>
      <c r="Y422" s="20">
        <f t="shared" si="39"/>
        <v>0</v>
      </c>
      <c r="Z422" s="21">
        <f t="shared" si="40"/>
        <v>-221.5</v>
      </c>
      <c r="AA422" s="20"/>
      <c r="AB422" s="20"/>
      <c r="AC422" s="20"/>
      <c r="AD422" s="20">
        <f t="shared" si="41"/>
        <v>0</v>
      </c>
      <c r="AE422" s="20"/>
      <c r="AF422" s="20"/>
      <c r="AG422" s="20"/>
      <c r="AH422" s="20"/>
      <c r="AI422" s="20">
        <f t="shared" si="42"/>
        <v>0</v>
      </c>
      <c r="AJ422" s="20"/>
    </row>
    <row r="423" spans="2:36">
      <c r="B423" s="11" t="s">
        <v>987</v>
      </c>
      <c r="C423" s="12" t="s">
        <v>988</v>
      </c>
      <c r="D423" s="12" t="s">
        <v>38</v>
      </c>
      <c r="E423" s="13" t="s">
        <v>39</v>
      </c>
      <c r="F423" s="14" t="str">
        <f>_xlfn.XLOOKUP(B423,'[1]Synthese suivi modernisation'!A:A,'[1]Synthese suivi modernisation'!S:S)</f>
        <v>LOUGA</v>
      </c>
      <c r="G423" s="14" t="str">
        <f>_xlfn.XLOOKUP(B423,'[1]Synthese suivi modernisation'!A:A,'[1]Synthese suivi modernisation'!T:T)</f>
        <v>SAINT-LOUIS</v>
      </c>
      <c r="H423" s="20" t="s">
        <v>54</v>
      </c>
      <c r="I423" s="14" t="s">
        <v>41</v>
      </c>
      <c r="J423" s="23" t="s">
        <v>40</v>
      </c>
      <c r="K423" s="24">
        <v>1500</v>
      </c>
      <c r="L423" s="14">
        <v>3.25</v>
      </c>
      <c r="M423" s="17" t="s">
        <v>42</v>
      </c>
      <c r="N423" s="16" t="s">
        <v>55</v>
      </c>
      <c r="O423" s="16">
        <v>33</v>
      </c>
      <c r="P423" s="18">
        <v>0</v>
      </c>
      <c r="Q423" s="20"/>
      <c r="R423" s="20"/>
      <c r="S423" s="19">
        <v>0.8</v>
      </c>
      <c r="T423" s="20">
        <f t="shared" si="37"/>
        <v>12.310606060606059</v>
      </c>
      <c r="U423" s="20">
        <v>0.27</v>
      </c>
      <c r="V423" s="20">
        <f t="shared" si="38"/>
        <v>0.87750000000000006</v>
      </c>
      <c r="W423" s="20"/>
      <c r="X423" s="20"/>
      <c r="Y423" s="20">
        <f t="shared" si="39"/>
        <v>0</v>
      </c>
      <c r="Z423" s="21">
        <f t="shared" si="40"/>
        <v>0</v>
      </c>
      <c r="AA423" s="20"/>
      <c r="AB423" s="20"/>
      <c r="AC423" s="20"/>
      <c r="AD423" s="20">
        <f t="shared" si="41"/>
        <v>0</v>
      </c>
      <c r="AE423" s="20"/>
      <c r="AF423" s="20"/>
      <c r="AG423" s="20"/>
      <c r="AH423" s="20"/>
      <c r="AI423" s="20">
        <f t="shared" si="42"/>
        <v>0</v>
      </c>
      <c r="AJ423" s="20"/>
    </row>
    <row r="424" spans="2:36">
      <c r="B424" s="11" t="s">
        <v>989</v>
      </c>
      <c r="C424" s="12" t="s">
        <v>990</v>
      </c>
      <c r="D424" s="12" t="s">
        <v>38</v>
      </c>
      <c r="E424" s="13" t="s">
        <v>39</v>
      </c>
      <c r="F424" s="14" t="str">
        <f>_xlfn.XLOOKUP(B424,'[1]Synthese suivi modernisation'!A:A,'[1]Synthese suivi modernisation'!S:S)</f>
        <v>KEDOUGOU</v>
      </c>
      <c r="G424" s="14" t="str">
        <f>_xlfn.XLOOKUP(B424,'[1]Synthese suivi modernisation'!A:A,'[1]Synthese suivi modernisation'!T:T)</f>
        <v>TAMBACOUNDA</v>
      </c>
      <c r="H424" s="20" t="s">
        <v>435</v>
      </c>
      <c r="I424" s="20" t="s">
        <v>71</v>
      </c>
      <c r="J424" s="23" t="s">
        <v>436</v>
      </c>
      <c r="K424" s="24">
        <v>2500</v>
      </c>
      <c r="L424" s="14">
        <v>9.5</v>
      </c>
      <c r="M424" s="17" t="s">
        <v>73</v>
      </c>
      <c r="N424" s="16" t="s">
        <v>55</v>
      </c>
      <c r="O424" s="16">
        <v>33</v>
      </c>
      <c r="P424" s="18">
        <v>28.583333333333332</v>
      </c>
      <c r="Q424" s="20"/>
      <c r="R424" s="20"/>
      <c r="S424" s="19">
        <v>0.8</v>
      </c>
      <c r="T424" s="20">
        <f t="shared" si="37"/>
        <v>35.984848484848477</v>
      </c>
      <c r="U424" s="20">
        <v>0.27</v>
      </c>
      <c r="V424" s="20">
        <f t="shared" si="38"/>
        <v>2.5650000000000004</v>
      </c>
      <c r="W424" s="20"/>
      <c r="X424" s="20"/>
      <c r="Y424" s="20">
        <f t="shared" si="39"/>
        <v>0</v>
      </c>
      <c r="Z424" s="21">
        <f t="shared" si="40"/>
        <v>-28.583333333333332</v>
      </c>
      <c r="AA424" s="20"/>
      <c r="AB424" s="20"/>
      <c r="AC424" s="20"/>
      <c r="AD424" s="20">
        <f t="shared" si="41"/>
        <v>0</v>
      </c>
      <c r="AE424" s="20"/>
      <c r="AF424" s="20"/>
      <c r="AG424" s="20"/>
      <c r="AH424" s="20"/>
      <c r="AI424" s="20">
        <f t="shared" si="42"/>
        <v>0</v>
      </c>
      <c r="AJ424" s="20"/>
    </row>
    <row r="425" spans="2:36">
      <c r="B425" s="11" t="s">
        <v>991</v>
      </c>
      <c r="C425" s="12" t="s">
        <v>992</v>
      </c>
      <c r="D425" s="12" t="s">
        <v>38</v>
      </c>
      <c r="E425" s="13" t="s">
        <v>993</v>
      </c>
      <c r="F425" s="14" t="str">
        <f>_xlfn.XLOOKUP(B425,'[1]Synthese suivi modernisation'!A:A,'[1]Synthese suivi modernisation'!S:S)</f>
        <v>SOKONE</v>
      </c>
      <c r="G425" s="14" t="str">
        <f>_xlfn.XLOOKUP(B425,'[1]Synthese suivi modernisation'!A:A,'[1]Synthese suivi modernisation'!T:T)</f>
        <v>KAOLACK</v>
      </c>
      <c r="H425" s="20" t="s">
        <v>40</v>
      </c>
      <c r="I425" s="14" t="s">
        <v>41</v>
      </c>
      <c r="J425" s="23" t="s">
        <v>40</v>
      </c>
      <c r="K425" s="24">
        <v>3000</v>
      </c>
      <c r="L425" s="14">
        <v>2.5</v>
      </c>
      <c r="M425" s="17" t="s">
        <v>994</v>
      </c>
      <c r="N425" s="16" t="s">
        <v>80</v>
      </c>
      <c r="O425" s="16">
        <v>33</v>
      </c>
      <c r="P425" s="18">
        <v>91.166666666666671</v>
      </c>
      <c r="Q425" s="20"/>
      <c r="R425" s="20"/>
      <c r="S425" s="19">
        <v>0.8</v>
      </c>
      <c r="T425" s="20">
        <f t="shared" si="37"/>
        <v>9.4696969696969688</v>
      </c>
      <c r="U425" s="20">
        <v>0.27</v>
      </c>
      <c r="V425" s="20">
        <f t="shared" si="38"/>
        <v>0.67500000000000004</v>
      </c>
      <c r="W425" s="20"/>
      <c r="X425" s="20"/>
      <c r="Y425" s="20">
        <f t="shared" si="39"/>
        <v>0</v>
      </c>
      <c r="Z425" s="21">
        <f t="shared" si="40"/>
        <v>-91.166666666666671</v>
      </c>
      <c r="AA425" s="20"/>
      <c r="AB425" s="20"/>
      <c r="AC425" s="20"/>
      <c r="AD425" s="20">
        <f t="shared" si="41"/>
        <v>0</v>
      </c>
      <c r="AE425" s="20"/>
      <c r="AF425" s="20"/>
      <c r="AG425" s="20"/>
      <c r="AH425" s="20"/>
      <c r="AI425" s="20">
        <f t="shared" si="42"/>
        <v>0</v>
      </c>
      <c r="AJ425" s="20"/>
    </row>
    <row r="426" spans="2:36">
      <c r="B426" s="11" t="s">
        <v>995</v>
      </c>
      <c r="C426" s="12" t="s">
        <v>996</v>
      </c>
      <c r="D426" s="12" t="s">
        <v>38</v>
      </c>
      <c r="E426" s="13" t="s">
        <v>993</v>
      </c>
      <c r="F426" s="14" t="str">
        <f>_xlfn.XLOOKUP(B426,'[1]Synthese suivi modernisation'!A:A,'[1]Synthese suivi modernisation'!S:S)</f>
        <v>NIORO</v>
      </c>
      <c r="G426" s="14" t="str">
        <f>_xlfn.XLOOKUP(B426,'[1]Synthese suivi modernisation'!A:A,'[1]Synthese suivi modernisation'!T:T)</f>
        <v>KAOLACK</v>
      </c>
      <c r="H426" s="20" t="s">
        <v>40</v>
      </c>
      <c r="I426" s="14" t="s">
        <v>41</v>
      </c>
      <c r="J426" s="23" t="s">
        <v>40</v>
      </c>
      <c r="K426" s="24">
        <v>3000</v>
      </c>
      <c r="L426" s="14">
        <v>2.5</v>
      </c>
      <c r="M426" s="17" t="s">
        <v>994</v>
      </c>
      <c r="N426" s="16" t="s">
        <v>67</v>
      </c>
      <c r="O426" s="16">
        <v>50</v>
      </c>
      <c r="P426" s="18">
        <v>91.166666666666671</v>
      </c>
      <c r="Q426" s="20"/>
      <c r="R426" s="20"/>
      <c r="S426" s="19">
        <v>0.8</v>
      </c>
      <c r="T426" s="20">
        <f t="shared" si="37"/>
        <v>6.25</v>
      </c>
      <c r="U426" s="20">
        <v>0.27</v>
      </c>
      <c r="V426" s="20">
        <f t="shared" si="38"/>
        <v>0.67500000000000004</v>
      </c>
      <c r="W426" s="20"/>
      <c r="X426" s="20"/>
      <c r="Y426" s="20">
        <f t="shared" si="39"/>
        <v>0</v>
      </c>
      <c r="Z426" s="21">
        <f t="shared" si="40"/>
        <v>-91.166666666666671</v>
      </c>
      <c r="AA426" s="20"/>
      <c r="AB426" s="20"/>
      <c r="AC426" s="20"/>
      <c r="AD426" s="20">
        <f t="shared" si="41"/>
        <v>0</v>
      </c>
      <c r="AE426" s="20"/>
      <c r="AF426" s="20"/>
      <c r="AG426" s="20"/>
      <c r="AH426" s="20"/>
      <c r="AI426" s="20">
        <f t="shared" si="42"/>
        <v>0</v>
      </c>
      <c r="AJ426" s="20"/>
    </row>
    <row r="427" spans="2:36">
      <c r="B427" s="11" t="s">
        <v>997</v>
      </c>
      <c r="C427" s="12" t="s">
        <v>998</v>
      </c>
      <c r="D427" s="12" t="s">
        <v>38</v>
      </c>
      <c r="E427" s="13" t="s">
        <v>993</v>
      </c>
      <c r="F427" s="14" t="str">
        <f>_xlfn.XLOOKUP(B427,'[1]Synthese suivi modernisation'!A:A,'[1]Synthese suivi modernisation'!S:S)</f>
        <v>TOUBA</v>
      </c>
      <c r="G427" s="14" t="str">
        <f>_xlfn.XLOOKUP(B427,'[1]Synthese suivi modernisation'!A:A,'[1]Synthese suivi modernisation'!T:T)</f>
        <v>THIES</v>
      </c>
      <c r="H427" s="20" t="s">
        <v>40</v>
      </c>
      <c r="I427" s="14" t="s">
        <v>41</v>
      </c>
      <c r="J427" s="16" t="s">
        <v>40</v>
      </c>
      <c r="K427" s="24">
        <v>5000</v>
      </c>
      <c r="L427" s="14">
        <v>4</v>
      </c>
      <c r="M427" s="17" t="s">
        <v>994</v>
      </c>
      <c r="N427" s="16" t="s">
        <v>999</v>
      </c>
      <c r="O427" s="16">
        <v>50</v>
      </c>
      <c r="P427" s="18">
        <v>372.16666666666669</v>
      </c>
      <c r="Q427" s="20"/>
      <c r="R427" s="20"/>
      <c r="S427" s="19">
        <v>0.8</v>
      </c>
      <c r="T427" s="20">
        <f t="shared" si="37"/>
        <v>10</v>
      </c>
      <c r="U427" s="20">
        <v>0.27</v>
      </c>
      <c r="V427" s="20">
        <f t="shared" si="38"/>
        <v>1.08</v>
      </c>
      <c r="W427" s="20"/>
      <c r="X427" s="20"/>
      <c r="Y427" s="20">
        <f t="shared" si="39"/>
        <v>0</v>
      </c>
      <c r="Z427" s="21">
        <f t="shared" si="40"/>
        <v>-372.16666666666669</v>
      </c>
      <c r="AA427" s="20"/>
      <c r="AB427" s="20"/>
      <c r="AC427" s="20"/>
      <c r="AD427" s="20">
        <f t="shared" si="41"/>
        <v>0</v>
      </c>
      <c r="AE427" s="20"/>
      <c r="AF427" s="20"/>
      <c r="AG427" s="20"/>
      <c r="AH427" s="20"/>
      <c r="AI427" s="20">
        <f t="shared" si="42"/>
        <v>0</v>
      </c>
      <c r="AJ427" s="20"/>
    </row>
    <row r="428" spans="2:36">
      <c r="B428" s="11" t="s">
        <v>1000</v>
      </c>
      <c r="C428" s="12" t="s">
        <v>1001</v>
      </c>
      <c r="D428" s="12" t="s">
        <v>38</v>
      </c>
      <c r="E428" s="13" t="s">
        <v>993</v>
      </c>
      <c r="F428" s="14" t="str">
        <f>_xlfn.XLOOKUP(B428,'[1]Synthese suivi modernisation'!A:A,'[1]Synthese suivi modernisation'!S:S)</f>
        <v>KAFFRINE</v>
      </c>
      <c r="G428" s="14" t="str">
        <f>_xlfn.XLOOKUP(B428,'[1]Synthese suivi modernisation'!A:A,'[1]Synthese suivi modernisation'!T:T)</f>
        <v>KAOLACK</v>
      </c>
      <c r="H428" s="20" t="s">
        <v>40</v>
      </c>
      <c r="I428" s="14" t="s">
        <v>41</v>
      </c>
      <c r="J428" s="16" t="s">
        <v>40</v>
      </c>
      <c r="K428" s="24">
        <v>3000</v>
      </c>
      <c r="L428" s="14">
        <v>2.5</v>
      </c>
      <c r="M428" s="17" t="s">
        <v>994</v>
      </c>
      <c r="N428" s="16" t="s">
        <v>80</v>
      </c>
      <c r="O428" s="16">
        <v>33</v>
      </c>
      <c r="P428" s="18">
        <v>109.33333333333333</v>
      </c>
      <c r="Q428" s="20"/>
      <c r="R428" s="20"/>
      <c r="S428" s="19">
        <v>0.8</v>
      </c>
      <c r="T428" s="20">
        <f t="shared" si="37"/>
        <v>9.4696969696969688</v>
      </c>
      <c r="U428" s="20">
        <v>0.27</v>
      </c>
      <c r="V428" s="20">
        <f t="shared" si="38"/>
        <v>0.67500000000000004</v>
      </c>
      <c r="W428" s="20"/>
      <c r="X428" s="20"/>
      <c r="Y428" s="20">
        <f t="shared" si="39"/>
        <v>0</v>
      </c>
      <c r="Z428" s="21">
        <f t="shared" si="40"/>
        <v>-109.33333333333333</v>
      </c>
      <c r="AA428" s="20"/>
      <c r="AB428" s="20"/>
      <c r="AC428" s="20"/>
      <c r="AD428" s="20">
        <f t="shared" si="41"/>
        <v>0</v>
      </c>
      <c r="AE428" s="20"/>
      <c r="AF428" s="20"/>
      <c r="AG428" s="20"/>
      <c r="AH428" s="20"/>
      <c r="AI428" s="20">
        <f t="shared" si="42"/>
        <v>0</v>
      </c>
      <c r="AJ428" s="20"/>
    </row>
    <row r="429" spans="2:36">
      <c r="B429" s="11" t="s">
        <v>1002</v>
      </c>
      <c r="C429" s="12" t="s">
        <v>1003</v>
      </c>
      <c r="D429" s="12" t="s">
        <v>38</v>
      </c>
      <c r="E429" s="13" t="s">
        <v>993</v>
      </c>
      <c r="F429" s="14" t="str">
        <f>_xlfn.XLOOKUP(B429,'[1]Synthese suivi modernisation'!A:A,'[1]Synthese suivi modernisation'!S:S)</f>
        <v>LOUGA</v>
      </c>
      <c r="G429" s="14" t="str">
        <f>_xlfn.XLOOKUP(B429,'[1]Synthese suivi modernisation'!A:A,'[1]Synthese suivi modernisation'!T:T)</f>
        <v>SAINT-LOUIS</v>
      </c>
      <c r="H429" s="20" t="s">
        <v>40</v>
      </c>
      <c r="I429" s="14" t="s">
        <v>41</v>
      </c>
      <c r="J429" s="23" t="s">
        <v>40</v>
      </c>
      <c r="K429" s="24">
        <v>3000</v>
      </c>
      <c r="L429" s="14">
        <v>3</v>
      </c>
      <c r="M429" s="17" t="s">
        <v>994</v>
      </c>
      <c r="N429" s="16" t="s">
        <v>80</v>
      </c>
      <c r="O429" s="16">
        <v>33</v>
      </c>
      <c r="P429" s="18">
        <v>271.91666666666669</v>
      </c>
      <c r="Q429" s="20"/>
      <c r="R429" s="20"/>
      <c r="S429" s="19">
        <v>0.8</v>
      </c>
      <c r="T429" s="20">
        <f t="shared" si="37"/>
        <v>11.363636363636363</v>
      </c>
      <c r="U429" s="20">
        <v>0.27</v>
      </c>
      <c r="V429" s="20">
        <f t="shared" si="38"/>
        <v>0.81</v>
      </c>
      <c r="W429" s="20"/>
      <c r="X429" s="20"/>
      <c r="Y429" s="20">
        <f t="shared" si="39"/>
        <v>0</v>
      </c>
      <c r="Z429" s="21">
        <f t="shared" si="40"/>
        <v>-271.91666666666669</v>
      </c>
      <c r="AA429" s="20"/>
      <c r="AB429" s="20"/>
      <c r="AC429" s="20"/>
      <c r="AD429" s="20">
        <f t="shared" si="41"/>
        <v>0</v>
      </c>
      <c r="AE429" s="20"/>
      <c r="AF429" s="20"/>
      <c r="AG429" s="20"/>
      <c r="AH429" s="20"/>
      <c r="AI429" s="20">
        <f t="shared" si="42"/>
        <v>0</v>
      </c>
      <c r="AJ429" s="20"/>
    </row>
    <row r="430" spans="2:36">
      <c r="B430" s="11" t="s">
        <v>1004</v>
      </c>
      <c r="C430" s="12" t="s">
        <v>1005</v>
      </c>
      <c r="D430" s="12" t="s">
        <v>38</v>
      </c>
      <c r="E430" s="13" t="s">
        <v>993</v>
      </c>
      <c r="F430" s="14" t="str">
        <f>_xlfn.XLOOKUP(B430,'[1]Synthese suivi modernisation'!A:A,'[1]Synthese suivi modernisation'!S:S)</f>
        <v>LOUGA</v>
      </c>
      <c r="G430" s="14" t="str">
        <f>_xlfn.XLOOKUP(B430,'[1]Synthese suivi modernisation'!A:A,'[1]Synthese suivi modernisation'!T:T)</f>
        <v>SAINT-LOUIS</v>
      </c>
      <c r="H430" s="20" t="s">
        <v>40</v>
      </c>
      <c r="I430" s="14" t="s">
        <v>41</v>
      </c>
      <c r="J430" s="23" t="s">
        <v>40</v>
      </c>
      <c r="K430" s="24">
        <v>3000</v>
      </c>
      <c r="L430" s="14">
        <v>3</v>
      </c>
      <c r="M430" s="17" t="s">
        <v>994</v>
      </c>
      <c r="N430" s="16" t="s">
        <v>80</v>
      </c>
      <c r="O430" s="16">
        <v>33</v>
      </c>
      <c r="P430" s="18">
        <v>271.91666666666669</v>
      </c>
      <c r="Q430" s="20"/>
      <c r="R430" s="20"/>
      <c r="S430" s="19">
        <v>0.8</v>
      </c>
      <c r="T430" s="20">
        <f t="shared" si="37"/>
        <v>11.363636363636363</v>
      </c>
      <c r="U430" s="20">
        <v>0.27</v>
      </c>
      <c r="V430" s="20">
        <f t="shared" si="38"/>
        <v>0.81</v>
      </c>
      <c r="W430" s="20"/>
      <c r="X430" s="20"/>
      <c r="Y430" s="20">
        <f t="shared" si="39"/>
        <v>0</v>
      </c>
      <c r="Z430" s="21">
        <f t="shared" si="40"/>
        <v>-271.91666666666669</v>
      </c>
      <c r="AA430" s="20"/>
      <c r="AB430" s="20"/>
      <c r="AC430" s="20"/>
      <c r="AD430" s="20">
        <f t="shared" si="41"/>
        <v>0</v>
      </c>
      <c r="AE430" s="20"/>
      <c r="AF430" s="20"/>
      <c r="AG430" s="20"/>
      <c r="AH430" s="20"/>
      <c r="AI430" s="20">
        <f t="shared" si="42"/>
        <v>0</v>
      </c>
      <c r="AJ430" s="20"/>
    </row>
    <row r="431" spans="2:36">
      <c r="B431" s="11" t="s">
        <v>1006</v>
      </c>
      <c r="C431" s="12" t="s">
        <v>1007</v>
      </c>
      <c r="D431" s="12" t="s">
        <v>38</v>
      </c>
      <c r="E431" s="13" t="s">
        <v>993</v>
      </c>
      <c r="F431" s="14" t="str">
        <f>_xlfn.XLOOKUP(B431,'[1]Synthese suivi modernisation'!A:A,'[1]Synthese suivi modernisation'!S:S)</f>
        <v>KAFFRINE</v>
      </c>
      <c r="G431" s="14" t="str">
        <f>_xlfn.XLOOKUP(B431,'[1]Synthese suivi modernisation'!A:A,'[1]Synthese suivi modernisation'!T:T)</f>
        <v>KAOLACK</v>
      </c>
      <c r="H431" s="20" t="s">
        <v>40</v>
      </c>
      <c r="I431" s="14" t="s">
        <v>41</v>
      </c>
      <c r="J431" s="23" t="s">
        <v>40</v>
      </c>
      <c r="K431" s="24">
        <v>3000</v>
      </c>
      <c r="L431" s="14">
        <v>2.75</v>
      </c>
      <c r="M431" s="17" t="s">
        <v>994</v>
      </c>
      <c r="N431" s="16" t="s">
        <v>80</v>
      </c>
      <c r="O431" s="16">
        <v>33</v>
      </c>
      <c r="P431" s="18">
        <v>240.41666666666666</v>
      </c>
      <c r="Q431" s="20"/>
      <c r="R431" s="20"/>
      <c r="S431" s="19">
        <v>0.8</v>
      </c>
      <c r="T431" s="20">
        <f t="shared" si="37"/>
        <v>10.416666666666666</v>
      </c>
      <c r="U431" s="20">
        <v>0.27</v>
      </c>
      <c r="V431" s="20">
        <f t="shared" si="38"/>
        <v>0.74250000000000005</v>
      </c>
      <c r="W431" s="20"/>
      <c r="X431" s="20"/>
      <c r="Y431" s="20">
        <f t="shared" si="39"/>
        <v>0</v>
      </c>
      <c r="Z431" s="21">
        <f t="shared" si="40"/>
        <v>-240.41666666666666</v>
      </c>
      <c r="AA431" s="20"/>
      <c r="AB431" s="20"/>
      <c r="AC431" s="20"/>
      <c r="AD431" s="20">
        <f t="shared" si="41"/>
        <v>0</v>
      </c>
      <c r="AE431" s="20"/>
      <c r="AF431" s="20"/>
      <c r="AG431" s="20"/>
      <c r="AH431" s="20"/>
      <c r="AI431" s="20">
        <f t="shared" si="42"/>
        <v>0</v>
      </c>
      <c r="AJ431" s="20"/>
    </row>
    <row r="432" spans="2:36">
      <c r="B432" s="11" t="s">
        <v>1008</v>
      </c>
      <c r="C432" s="12" t="s">
        <v>1009</v>
      </c>
      <c r="D432" s="12" t="s">
        <v>38</v>
      </c>
      <c r="E432" s="13" t="s">
        <v>993</v>
      </c>
      <c r="F432" s="14" t="str">
        <f>_xlfn.XLOOKUP(B432,'[1]Synthese suivi modernisation'!A:A,'[1]Synthese suivi modernisation'!S:S)</f>
        <v>KAFFRINE</v>
      </c>
      <c r="G432" s="14" t="str">
        <f>_xlfn.XLOOKUP(B432,'[1]Synthese suivi modernisation'!A:A,'[1]Synthese suivi modernisation'!T:T)</f>
        <v>KAOLACK</v>
      </c>
      <c r="H432" s="20" t="s">
        <v>40</v>
      </c>
      <c r="I432" s="14" t="s">
        <v>41</v>
      </c>
      <c r="J432" s="23" t="s">
        <v>40</v>
      </c>
      <c r="K432" s="24">
        <v>3000</v>
      </c>
      <c r="L432" s="14">
        <v>2.5</v>
      </c>
      <c r="M432" s="17" t="s">
        <v>994</v>
      </c>
      <c r="N432" s="16" t="s">
        <v>80</v>
      </c>
      <c r="O432" s="16">
        <v>33</v>
      </c>
      <c r="P432" s="18">
        <v>109.33333333333333</v>
      </c>
      <c r="Q432" s="20"/>
      <c r="R432" s="20"/>
      <c r="S432" s="19">
        <v>0.8</v>
      </c>
      <c r="T432" s="20">
        <f t="shared" si="37"/>
        <v>9.4696969696969688</v>
      </c>
      <c r="U432" s="20">
        <v>0.27</v>
      </c>
      <c r="V432" s="20">
        <f t="shared" si="38"/>
        <v>0.67500000000000004</v>
      </c>
      <c r="W432" s="20"/>
      <c r="X432" s="20"/>
      <c r="Y432" s="20">
        <f t="shared" si="39"/>
        <v>0</v>
      </c>
      <c r="Z432" s="21">
        <f t="shared" si="40"/>
        <v>-109.33333333333333</v>
      </c>
      <c r="AA432" s="20"/>
      <c r="AB432" s="20"/>
      <c r="AC432" s="20"/>
      <c r="AD432" s="20">
        <f t="shared" si="41"/>
        <v>0</v>
      </c>
      <c r="AE432" s="20"/>
      <c r="AF432" s="20"/>
      <c r="AG432" s="20"/>
      <c r="AH432" s="20"/>
      <c r="AI432" s="20">
        <f t="shared" si="42"/>
        <v>0</v>
      </c>
      <c r="AJ432" s="20"/>
    </row>
    <row r="433" spans="2:36">
      <c r="B433" s="11" t="s">
        <v>1010</v>
      </c>
      <c r="C433" s="12" t="s">
        <v>1011</v>
      </c>
      <c r="D433" s="12" t="s">
        <v>38</v>
      </c>
      <c r="E433" s="13" t="s">
        <v>993</v>
      </c>
      <c r="F433" s="14" t="str">
        <f>_xlfn.XLOOKUP(B433,'[1]Synthese suivi modernisation'!A:A,'[1]Synthese suivi modernisation'!S:S)</f>
        <v>LINGUERE</v>
      </c>
      <c r="G433" s="14" t="str">
        <f>_xlfn.XLOOKUP(B433,'[1]Synthese suivi modernisation'!A:A,'[1]Synthese suivi modernisation'!T:T)</f>
        <v>SAINT-LOUIS</v>
      </c>
      <c r="H433" s="20" t="s">
        <v>54</v>
      </c>
      <c r="I433" s="14" t="s">
        <v>41</v>
      </c>
      <c r="J433" s="23" t="s">
        <v>40</v>
      </c>
      <c r="K433" s="24">
        <v>3000</v>
      </c>
      <c r="L433" s="14">
        <v>3.5</v>
      </c>
      <c r="M433" s="17" t="s">
        <v>994</v>
      </c>
      <c r="N433" s="16" t="s">
        <v>55</v>
      </c>
      <c r="O433" s="16">
        <v>33</v>
      </c>
      <c r="P433" s="18">
        <v>0</v>
      </c>
      <c r="Q433" s="20"/>
      <c r="R433" s="20"/>
      <c r="S433" s="19">
        <v>0.8</v>
      </c>
      <c r="T433" s="20">
        <f t="shared" si="37"/>
        <v>13.257575757575758</v>
      </c>
      <c r="U433" s="20">
        <v>0.27</v>
      </c>
      <c r="V433" s="20">
        <f t="shared" si="38"/>
        <v>0.94500000000000006</v>
      </c>
      <c r="W433" s="20"/>
      <c r="X433" s="20"/>
      <c r="Y433" s="20">
        <f t="shared" si="39"/>
        <v>0</v>
      </c>
      <c r="Z433" s="21">
        <f t="shared" si="40"/>
        <v>0</v>
      </c>
      <c r="AA433" s="20"/>
      <c r="AB433" s="20"/>
      <c r="AC433" s="20"/>
      <c r="AD433" s="20">
        <f t="shared" si="41"/>
        <v>0</v>
      </c>
      <c r="AE433" s="20"/>
      <c r="AF433" s="20"/>
      <c r="AG433" s="20"/>
      <c r="AH433" s="20"/>
      <c r="AI433" s="20">
        <f t="shared" si="42"/>
        <v>0</v>
      </c>
      <c r="AJ433" s="20"/>
    </row>
    <row r="434" spans="2:36">
      <c r="B434" s="11" t="s">
        <v>1012</v>
      </c>
      <c r="C434" s="12" t="s">
        <v>1013</v>
      </c>
      <c r="D434" s="12" t="s">
        <v>38</v>
      </c>
      <c r="E434" s="13" t="s">
        <v>993</v>
      </c>
      <c r="F434" s="14" t="str">
        <f>_xlfn.XLOOKUP(B434,'[1]Synthese suivi modernisation'!A:A,'[1]Synthese suivi modernisation'!S:S)</f>
        <v>LOUGA</v>
      </c>
      <c r="G434" s="14" t="str">
        <f>_xlfn.XLOOKUP(B434,'[1]Synthese suivi modernisation'!A:A,'[1]Synthese suivi modernisation'!T:T)</f>
        <v>SAINT-LOUIS</v>
      </c>
      <c r="H434" s="20" t="s">
        <v>54</v>
      </c>
      <c r="I434" s="14" t="s">
        <v>41</v>
      </c>
      <c r="J434" s="23" t="s">
        <v>40</v>
      </c>
      <c r="K434" s="24">
        <v>3000</v>
      </c>
      <c r="L434" s="14">
        <v>3.25</v>
      </c>
      <c r="M434" s="17" t="s">
        <v>994</v>
      </c>
      <c r="N434" s="16" t="s">
        <v>55</v>
      </c>
      <c r="O434" s="16">
        <v>33</v>
      </c>
      <c r="P434" s="18">
        <v>205.41666666666666</v>
      </c>
      <c r="Q434" s="20"/>
      <c r="R434" s="20"/>
      <c r="S434" s="19">
        <v>0.8</v>
      </c>
      <c r="T434" s="20">
        <f t="shared" si="37"/>
        <v>12.310606060606059</v>
      </c>
      <c r="U434" s="20">
        <v>0.27</v>
      </c>
      <c r="V434" s="20">
        <f t="shared" si="38"/>
        <v>0.87750000000000006</v>
      </c>
      <c r="W434" s="20"/>
      <c r="X434" s="20"/>
      <c r="Y434" s="20">
        <f t="shared" si="39"/>
        <v>0</v>
      </c>
      <c r="Z434" s="21">
        <f t="shared" si="40"/>
        <v>-205.41666666666666</v>
      </c>
      <c r="AA434" s="20"/>
      <c r="AB434" s="20"/>
      <c r="AC434" s="20"/>
      <c r="AD434" s="20">
        <f t="shared" si="41"/>
        <v>0</v>
      </c>
      <c r="AE434" s="20"/>
      <c r="AF434" s="20"/>
      <c r="AG434" s="20"/>
      <c r="AH434" s="20"/>
      <c r="AI434" s="20">
        <f t="shared" si="42"/>
        <v>0</v>
      </c>
      <c r="AJ434" s="20"/>
    </row>
    <row r="435" spans="2:36">
      <c r="B435" s="11" t="s">
        <v>1014</v>
      </c>
      <c r="C435" s="12" t="s">
        <v>1015</v>
      </c>
      <c r="D435" s="12" t="s">
        <v>38</v>
      </c>
      <c r="E435" s="13" t="s">
        <v>993</v>
      </c>
      <c r="F435" s="14" t="str">
        <f>_xlfn.XLOOKUP(B435,'[1]Synthese suivi modernisation'!A:A,'[1]Synthese suivi modernisation'!S:S)</f>
        <v>KEDOUGOU</v>
      </c>
      <c r="G435" s="14" t="str">
        <f>_xlfn.XLOOKUP(B435,'[1]Synthese suivi modernisation'!A:A,'[1]Synthese suivi modernisation'!T:T)</f>
        <v>TAMBACOUNDA</v>
      </c>
      <c r="H435" s="20" t="s">
        <v>40</v>
      </c>
      <c r="I435" s="14" t="s">
        <v>41</v>
      </c>
      <c r="J435" s="16" t="s">
        <v>40</v>
      </c>
      <c r="K435" s="24">
        <v>5000</v>
      </c>
      <c r="L435" s="14">
        <v>6.5</v>
      </c>
      <c r="M435" s="17" t="s">
        <v>994</v>
      </c>
      <c r="N435" s="16" t="s">
        <v>1016</v>
      </c>
      <c r="O435" s="16">
        <v>35</v>
      </c>
      <c r="P435" s="18">
        <v>1023.9166666666666</v>
      </c>
      <c r="Q435" s="20"/>
      <c r="R435" s="20"/>
      <c r="S435" s="19">
        <v>0.8</v>
      </c>
      <c r="T435" s="20">
        <f t="shared" si="37"/>
        <v>23.214285714285715</v>
      </c>
      <c r="U435" s="20">
        <v>0.27</v>
      </c>
      <c r="V435" s="20">
        <f t="shared" si="38"/>
        <v>1.7550000000000001</v>
      </c>
      <c r="W435" s="20"/>
      <c r="X435" s="20"/>
      <c r="Y435" s="20">
        <f t="shared" si="39"/>
        <v>0</v>
      </c>
      <c r="Z435" s="21">
        <f t="shared" si="40"/>
        <v>-1023.9166666666666</v>
      </c>
      <c r="AA435" s="20"/>
      <c r="AB435" s="20"/>
      <c r="AC435" s="20"/>
      <c r="AD435" s="20">
        <f t="shared" si="41"/>
        <v>0</v>
      </c>
      <c r="AE435" s="20"/>
      <c r="AF435" s="20"/>
      <c r="AG435" s="20"/>
      <c r="AH435" s="20"/>
      <c r="AI435" s="20">
        <f t="shared" si="42"/>
        <v>0</v>
      </c>
      <c r="AJ435" s="20"/>
    </row>
    <row r="436" spans="2:36">
      <c r="B436" s="11" t="s">
        <v>1017</v>
      </c>
      <c r="C436" s="12" t="s">
        <v>1018</v>
      </c>
      <c r="D436" s="12" t="s">
        <v>38</v>
      </c>
      <c r="E436" s="13" t="s">
        <v>993</v>
      </c>
      <c r="F436" s="14" t="str">
        <f>_xlfn.XLOOKUP(B436,'[1]Synthese suivi modernisation'!A:A,'[1]Synthese suivi modernisation'!S:S)</f>
        <v>KEDOUGOU</v>
      </c>
      <c r="G436" s="14" t="str">
        <f>_xlfn.XLOOKUP(B436,'[1]Synthese suivi modernisation'!A:A,'[1]Synthese suivi modernisation'!T:T)</f>
        <v>TAMBACOUNDA</v>
      </c>
      <c r="H436" s="20" t="s">
        <v>40</v>
      </c>
      <c r="I436" s="14" t="s">
        <v>41</v>
      </c>
      <c r="J436" s="16" t="s">
        <v>40</v>
      </c>
      <c r="K436" s="24">
        <v>3000</v>
      </c>
      <c r="L436" s="14">
        <v>4.5</v>
      </c>
      <c r="M436" s="17" t="s">
        <v>994</v>
      </c>
      <c r="N436" s="16" t="s">
        <v>67</v>
      </c>
      <c r="O436" s="16">
        <v>50</v>
      </c>
      <c r="P436" s="18">
        <v>627.91666666666663</v>
      </c>
      <c r="Q436" s="20"/>
      <c r="R436" s="20"/>
      <c r="S436" s="19">
        <v>0.8</v>
      </c>
      <c r="T436" s="20">
        <f t="shared" si="37"/>
        <v>11.25</v>
      </c>
      <c r="U436" s="20">
        <v>0.27</v>
      </c>
      <c r="V436" s="20">
        <f t="shared" si="38"/>
        <v>1.2150000000000001</v>
      </c>
      <c r="W436" s="20"/>
      <c r="X436" s="20"/>
      <c r="Y436" s="20">
        <f t="shared" si="39"/>
        <v>0</v>
      </c>
      <c r="Z436" s="21">
        <f t="shared" si="40"/>
        <v>-627.91666666666663</v>
      </c>
      <c r="AA436" s="20"/>
      <c r="AB436" s="20"/>
      <c r="AC436" s="20"/>
      <c r="AD436" s="20">
        <f t="shared" si="41"/>
        <v>0</v>
      </c>
      <c r="AE436" s="20"/>
      <c r="AF436" s="20"/>
      <c r="AG436" s="20"/>
      <c r="AH436" s="20"/>
      <c r="AI436" s="20">
        <f t="shared" si="42"/>
        <v>0</v>
      </c>
      <c r="AJ436" s="20"/>
    </row>
    <row r="437" spans="2:36">
      <c r="B437" s="11" t="s">
        <v>1019</v>
      </c>
      <c r="C437" s="12" t="s">
        <v>1020</v>
      </c>
      <c r="D437" s="12" t="s">
        <v>38</v>
      </c>
      <c r="E437" s="13" t="s">
        <v>993</v>
      </c>
      <c r="F437" s="14" t="str">
        <f>_xlfn.XLOOKUP(B437,'[1]Synthese suivi modernisation'!A:A,'[1]Synthese suivi modernisation'!S:S)</f>
        <v>KEDOUGOU</v>
      </c>
      <c r="G437" s="14" t="str">
        <f>_xlfn.XLOOKUP(B437,'[1]Synthese suivi modernisation'!A:A,'[1]Synthese suivi modernisation'!T:T)</f>
        <v>TAMBACOUNDA</v>
      </c>
      <c r="H437" s="20" t="s">
        <v>40</v>
      </c>
      <c r="I437" s="14" t="s">
        <v>41</v>
      </c>
      <c r="J437" s="23" t="s">
        <v>40</v>
      </c>
      <c r="K437" s="24">
        <v>3000</v>
      </c>
      <c r="L437" s="14">
        <v>4</v>
      </c>
      <c r="M437" s="17" t="s">
        <v>994</v>
      </c>
      <c r="N437" s="16" t="s">
        <v>51</v>
      </c>
      <c r="O437" s="16">
        <v>22</v>
      </c>
      <c r="P437" s="18">
        <v>324.08333333333331</v>
      </c>
      <c r="Q437" s="20"/>
      <c r="R437" s="20"/>
      <c r="S437" s="19">
        <v>0.8</v>
      </c>
      <c r="T437" s="20">
        <f t="shared" si="37"/>
        <v>22.727272727272727</v>
      </c>
      <c r="U437" s="20">
        <v>0.27</v>
      </c>
      <c r="V437" s="20">
        <f t="shared" si="38"/>
        <v>1.08</v>
      </c>
      <c r="W437" s="20"/>
      <c r="X437" s="20"/>
      <c r="Y437" s="20">
        <f t="shared" si="39"/>
        <v>0</v>
      </c>
      <c r="Z437" s="21">
        <f t="shared" si="40"/>
        <v>-324.08333333333331</v>
      </c>
      <c r="AA437" s="20"/>
      <c r="AB437" s="20"/>
      <c r="AC437" s="20"/>
      <c r="AD437" s="20">
        <f t="shared" si="41"/>
        <v>0</v>
      </c>
      <c r="AE437" s="20"/>
      <c r="AF437" s="20"/>
      <c r="AG437" s="20"/>
      <c r="AH437" s="20"/>
      <c r="AI437" s="20">
        <f t="shared" si="42"/>
        <v>0</v>
      </c>
      <c r="AJ437" s="20"/>
    </row>
    <row r="438" spans="2:36">
      <c r="B438" s="11" t="s">
        <v>1021</v>
      </c>
      <c r="C438" s="12" t="s">
        <v>1022</v>
      </c>
      <c r="D438" s="12" t="s">
        <v>38</v>
      </c>
      <c r="E438" s="13" t="s">
        <v>993</v>
      </c>
      <c r="F438" s="14" t="str">
        <f>_xlfn.XLOOKUP(B438,'[1]Synthese suivi modernisation'!A:A,'[1]Synthese suivi modernisation'!S:S)</f>
        <v>LOUGA</v>
      </c>
      <c r="G438" s="14" t="str">
        <f>_xlfn.XLOOKUP(B438,'[1]Synthese suivi modernisation'!A:A,'[1]Synthese suivi modernisation'!T:T)</f>
        <v>SAINT-LOUIS</v>
      </c>
      <c r="H438" s="20" t="s">
        <v>54</v>
      </c>
      <c r="I438" s="14" t="s">
        <v>41</v>
      </c>
      <c r="J438" s="23" t="s">
        <v>40</v>
      </c>
      <c r="K438" s="24">
        <v>3000</v>
      </c>
      <c r="L438" s="14">
        <v>3.25</v>
      </c>
      <c r="M438" s="17" t="s">
        <v>994</v>
      </c>
      <c r="N438" s="16" t="s">
        <v>55</v>
      </c>
      <c r="O438" s="16">
        <v>33</v>
      </c>
      <c r="P438" s="18">
        <v>0</v>
      </c>
      <c r="Q438" s="20"/>
      <c r="R438" s="20"/>
      <c r="S438" s="19">
        <v>0.8</v>
      </c>
      <c r="T438" s="20">
        <f t="shared" si="37"/>
        <v>12.310606060606059</v>
      </c>
      <c r="U438" s="20">
        <v>0.27</v>
      </c>
      <c r="V438" s="20">
        <f t="shared" si="38"/>
        <v>0.87750000000000006</v>
      </c>
      <c r="W438" s="20"/>
      <c r="X438" s="20"/>
      <c r="Y438" s="20">
        <f t="shared" si="39"/>
        <v>0</v>
      </c>
      <c r="Z438" s="21">
        <f t="shared" si="40"/>
        <v>0</v>
      </c>
      <c r="AA438" s="20"/>
      <c r="AB438" s="20"/>
      <c r="AC438" s="20"/>
      <c r="AD438" s="20">
        <f t="shared" si="41"/>
        <v>0</v>
      </c>
      <c r="AE438" s="20"/>
      <c r="AF438" s="20"/>
      <c r="AG438" s="20"/>
      <c r="AH438" s="20"/>
      <c r="AI438" s="20">
        <f t="shared" si="42"/>
        <v>0</v>
      </c>
      <c r="AJ438" s="20"/>
    </row>
    <row r="439" spans="2:36">
      <c r="B439" s="11" t="s">
        <v>1023</v>
      </c>
      <c r="C439" s="12" t="s">
        <v>1024</v>
      </c>
      <c r="D439" s="12" t="s">
        <v>38</v>
      </c>
      <c r="E439" s="13" t="s">
        <v>993</v>
      </c>
      <c r="F439" s="14" t="str">
        <f>_xlfn.XLOOKUP(B439,'[1]Synthese suivi modernisation'!A:A,'[1]Synthese suivi modernisation'!S:S)</f>
        <v>LOUGA</v>
      </c>
      <c r="G439" s="14" t="str">
        <f>_xlfn.XLOOKUP(B439,'[1]Synthese suivi modernisation'!A:A,'[1]Synthese suivi modernisation'!T:T)</f>
        <v>SAINT-LOUIS</v>
      </c>
      <c r="H439" s="20" t="s">
        <v>54</v>
      </c>
      <c r="I439" s="14" t="s">
        <v>41</v>
      </c>
      <c r="J439" s="23" t="s">
        <v>40</v>
      </c>
      <c r="K439" s="24">
        <v>3000</v>
      </c>
      <c r="L439" s="14">
        <v>3.5</v>
      </c>
      <c r="M439" s="17" t="s">
        <v>994</v>
      </c>
      <c r="N439" s="16" t="s">
        <v>55</v>
      </c>
      <c r="O439" s="16">
        <v>33</v>
      </c>
      <c r="P439" s="18">
        <v>205.41666666666666</v>
      </c>
      <c r="Q439" s="20"/>
      <c r="R439" s="20"/>
      <c r="S439" s="19">
        <v>0.8</v>
      </c>
      <c r="T439" s="20">
        <f t="shared" si="37"/>
        <v>13.257575757575758</v>
      </c>
      <c r="U439" s="20">
        <v>0.27</v>
      </c>
      <c r="V439" s="20">
        <f t="shared" si="38"/>
        <v>0.94500000000000006</v>
      </c>
      <c r="W439" s="20"/>
      <c r="X439" s="20"/>
      <c r="Y439" s="20">
        <f t="shared" si="39"/>
        <v>0</v>
      </c>
      <c r="Z439" s="21">
        <f t="shared" si="40"/>
        <v>-205.41666666666666</v>
      </c>
      <c r="AA439" s="20"/>
      <c r="AB439" s="20"/>
      <c r="AC439" s="20"/>
      <c r="AD439" s="20">
        <f t="shared" si="41"/>
        <v>0</v>
      </c>
      <c r="AE439" s="20"/>
      <c r="AF439" s="20"/>
      <c r="AG439" s="20"/>
      <c r="AH439" s="20"/>
      <c r="AI439" s="20">
        <f t="shared" si="42"/>
        <v>0</v>
      </c>
      <c r="AJ439" s="20"/>
    </row>
    <row r="440" spans="2:36">
      <c r="B440" s="11" t="s">
        <v>1025</v>
      </c>
      <c r="C440" s="12" t="s">
        <v>1026</v>
      </c>
      <c r="D440" s="12" t="s">
        <v>38</v>
      </c>
      <c r="E440" s="13" t="s">
        <v>993</v>
      </c>
      <c r="F440" s="14" t="str">
        <f>_xlfn.XLOOKUP(B440,'[1]Synthese suivi modernisation'!A:A,'[1]Synthese suivi modernisation'!S:S)</f>
        <v>LOUGA</v>
      </c>
      <c r="G440" s="14" t="str">
        <f>_xlfn.XLOOKUP(B440,'[1]Synthese suivi modernisation'!A:A,'[1]Synthese suivi modernisation'!T:T)</f>
        <v>SAINT-LOUIS</v>
      </c>
      <c r="H440" s="20" t="s">
        <v>54</v>
      </c>
      <c r="I440" s="14" t="s">
        <v>41</v>
      </c>
      <c r="J440" s="23" t="s">
        <v>40</v>
      </c>
      <c r="K440" s="24">
        <v>3000</v>
      </c>
      <c r="L440" s="14">
        <v>3.5</v>
      </c>
      <c r="M440" s="17" t="s">
        <v>994</v>
      </c>
      <c r="N440" s="16" t="s">
        <v>55</v>
      </c>
      <c r="O440" s="16">
        <v>33</v>
      </c>
      <c r="P440" s="18">
        <v>205.41666666666666</v>
      </c>
      <c r="Q440" s="20"/>
      <c r="R440" s="20"/>
      <c r="S440" s="19">
        <v>0.8</v>
      </c>
      <c r="T440" s="20">
        <f t="shared" si="37"/>
        <v>13.257575757575758</v>
      </c>
      <c r="U440" s="20">
        <v>0.27</v>
      </c>
      <c r="V440" s="20">
        <f t="shared" si="38"/>
        <v>0.94500000000000006</v>
      </c>
      <c r="W440" s="20"/>
      <c r="X440" s="20"/>
      <c r="Y440" s="20">
        <f t="shared" si="39"/>
        <v>0</v>
      </c>
      <c r="Z440" s="21">
        <f t="shared" si="40"/>
        <v>-205.41666666666666</v>
      </c>
      <c r="AA440" s="20"/>
      <c r="AB440" s="20"/>
      <c r="AC440" s="20"/>
      <c r="AD440" s="20">
        <f t="shared" si="41"/>
        <v>0</v>
      </c>
      <c r="AE440" s="20"/>
      <c r="AF440" s="20"/>
      <c r="AG440" s="20"/>
      <c r="AH440" s="20"/>
      <c r="AI440" s="20">
        <f t="shared" si="42"/>
        <v>0</v>
      </c>
      <c r="AJ440" s="20"/>
    </row>
    <row r="441" spans="2:36">
      <c r="B441" s="11" t="s">
        <v>1027</v>
      </c>
      <c r="C441" s="12" t="s">
        <v>1028</v>
      </c>
      <c r="D441" s="12" t="s">
        <v>38</v>
      </c>
      <c r="E441" s="13" t="s">
        <v>993</v>
      </c>
      <c r="F441" s="14" t="str">
        <f>_xlfn.XLOOKUP(B441,'[1]Synthese suivi modernisation'!A:A,'[1]Synthese suivi modernisation'!S:S)</f>
        <v>SAINT-LOUIS</v>
      </c>
      <c r="G441" s="14" t="str">
        <f>_xlfn.XLOOKUP(B441,'[1]Synthese suivi modernisation'!A:A,'[1]Synthese suivi modernisation'!T:T)</f>
        <v>SAINT-LOUIS</v>
      </c>
      <c r="H441" s="20" t="s">
        <v>40</v>
      </c>
      <c r="I441" s="14" t="s">
        <v>41</v>
      </c>
      <c r="J441" s="23" t="s">
        <v>40</v>
      </c>
      <c r="K441" s="24">
        <v>3000</v>
      </c>
      <c r="L441" s="14">
        <v>5.5</v>
      </c>
      <c r="M441" s="17" t="s">
        <v>994</v>
      </c>
      <c r="N441" s="16" t="s">
        <v>67</v>
      </c>
      <c r="O441" s="16">
        <v>50</v>
      </c>
      <c r="P441" s="18">
        <v>707.58333333333337</v>
      </c>
      <c r="Q441" s="20"/>
      <c r="R441" s="20"/>
      <c r="S441" s="19">
        <v>0.8</v>
      </c>
      <c r="T441" s="20">
        <f t="shared" si="37"/>
        <v>13.750000000000002</v>
      </c>
      <c r="U441" s="20">
        <v>0.27</v>
      </c>
      <c r="V441" s="20">
        <f t="shared" si="38"/>
        <v>1.4850000000000001</v>
      </c>
      <c r="W441" s="20"/>
      <c r="X441" s="20"/>
      <c r="Y441" s="20">
        <f t="shared" si="39"/>
        <v>0</v>
      </c>
      <c r="Z441" s="21">
        <f t="shared" si="40"/>
        <v>-707.58333333333337</v>
      </c>
      <c r="AA441" s="20"/>
      <c r="AB441" s="20"/>
      <c r="AC441" s="20"/>
      <c r="AD441" s="20">
        <f t="shared" si="41"/>
        <v>0</v>
      </c>
      <c r="AE441" s="20"/>
      <c r="AF441" s="20"/>
      <c r="AG441" s="20"/>
      <c r="AH441" s="20"/>
      <c r="AI441" s="20">
        <f t="shared" si="42"/>
        <v>0</v>
      </c>
      <c r="AJ441" s="20"/>
    </row>
    <row r="442" spans="2:36">
      <c r="B442" s="11" t="s">
        <v>1029</v>
      </c>
      <c r="C442" s="12" t="s">
        <v>1030</v>
      </c>
      <c r="D442" s="12" t="s">
        <v>38</v>
      </c>
      <c r="E442" s="13" t="s">
        <v>993</v>
      </c>
      <c r="F442" s="14" t="str">
        <f>_xlfn.XLOOKUP(B442,'[1]Synthese suivi modernisation'!A:A,'[1]Synthese suivi modernisation'!S:S)</f>
        <v>LOUGA</v>
      </c>
      <c r="G442" s="14" t="str">
        <f>_xlfn.XLOOKUP(B442,'[1]Synthese suivi modernisation'!A:A,'[1]Synthese suivi modernisation'!T:T)</f>
        <v>SAINT-LOUIS</v>
      </c>
      <c r="H442" s="20" t="s">
        <v>54</v>
      </c>
      <c r="I442" s="14" t="s">
        <v>41</v>
      </c>
      <c r="J442" s="23" t="s">
        <v>40</v>
      </c>
      <c r="K442" s="24">
        <v>3000</v>
      </c>
      <c r="L442" s="14">
        <v>3.5</v>
      </c>
      <c r="M442" s="17" t="s">
        <v>994</v>
      </c>
      <c r="N442" s="16" t="s">
        <v>55</v>
      </c>
      <c r="O442" s="16">
        <v>33</v>
      </c>
      <c r="P442" s="18">
        <v>205.41666666666666</v>
      </c>
      <c r="Q442" s="20"/>
      <c r="R442" s="20"/>
      <c r="S442" s="19">
        <v>0.8</v>
      </c>
      <c r="T442" s="20">
        <f t="shared" si="37"/>
        <v>13.257575757575758</v>
      </c>
      <c r="U442" s="20">
        <v>0.27</v>
      </c>
      <c r="V442" s="20">
        <f t="shared" si="38"/>
        <v>0.94500000000000006</v>
      </c>
      <c r="W442" s="20"/>
      <c r="X442" s="20"/>
      <c r="Y442" s="20">
        <f t="shared" si="39"/>
        <v>0</v>
      </c>
      <c r="Z442" s="21">
        <f t="shared" si="40"/>
        <v>-205.41666666666666</v>
      </c>
      <c r="AA442" s="20"/>
      <c r="AB442" s="20"/>
      <c r="AC442" s="20"/>
      <c r="AD442" s="20">
        <f t="shared" si="41"/>
        <v>0</v>
      </c>
      <c r="AE442" s="20"/>
      <c r="AF442" s="20"/>
      <c r="AG442" s="20"/>
      <c r="AH442" s="20"/>
      <c r="AI442" s="20">
        <f t="shared" si="42"/>
        <v>0</v>
      </c>
      <c r="AJ442" s="20"/>
    </row>
    <row r="443" spans="2:36">
      <c r="B443" s="11" t="s">
        <v>1031</v>
      </c>
      <c r="C443" s="12" t="s">
        <v>1032</v>
      </c>
      <c r="D443" s="12" t="s">
        <v>38</v>
      </c>
      <c r="E443" s="13" t="s">
        <v>993</v>
      </c>
      <c r="F443" s="14" t="str">
        <f>_xlfn.XLOOKUP(B443,'[1]Synthese suivi modernisation'!A:A,'[1]Synthese suivi modernisation'!S:S)</f>
        <v>LOUGA</v>
      </c>
      <c r="G443" s="14" t="str">
        <f>_xlfn.XLOOKUP(B443,'[1]Synthese suivi modernisation'!A:A,'[1]Synthese suivi modernisation'!T:T)</f>
        <v>SAINT-LOUIS</v>
      </c>
      <c r="H443" s="20" t="s">
        <v>54</v>
      </c>
      <c r="I443" s="14" t="s">
        <v>41</v>
      </c>
      <c r="J443" s="23" t="s">
        <v>40</v>
      </c>
      <c r="K443" s="24">
        <v>3000</v>
      </c>
      <c r="L443" s="14">
        <v>4.5</v>
      </c>
      <c r="M443" s="17" t="s">
        <v>994</v>
      </c>
      <c r="N443" s="16" t="s">
        <v>794</v>
      </c>
      <c r="O443" s="16">
        <v>15</v>
      </c>
      <c r="P443" s="18">
        <v>664.91666666666663</v>
      </c>
      <c r="Q443" s="20"/>
      <c r="R443" s="20"/>
      <c r="S443" s="19">
        <v>0.8</v>
      </c>
      <c r="T443" s="20">
        <f t="shared" si="37"/>
        <v>37.5</v>
      </c>
      <c r="U443" s="20">
        <v>0.27</v>
      </c>
      <c r="V443" s="20">
        <f t="shared" si="38"/>
        <v>1.2150000000000001</v>
      </c>
      <c r="W443" s="20"/>
      <c r="X443" s="20"/>
      <c r="Y443" s="20">
        <f t="shared" si="39"/>
        <v>0</v>
      </c>
      <c r="Z443" s="21">
        <f t="shared" si="40"/>
        <v>-664.91666666666663</v>
      </c>
      <c r="AA443" s="20"/>
      <c r="AB443" s="20"/>
      <c r="AC443" s="20"/>
      <c r="AD443" s="20">
        <f t="shared" si="41"/>
        <v>0</v>
      </c>
      <c r="AE443" s="20"/>
      <c r="AF443" s="20"/>
      <c r="AG443" s="20"/>
      <c r="AH443" s="20"/>
      <c r="AI443" s="20">
        <f t="shared" si="42"/>
        <v>0</v>
      </c>
      <c r="AJ443" s="20"/>
    </row>
    <row r="444" spans="2:36">
      <c r="B444" s="11" t="s">
        <v>1033</v>
      </c>
      <c r="C444" s="12" t="s">
        <v>1034</v>
      </c>
      <c r="D444" s="12" t="s">
        <v>38</v>
      </c>
      <c r="E444" s="13" t="s">
        <v>993</v>
      </c>
      <c r="F444" s="14" t="str">
        <f>_xlfn.XLOOKUP(B444,'[1]Synthese suivi modernisation'!A:A,'[1]Synthese suivi modernisation'!S:S)</f>
        <v>ZIGUINCHOR</v>
      </c>
      <c r="G444" s="14" t="str">
        <f>_xlfn.XLOOKUP(B444,'[1]Synthese suivi modernisation'!A:A,'[1]Synthese suivi modernisation'!T:T)</f>
        <v>ZIGUINCHOR</v>
      </c>
      <c r="H444" s="20" t="s">
        <v>54</v>
      </c>
      <c r="I444" s="14" t="s">
        <v>41</v>
      </c>
      <c r="J444" s="16" t="s">
        <v>40</v>
      </c>
      <c r="K444" s="24">
        <v>3000</v>
      </c>
      <c r="L444" s="14">
        <v>2</v>
      </c>
      <c r="M444" s="17" t="s">
        <v>994</v>
      </c>
      <c r="N444" s="16" t="s">
        <v>48</v>
      </c>
      <c r="O444" s="16">
        <v>22</v>
      </c>
      <c r="P444" s="18">
        <v>128.5</v>
      </c>
      <c r="Q444" s="20"/>
      <c r="R444" s="20"/>
      <c r="S444" s="19">
        <v>0.8</v>
      </c>
      <c r="T444" s="20">
        <f t="shared" si="37"/>
        <v>11.363636363636363</v>
      </c>
      <c r="U444" s="20">
        <v>0.27</v>
      </c>
      <c r="V444" s="20">
        <f t="shared" si="38"/>
        <v>0.54</v>
      </c>
      <c r="W444" s="20"/>
      <c r="X444" s="20"/>
      <c r="Y444" s="20">
        <f t="shared" si="39"/>
        <v>0</v>
      </c>
      <c r="Z444" s="21">
        <f t="shared" si="40"/>
        <v>-128.5</v>
      </c>
      <c r="AA444" s="20"/>
      <c r="AB444" s="20"/>
      <c r="AC444" s="20"/>
      <c r="AD444" s="20">
        <f t="shared" si="41"/>
        <v>0</v>
      </c>
      <c r="AE444" s="20"/>
      <c r="AF444" s="20"/>
      <c r="AG444" s="20"/>
      <c r="AH444" s="20"/>
      <c r="AI444" s="20">
        <f t="shared" si="42"/>
        <v>0</v>
      </c>
      <c r="AJ444" s="20"/>
    </row>
    <row r="445" spans="2:36">
      <c r="B445" s="11" t="s">
        <v>1035</v>
      </c>
      <c r="C445" s="12" t="s">
        <v>1036</v>
      </c>
      <c r="D445" s="12" t="s">
        <v>38</v>
      </c>
      <c r="E445" s="13" t="s">
        <v>993</v>
      </c>
      <c r="F445" s="14" t="str">
        <f>_xlfn.XLOOKUP(B445,'[1]Synthese suivi modernisation'!A:A,'[1]Synthese suivi modernisation'!S:S)</f>
        <v>LOUGA</v>
      </c>
      <c r="G445" s="14" t="str">
        <f>_xlfn.XLOOKUP(B445,'[1]Synthese suivi modernisation'!A:A,'[1]Synthese suivi modernisation'!T:T)</f>
        <v>SAINT-LOUIS</v>
      </c>
      <c r="H445" s="20" t="s">
        <v>54</v>
      </c>
      <c r="I445" s="14" t="s">
        <v>41</v>
      </c>
      <c r="J445" s="23" t="s">
        <v>40</v>
      </c>
      <c r="K445" s="24">
        <v>3000</v>
      </c>
      <c r="L445" s="14">
        <v>3.5</v>
      </c>
      <c r="M445" s="17" t="s">
        <v>994</v>
      </c>
      <c r="N445" s="16" t="s">
        <v>55</v>
      </c>
      <c r="O445" s="16">
        <v>33</v>
      </c>
      <c r="P445" s="18">
        <v>205.41666666666666</v>
      </c>
      <c r="Q445" s="20"/>
      <c r="R445" s="20"/>
      <c r="S445" s="19">
        <v>0.8</v>
      </c>
      <c r="T445" s="20">
        <f t="shared" si="37"/>
        <v>13.257575757575758</v>
      </c>
      <c r="U445" s="20">
        <v>0.27</v>
      </c>
      <c r="V445" s="20">
        <f t="shared" si="38"/>
        <v>0.94500000000000006</v>
      </c>
      <c r="W445" s="20"/>
      <c r="X445" s="20"/>
      <c r="Y445" s="20">
        <f t="shared" si="39"/>
        <v>0</v>
      </c>
      <c r="Z445" s="21">
        <f t="shared" si="40"/>
        <v>-205.41666666666666</v>
      </c>
      <c r="AA445" s="20"/>
      <c r="AB445" s="20"/>
      <c r="AC445" s="20"/>
      <c r="AD445" s="20">
        <f t="shared" si="41"/>
        <v>0</v>
      </c>
      <c r="AE445" s="20"/>
      <c r="AF445" s="20"/>
      <c r="AG445" s="20"/>
      <c r="AH445" s="20"/>
      <c r="AI445" s="20">
        <f t="shared" si="42"/>
        <v>0</v>
      </c>
      <c r="AJ445" s="20"/>
    </row>
    <row r="446" spans="2:36">
      <c r="B446" s="11" t="s">
        <v>1037</v>
      </c>
      <c r="C446" s="12" t="s">
        <v>1038</v>
      </c>
      <c r="D446" s="12" t="s">
        <v>38</v>
      </c>
      <c r="E446" s="13" t="s">
        <v>1039</v>
      </c>
      <c r="F446" s="14" t="str">
        <f>_xlfn.XLOOKUP(B446,'[1]Synthese suivi modernisation'!A:A,'[1]Synthese suivi modernisation'!S:S)</f>
        <v>KEDOUGOU</v>
      </c>
      <c r="G446" s="14" t="str">
        <f>_xlfn.XLOOKUP(B446,'[1]Synthese suivi modernisation'!A:A,'[1]Synthese suivi modernisation'!T:T)</f>
        <v>TAMBACOUNDA</v>
      </c>
      <c r="H446" s="20" t="s">
        <v>40</v>
      </c>
      <c r="I446" s="14" t="s">
        <v>41</v>
      </c>
      <c r="J446" s="16" t="s">
        <v>40</v>
      </c>
      <c r="K446" s="24">
        <v>4000</v>
      </c>
      <c r="L446" s="14">
        <v>8.5</v>
      </c>
      <c r="M446" s="17" t="s">
        <v>994</v>
      </c>
      <c r="N446" s="16" t="s">
        <v>67</v>
      </c>
      <c r="O446" s="16">
        <v>50</v>
      </c>
      <c r="P446" s="18">
        <v>1652.6666666666667</v>
      </c>
      <c r="Q446" s="20"/>
      <c r="R446" s="20"/>
      <c r="S446" s="19">
        <v>0.8</v>
      </c>
      <c r="T446" s="20">
        <f t="shared" si="37"/>
        <v>21.25</v>
      </c>
      <c r="U446" s="20">
        <v>0.27</v>
      </c>
      <c r="V446" s="20">
        <f t="shared" si="38"/>
        <v>2.2949999999999999</v>
      </c>
      <c r="W446" s="20"/>
      <c r="X446" s="20"/>
      <c r="Y446" s="20">
        <f t="shared" si="39"/>
        <v>0</v>
      </c>
      <c r="Z446" s="21">
        <f t="shared" si="40"/>
        <v>-1652.6666666666667</v>
      </c>
      <c r="AA446" s="20"/>
      <c r="AB446" s="20"/>
      <c r="AC446" s="20"/>
      <c r="AD446" s="20">
        <f t="shared" si="41"/>
        <v>0</v>
      </c>
      <c r="AE446" s="20"/>
      <c r="AF446" s="20"/>
      <c r="AG446" s="20"/>
      <c r="AH446" s="20"/>
      <c r="AI446" s="20">
        <f t="shared" si="42"/>
        <v>0</v>
      </c>
      <c r="AJ446" s="20"/>
    </row>
    <row r="447" spans="2:36">
      <c r="B447" s="11" t="s">
        <v>1040</v>
      </c>
      <c r="C447" s="12" t="s">
        <v>1041</v>
      </c>
      <c r="D447" s="12" t="s">
        <v>38</v>
      </c>
      <c r="E447" s="13" t="s">
        <v>1039</v>
      </c>
      <c r="F447" s="14" t="str">
        <f>_xlfn.XLOOKUP(B447,'[1]Synthese suivi modernisation'!A:A,'[1]Synthese suivi modernisation'!S:S)</f>
        <v>KEDOUGOU</v>
      </c>
      <c r="G447" s="14" t="str">
        <f>_xlfn.XLOOKUP(B447,'[1]Synthese suivi modernisation'!A:A,'[1]Synthese suivi modernisation'!T:T)</f>
        <v>TAMBACOUNDA</v>
      </c>
      <c r="H447" s="20" t="s">
        <v>40</v>
      </c>
      <c r="I447" s="14" t="s">
        <v>41</v>
      </c>
      <c r="J447" s="16" t="s">
        <v>40</v>
      </c>
      <c r="K447" s="24">
        <v>4000</v>
      </c>
      <c r="L447" s="14">
        <v>5</v>
      </c>
      <c r="M447" s="17" t="s">
        <v>994</v>
      </c>
      <c r="N447" s="16" t="s">
        <v>1042</v>
      </c>
      <c r="O447" s="16">
        <v>35</v>
      </c>
      <c r="P447" s="18">
        <v>441.91666666666669</v>
      </c>
      <c r="Q447" s="20"/>
      <c r="R447" s="20"/>
      <c r="S447" s="19">
        <v>0.8</v>
      </c>
      <c r="T447" s="20">
        <f t="shared" si="37"/>
        <v>17.857142857142858</v>
      </c>
      <c r="U447" s="20">
        <v>0.27</v>
      </c>
      <c r="V447" s="20">
        <f t="shared" si="38"/>
        <v>1.35</v>
      </c>
      <c r="W447" s="20"/>
      <c r="X447" s="20"/>
      <c r="Y447" s="20">
        <f t="shared" si="39"/>
        <v>0</v>
      </c>
      <c r="Z447" s="21">
        <f t="shared" si="40"/>
        <v>-441.91666666666669</v>
      </c>
      <c r="AA447" s="20"/>
      <c r="AB447" s="20"/>
      <c r="AC447" s="20"/>
      <c r="AD447" s="20">
        <f t="shared" si="41"/>
        <v>0</v>
      </c>
      <c r="AE447" s="20"/>
      <c r="AF447" s="20"/>
      <c r="AG447" s="20"/>
      <c r="AH447" s="20"/>
      <c r="AI447" s="20">
        <f t="shared" si="42"/>
        <v>0</v>
      </c>
      <c r="AJ447" s="20"/>
    </row>
    <row r="448" spans="2:36">
      <c r="B448" s="11" t="s">
        <v>1043</v>
      </c>
      <c r="C448" s="12" t="s">
        <v>1044</v>
      </c>
      <c r="D448" s="12" t="s">
        <v>38</v>
      </c>
      <c r="E448" s="13" t="s">
        <v>1039</v>
      </c>
      <c r="F448" s="14" t="str">
        <f>_xlfn.XLOOKUP(B448,'[1]Synthese suivi modernisation'!A:A,'[1]Synthese suivi modernisation'!S:S)</f>
        <v>KEDOUGOU</v>
      </c>
      <c r="G448" s="14" t="str">
        <f>_xlfn.XLOOKUP(B448,'[1]Synthese suivi modernisation'!A:A,'[1]Synthese suivi modernisation'!T:T)</f>
        <v>TAMBACOUNDA</v>
      </c>
      <c r="H448" s="20" t="s">
        <v>40</v>
      </c>
      <c r="I448" s="14" t="s">
        <v>41</v>
      </c>
      <c r="J448" s="16" t="s">
        <v>40</v>
      </c>
      <c r="K448" s="24">
        <v>4000</v>
      </c>
      <c r="L448" s="14">
        <v>6.5</v>
      </c>
      <c r="M448" s="17" t="s">
        <v>994</v>
      </c>
      <c r="N448" s="16" t="s">
        <v>67</v>
      </c>
      <c r="O448" s="16">
        <v>50</v>
      </c>
      <c r="P448" s="18">
        <v>1137.5</v>
      </c>
      <c r="Q448" s="20"/>
      <c r="R448" s="20"/>
      <c r="S448" s="19">
        <v>0.8</v>
      </c>
      <c r="T448" s="20">
        <f t="shared" si="37"/>
        <v>16.25</v>
      </c>
      <c r="U448" s="20">
        <v>0.27</v>
      </c>
      <c r="V448" s="20">
        <f t="shared" si="38"/>
        <v>1.7550000000000001</v>
      </c>
      <c r="W448" s="20"/>
      <c r="X448" s="20"/>
      <c r="Y448" s="20">
        <f t="shared" si="39"/>
        <v>0</v>
      </c>
      <c r="Z448" s="21">
        <f t="shared" si="40"/>
        <v>-1137.5</v>
      </c>
      <c r="AA448" s="20"/>
      <c r="AB448" s="20"/>
      <c r="AC448" s="20"/>
      <c r="AD448" s="20">
        <f t="shared" si="41"/>
        <v>0</v>
      </c>
      <c r="AE448" s="20"/>
      <c r="AF448" s="20"/>
      <c r="AG448" s="20"/>
      <c r="AH448" s="20"/>
      <c r="AI448" s="20">
        <f t="shared" si="42"/>
        <v>0</v>
      </c>
      <c r="AJ448" s="20"/>
    </row>
    <row r="449" spans="2:36">
      <c r="B449" s="11" t="s">
        <v>1045</v>
      </c>
      <c r="C449" s="12" t="s">
        <v>1046</v>
      </c>
      <c r="D449" s="12" t="s">
        <v>38</v>
      </c>
      <c r="E449" s="13" t="s">
        <v>1039</v>
      </c>
      <c r="F449" s="14" t="str">
        <f>_xlfn.XLOOKUP(B449,'[1]Synthese suivi modernisation'!A:A,'[1]Synthese suivi modernisation'!S:S)</f>
        <v>KAOLACK</v>
      </c>
      <c r="G449" s="14" t="str">
        <f>_xlfn.XLOOKUP(B449,'[1]Synthese suivi modernisation'!A:A,'[1]Synthese suivi modernisation'!T:T)</f>
        <v>KAOLACK</v>
      </c>
      <c r="H449" s="20" t="s">
        <v>54</v>
      </c>
      <c r="I449" s="14" t="s">
        <v>41</v>
      </c>
      <c r="J449" s="23" t="s">
        <v>40</v>
      </c>
      <c r="K449" s="24">
        <v>2000</v>
      </c>
      <c r="L449" s="14">
        <v>3.75</v>
      </c>
      <c r="M449" s="17" t="s">
        <v>994</v>
      </c>
      <c r="N449" s="16" t="s">
        <v>313</v>
      </c>
      <c r="O449" s="16">
        <v>22</v>
      </c>
      <c r="P449" s="18">
        <v>320.25</v>
      </c>
      <c r="Q449" s="20"/>
      <c r="R449" s="20"/>
      <c r="S449" s="19">
        <v>0.8</v>
      </c>
      <c r="T449" s="20">
        <f t="shared" si="37"/>
        <v>21.30681818181818</v>
      </c>
      <c r="U449" s="20">
        <v>0.27</v>
      </c>
      <c r="V449" s="20">
        <f t="shared" si="38"/>
        <v>1.0125000000000002</v>
      </c>
      <c r="W449" s="20"/>
      <c r="X449" s="20"/>
      <c r="Y449" s="20">
        <f t="shared" si="39"/>
        <v>0</v>
      </c>
      <c r="Z449" s="21">
        <f t="shared" si="40"/>
        <v>-320.25</v>
      </c>
      <c r="AA449" s="20"/>
      <c r="AB449" s="20"/>
      <c r="AC449" s="20"/>
      <c r="AD449" s="20">
        <f t="shared" si="41"/>
        <v>0</v>
      </c>
      <c r="AE449" s="20"/>
      <c r="AF449" s="20"/>
      <c r="AG449" s="20"/>
      <c r="AH449" s="20"/>
      <c r="AI449" s="20">
        <f t="shared" si="42"/>
        <v>0</v>
      </c>
      <c r="AJ449" s="20"/>
    </row>
    <row r="450" spans="2:36">
      <c r="B450" s="11" t="s">
        <v>1047</v>
      </c>
      <c r="C450" s="12" t="s">
        <v>1048</v>
      </c>
      <c r="D450" s="12" t="s">
        <v>38</v>
      </c>
      <c r="E450" s="13" t="s">
        <v>1049</v>
      </c>
      <c r="F450" s="14" t="str">
        <f>_xlfn.XLOOKUP(B450,'[1]Synthese suivi modernisation'!A:A,'[1]Synthese suivi modernisation'!S:S)</f>
        <v>OUROSSOGUI</v>
      </c>
      <c r="G450" s="14" t="str">
        <f>_xlfn.XLOOKUP(B450,'[1]Synthese suivi modernisation'!A:A,'[1]Synthese suivi modernisation'!T:T)</f>
        <v>SAINT-LOUIS</v>
      </c>
      <c r="H450" s="20" t="s">
        <v>40</v>
      </c>
      <c r="I450" s="14" t="s">
        <v>41</v>
      </c>
      <c r="J450" s="23" t="s">
        <v>40</v>
      </c>
      <c r="K450" s="24">
        <v>1750</v>
      </c>
      <c r="L450" s="14">
        <v>3.5</v>
      </c>
      <c r="M450" s="17" t="s">
        <v>42</v>
      </c>
      <c r="N450" s="16" t="s">
        <v>683</v>
      </c>
      <c r="O450" s="16">
        <v>15</v>
      </c>
      <c r="P450" s="18">
        <v>225.91666666666666</v>
      </c>
      <c r="Q450" s="20"/>
      <c r="R450" s="20"/>
      <c r="S450" s="19">
        <v>0.8</v>
      </c>
      <c r="T450" s="20">
        <f t="shared" si="37"/>
        <v>29.166666666666668</v>
      </c>
      <c r="U450" s="20">
        <v>0.27</v>
      </c>
      <c r="V450" s="20">
        <f t="shared" si="38"/>
        <v>0.94500000000000006</v>
      </c>
      <c r="W450" s="20"/>
      <c r="X450" s="20"/>
      <c r="Y450" s="20">
        <f t="shared" si="39"/>
        <v>0</v>
      </c>
      <c r="Z450" s="21">
        <f t="shared" si="40"/>
        <v>-225.91666666666666</v>
      </c>
      <c r="AA450" s="20"/>
      <c r="AB450" s="20"/>
      <c r="AC450" s="20"/>
      <c r="AD450" s="20">
        <f t="shared" si="41"/>
        <v>0</v>
      </c>
      <c r="AE450" s="20"/>
      <c r="AF450" s="20"/>
      <c r="AG450" s="20"/>
      <c r="AH450" s="20"/>
      <c r="AI450" s="20">
        <f t="shared" si="42"/>
        <v>0</v>
      </c>
      <c r="AJ450" s="20"/>
    </row>
    <row r="451" spans="2:36">
      <c r="B451" s="11" t="s">
        <v>1050</v>
      </c>
      <c r="C451" s="12" t="s">
        <v>1051</v>
      </c>
      <c r="D451" s="12" t="s">
        <v>38</v>
      </c>
      <c r="E451" s="13" t="s">
        <v>1049</v>
      </c>
      <c r="F451" s="14" t="str">
        <f>_xlfn.XLOOKUP(B451,'[1]Synthese suivi modernisation'!A:A,'[1]Synthese suivi modernisation'!S:S)</f>
        <v>THIES</v>
      </c>
      <c r="G451" s="14" t="str">
        <f>_xlfn.XLOOKUP(B451,'[1]Synthese suivi modernisation'!A:A,'[1]Synthese suivi modernisation'!T:T)</f>
        <v>THIES</v>
      </c>
      <c r="H451" s="20" t="s">
        <v>258</v>
      </c>
      <c r="I451" s="20" t="s">
        <v>143</v>
      </c>
      <c r="J451" s="16" t="s">
        <v>258</v>
      </c>
      <c r="K451" s="24">
        <v>3000</v>
      </c>
      <c r="L451" s="14">
        <v>2.5</v>
      </c>
      <c r="M451" s="17" t="s">
        <v>73</v>
      </c>
      <c r="N451" s="16" t="s">
        <v>1052</v>
      </c>
      <c r="O451" s="16">
        <v>22</v>
      </c>
      <c r="P451" s="18">
        <v>22.916666666666668</v>
      </c>
      <c r="Q451" s="20"/>
      <c r="R451" s="20"/>
      <c r="S451" s="19">
        <v>0.8</v>
      </c>
      <c r="T451" s="20">
        <f t="shared" si="37"/>
        <v>14.204545454545453</v>
      </c>
      <c r="U451" s="20">
        <v>0.27</v>
      </c>
      <c r="V451" s="20">
        <f t="shared" si="38"/>
        <v>0.67500000000000004</v>
      </c>
      <c r="W451" s="20"/>
      <c r="X451" s="20"/>
      <c r="Y451" s="20">
        <f t="shared" si="39"/>
        <v>0</v>
      </c>
      <c r="Z451" s="21">
        <f t="shared" si="40"/>
        <v>-22.916666666666668</v>
      </c>
      <c r="AA451" s="20"/>
      <c r="AB451" s="20"/>
      <c r="AC451" s="20"/>
      <c r="AD451" s="20">
        <f t="shared" si="41"/>
        <v>0</v>
      </c>
      <c r="AE451" s="20"/>
      <c r="AF451" s="20"/>
      <c r="AG451" s="20"/>
      <c r="AH451" s="20"/>
      <c r="AI451" s="20">
        <f t="shared" si="42"/>
        <v>0</v>
      </c>
      <c r="AJ451" s="20"/>
    </row>
    <row r="452" spans="2:36">
      <c r="B452" s="11" t="s">
        <v>1053</v>
      </c>
      <c r="C452" s="12" t="s">
        <v>1054</v>
      </c>
      <c r="D452" s="12" t="s">
        <v>38</v>
      </c>
      <c r="E452" s="13" t="s">
        <v>1049</v>
      </c>
      <c r="F452" s="14" t="str">
        <f>_xlfn.XLOOKUP(B452,'[1]Synthese suivi modernisation'!A:A,'[1]Synthese suivi modernisation'!S:S)</f>
        <v>THIES</v>
      </c>
      <c r="G452" s="14" t="str">
        <f>_xlfn.XLOOKUP(B452,'[1]Synthese suivi modernisation'!A:A,'[1]Synthese suivi modernisation'!T:T)</f>
        <v>THIES</v>
      </c>
      <c r="H452" s="20" t="s">
        <v>40</v>
      </c>
      <c r="I452" s="14" t="s">
        <v>41</v>
      </c>
      <c r="J452" s="16" t="s">
        <v>40</v>
      </c>
      <c r="K452" s="24">
        <v>1250</v>
      </c>
      <c r="L452" s="14">
        <v>5</v>
      </c>
      <c r="M452" s="17" t="s">
        <v>42</v>
      </c>
      <c r="N452" s="16" t="s">
        <v>51</v>
      </c>
      <c r="O452" s="16">
        <v>22</v>
      </c>
      <c r="P452" s="18">
        <v>478.16666666666669</v>
      </c>
      <c r="Q452" s="20"/>
      <c r="R452" s="20"/>
      <c r="S452" s="19">
        <v>0.8</v>
      </c>
      <c r="T452" s="20">
        <f t="shared" si="37"/>
        <v>28.409090909090907</v>
      </c>
      <c r="U452" s="20">
        <v>0.27</v>
      </c>
      <c r="V452" s="20">
        <f t="shared" si="38"/>
        <v>1.35</v>
      </c>
      <c r="W452" s="20"/>
      <c r="X452" s="20"/>
      <c r="Y452" s="20">
        <f t="shared" si="39"/>
        <v>0</v>
      </c>
      <c r="Z452" s="21">
        <f t="shared" si="40"/>
        <v>-478.16666666666669</v>
      </c>
      <c r="AA452" s="20"/>
      <c r="AB452" s="20"/>
      <c r="AC452" s="20"/>
      <c r="AD452" s="20">
        <f t="shared" si="41"/>
        <v>0</v>
      </c>
      <c r="AE452" s="20"/>
      <c r="AF452" s="20"/>
      <c r="AG452" s="20"/>
      <c r="AH452" s="20"/>
      <c r="AI452" s="20">
        <f t="shared" si="42"/>
        <v>0</v>
      </c>
      <c r="AJ452" s="20"/>
    </row>
    <row r="453" spans="2:36">
      <c r="B453" s="11" t="s">
        <v>1055</v>
      </c>
      <c r="C453" s="12" t="s">
        <v>1056</v>
      </c>
      <c r="D453" s="12" t="s">
        <v>38</v>
      </c>
      <c r="E453" s="13" t="s">
        <v>1049</v>
      </c>
      <c r="F453" s="14" t="str">
        <f>_xlfn.XLOOKUP(B453,'[1]Synthese suivi modernisation'!A:A,'[1]Synthese suivi modernisation'!S:S)</f>
        <v>KAOLACK</v>
      </c>
      <c r="G453" s="14" t="str">
        <f>_xlfn.XLOOKUP(B453,'[1]Synthese suivi modernisation'!A:A,'[1]Synthese suivi modernisation'!T:T)</f>
        <v xml:space="preserve"> KAOLACK</v>
      </c>
      <c r="H453" s="20" t="s">
        <v>54</v>
      </c>
      <c r="I453" s="14" t="s">
        <v>41</v>
      </c>
      <c r="J453" s="23" t="s">
        <v>40</v>
      </c>
      <c r="K453" s="24">
        <v>2500</v>
      </c>
      <c r="L453" s="14">
        <v>4</v>
      </c>
      <c r="M453" s="17" t="s">
        <v>42</v>
      </c>
      <c r="N453" s="16" t="s">
        <v>123</v>
      </c>
      <c r="O453" s="16">
        <v>22</v>
      </c>
      <c r="P453" s="18">
        <v>324.08333333333331</v>
      </c>
      <c r="Q453" s="20"/>
      <c r="R453" s="20"/>
      <c r="S453" s="19">
        <v>0.8</v>
      </c>
      <c r="T453" s="20">
        <f t="shared" si="37"/>
        <v>22.727272727272727</v>
      </c>
      <c r="U453" s="20">
        <v>0.27</v>
      </c>
      <c r="V453" s="20">
        <f t="shared" si="38"/>
        <v>1.08</v>
      </c>
      <c r="W453" s="20"/>
      <c r="X453" s="20"/>
      <c r="Y453" s="20">
        <f t="shared" si="39"/>
        <v>0</v>
      </c>
      <c r="Z453" s="21">
        <f t="shared" si="40"/>
        <v>-324.08333333333331</v>
      </c>
      <c r="AA453" s="20"/>
      <c r="AB453" s="20"/>
      <c r="AC453" s="20"/>
      <c r="AD453" s="20">
        <f t="shared" si="41"/>
        <v>0</v>
      </c>
      <c r="AE453" s="20"/>
      <c r="AF453" s="20"/>
      <c r="AG453" s="20"/>
      <c r="AH453" s="20"/>
      <c r="AI453" s="20">
        <f t="shared" si="42"/>
        <v>0</v>
      </c>
      <c r="AJ453" s="20"/>
    </row>
    <row r="454" spans="2:36">
      <c r="B454" s="11" t="s">
        <v>1057</v>
      </c>
      <c r="C454" s="12" t="s">
        <v>1058</v>
      </c>
      <c r="D454" s="12" t="s">
        <v>38</v>
      </c>
      <c r="E454" s="13" t="s">
        <v>1049</v>
      </c>
      <c r="F454" s="14" t="str">
        <f>_xlfn.XLOOKUP(B454,'[1]Synthese suivi modernisation'!A:A,'[1]Synthese suivi modernisation'!S:S)</f>
        <v>KAFFRINE</v>
      </c>
      <c r="G454" s="14" t="str">
        <f>_xlfn.XLOOKUP(B454,'[1]Synthese suivi modernisation'!A:A,'[1]Synthese suivi modernisation'!T:T)</f>
        <v xml:space="preserve"> KAOLACK</v>
      </c>
      <c r="H454" s="20" t="s">
        <v>54</v>
      </c>
      <c r="I454" s="14" t="s">
        <v>41</v>
      </c>
      <c r="J454" s="23" t="s">
        <v>40</v>
      </c>
      <c r="K454" s="24">
        <v>2500</v>
      </c>
      <c r="L454" s="14">
        <v>4</v>
      </c>
      <c r="M454" s="17" t="s">
        <v>42</v>
      </c>
      <c r="N454" s="16" t="s">
        <v>55</v>
      </c>
      <c r="O454" s="16">
        <v>33</v>
      </c>
      <c r="P454" s="18">
        <v>300.58333333333331</v>
      </c>
      <c r="Q454" s="20"/>
      <c r="R454" s="20"/>
      <c r="S454" s="19">
        <v>0.8</v>
      </c>
      <c r="T454" s="20">
        <f t="shared" ref="T454:T473" si="43">(((Q454*R454)/(1000*S454)+L454)/(O454*0.8))*100</f>
        <v>15.151515151515149</v>
      </c>
      <c r="U454" s="20">
        <v>0.27</v>
      </c>
      <c r="V454" s="20">
        <f t="shared" ref="V454:V473" si="44">(((Q454*R454)/(1000*S454)+L454))*U454</f>
        <v>1.08</v>
      </c>
      <c r="W454" s="20"/>
      <c r="X454" s="20"/>
      <c r="Y454" s="20">
        <f t="shared" ref="Y454:Y473" si="45">+X454*V454</f>
        <v>0</v>
      </c>
      <c r="Z454" s="21">
        <f t="shared" ref="Z454:Z473" si="46">Y454-P454</f>
        <v>-300.58333333333331</v>
      </c>
      <c r="AA454" s="20"/>
      <c r="AB454" s="20"/>
      <c r="AC454" s="20"/>
      <c r="AD454" s="20">
        <f t="shared" ref="AD454:AD473" si="47">AC454-Y454</f>
        <v>0</v>
      </c>
      <c r="AE454" s="20"/>
      <c r="AF454" s="20"/>
      <c r="AG454" s="20"/>
      <c r="AH454" s="20"/>
      <c r="AI454" s="20">
        <f t="shared" ref="AI454:AI473" si="48">AG454-AH454</f>
        <v>0</v>
      </c>
      <c r="AJ454" s="20"/>
    </row>
    <row r="455" spans="2:36">
      <c r="B455" s="11" t="s">
        <v>1059</v>
      </c>
      <c r="C455" s="12" t="s">
        <v>1060</v>
      </c>
      <c r="D455" s="12" t="s">
        <v>38</v>
      </c>
      <c r="E455" s="13" t="s">
        <v>1049</v>
      </c>
      <c r="F455" s="14" t="str">
        <f>_xlfn.XLOOKUP(B455,'[1]Synthese suivi modernisation'!A:A,'[1]Synthese suivi modernisation'!S:S)</f>
        <v>KAOLACK</v>
      </c>
      <c r="G455" s="14" t="str">
        <f>_xlfn.XLOOKUP(B455,'[1]Synthese suivi modernisation'!A:A,'[1]Synthese suivi modernisation'!T:T)</f>
        <v xml:space="preserve"> KAOLACK</v>
      </c>
      <c r="H455" s="20" t="s">
        <v>54</v>
      </c>
      <c r="I455" s="14" t="s">
        <v>41</v>
      </c>
      <c r="J455" s="23" t="s">
        <v>40</v>
      </c>
      <c r="K455" s="24">
        <v>2750</v>
      </c>
      <c r="L455" s="14">
        <v>3.5</v>
      </c>
      <c r="M455" s="17" t="s">
        <v>42</v>
      </c>
      <c r="N455" s="16" t="s">
        <v>67</v>
      </c>
      <c r="O455" s="16">
        <v>50</v>
      </c>
      <c r="P455" s="18">
        <v>194.83333333333334</v>
      </c>
      <c r="Q455" s="20"/>
      <c r="R455" s="20"/>
      <c r="S455" s="19">
        <v>0.8</v>
      </c>
      <c r="T455" s="20">
        <f t="shared" si="43"/>
        <v>8.75</v>
      </c>
      <c r="U455" s="20">
        <v>0.27</v>
      </c>
      <c r="V455" s="20">
        <f t="shared" si="44"/>
        <v>0.94500000000000006</v>
      </c>
      <c r="W455" s="20"/>
      <c r="X455" s="20"/>
      <c r="Y455" s="20">
        <f t="shared" si="45"/>
        <v>0</v>
      </c>
      <c r="Z455" s="21">
        <f t="shared" si="46"/>
        <v>-194.83333333333334</v>
      </c>
      <c r="AA455" s="20"/>
      <c r="AB455" s="20"/>
      <c r="AC455" s="20"/>
      <c r="AD455" s="20">
        <f t="shared" si="47"/>
        <v>0</v>
      </c>
      <c r="AE455" s="20"/>
      <c r="AF455" s="20"/>
      <c r="AG455" s="20"/>
      <c r="AH455" s="20"/>
      <c r="AI455" s="20">
        <f t="shared" si="48"/>
        <v>0</v>
      </c>
      <c r="AJ455" s="20"/>
    </row>
    <row r="456" spans="2:36">
      <c r="B456" s="11" t="s">
        <v>1061</v>
      </c>
      <c r="C456" s="12" t="s">
        <v>1062</v>
      </c>
      <c r="D456" s="12" t="s">
        <v>38</v>
      </c>
      <c r="E456" s="13" t="s">
        <v>1063</v>
      </c>
      <c r="F456" s="14" t="str">
        <f>_xlfn.XLOOKUP(B456,'[1]Synthese suivi modernisation'!A:A,'[1]Synthese suivi modernisation'!S:S)</f>
        <v>KEDOUGOU</v>
      </c>
      <c r="G456" s="14" t="str">
        <f>_xlfn.XLOOKUP(B456,'[1]Synthese suivi modernisation'!A:A,'[1]Synthese suivi modernisation'!T:T)</f>
        <v>TAMBACOUNDA</v>
      </c>
      <c r="H456" s="20" t="s">
        <v>40</v>
      </c>
      <c r="I456" s="14" t="s">
        <v>41</v>
      </c>
      <c r="J456" s="16" t="s">
        <v>40</v>
      </c>
      <c r="K456" s="24">
        <v>4000</v>
      </c>
      <c r="L456" s="14">
        <v>6.5</v>
      </c>
      <c r="M456" s="17" t="s">
        <v>994</v>
      </c>
      <c r="N456" s="16" t="s">
        <v>80</v>
      </c>
      <c r="O456" s="16">
        <v>33</v>
      </c>
      <c r="P456" s="18">
        <v>1023.9166666666666</v>
      </c>
      <c r="Q456" s="20"/>
      <c r="R456" s="20"/>
      <c r="S456" s="19">
        <v>0.8</v>
      </c>
      <c r="T456" s="20">
        <f t="shared" si="43"/>
        <v>24.621212121212118</v>
      </c>
      <c r="U456" s="20">
        <v>0.27</v>
      </c>
      <c r="V456" s="20">
        <f t="shared" si="44"/>
        <v>1.7550000000000001</v>
      </c>
      <c r="W456" s="20"/>
      <c r="X456" s="20"/>
      <c r="Y456" s="20">
        <f t="shared" si="45"/>
        <v>0</v>
      </c>
      <c r="Z456" s="21">
        <f t="shared" si="46"/>
        <v>-1023.9166666666666</v>
      </c>
      <c r="AA456" s="20"/>
      <c r="AB456" s="20"/>
      <c r="AC456" s="20"/>
      <c r="AD456" s="20">
        <f t="shared" si="47"/>
        <v>0</v>
      </c>
      <c r="AE456" s="20"/>
      <c r="AF456" s="20"/>
      <c r="AG456" s="20"/>
      <c r="AH456" s="20"/>
      <c r="AI456" s="20">
        <f t="shared" si="48"/>
        <v>0</v>
      </c>
      <c r="AJ456" s="20"/>
    </row>
    <row r="457" spans="2:36">
      <c r="B457" s="11" t="s">
        <v>1064</v>
      </c>
      <c r="C457" s="12" t="s">
        <v>1065</v>
      </c>
      <c r="D457" s="12" t="s">
        <v>38</v>
      </c>
      <c r="E457" s="13" t="s">
        <v>1063</v>
      </c>
      <c r="F457" s="14" t="str">
        <f>_xlfn.XLOOKUP(B457,'[1]Synthese suivi modernisation'!A:A,'[1]Synthese suivi modernisation'!S:S)</f>
        <v>KAOLACK</v>
      </c>
      <c r="G457" s="14" t="str">
        <f>_xlfn.XLOOKUP(B457,'[1]Synthese suivi modernisation'!A:A,'[1]Synthese suivi modernisation'!T:T)</f>
        <v>KAOLACK</v>
      </c>
      <c r="H457" s="20" t="s">
        <v>54</v>
      </c>
      <c r="I457" s="14" t="s">
        <v>41</v>
      </c>
      <c r="J457" s="23" t="s">
        <v>40</v>
      </c>
      <c r="K457" s="24">
        <v>2000</v>
      </c>
      <c r="L457" s="14">
        <v>3</v>
      </c>
      <c r="M457" s="17" t="s">
        <v>994</v>
      </c>
      <c r="N457" s="16" t="s">
        <v>67</v>
      </c>
      <c r="O457" s="16">
        <v>50</v>
      </c>
      <c r="P457" s="18">
        <v>240.41666666666666</v>
      </c>
      <c r="Q457" s="20"/>
      <c r="R457" s="20"/>
      <c r="S457" s="19">
        <v>0.8</v>
      </c>
      <c r="T457" s="20">
        <f t="shared" si="43"/>
        <v>7.5</v>
      </c>
      <c r="U457" s="20">
        <v>0.27</v>
      </c>
      <c r="V457" s="20">
        <f t="shared" si="44"/>
        <v>0.81</v>
      </c>
      <c r="W457" s="20"/>
      <c r="X457" s="20"/>
      <c r="Y457" s="20">
        <f t="shared" si="45"/>
        <v>0</v>
      </c>
      <c r="Z457" s="21">
        <f t="shared" si="46"/>
        <v>-240.41666666666666</v>
      </c>
      <c r="AA457" s="20"/>
      <c r="AB457" s="20"/>
      <c r="AC457" s="20"/>
      <c r="AD457" s="20">
        <f t="shared" si="47"/>
        <v>0</v>
      </c>
      <c r="AE457" s="20"/>
      <c r="AF457" s="20"/>
      <c r="AG457" s="20"/>
      <c r="AH457" s="20"/>
      <c r="AI457" s="20">
        <f t="shared" si="48"/>
        <v>0</v>
      </c>
      <c r="AJ457" s="20"/>
    </row>
    <row r="458" spans="2:36">
      <c r="B458" s="11" t="s">
        <v>1066</v>
      </c>
      <c r="C458" s="12" t="s">
        <v>1067</v>
      </c>
      <c r="D458" s="12" t="s">
        <v>38</v>
      </c>
      <c r="E458" s="13" t="s">
        <v>1063</v>
      </c>
      <c r="F458" s="14" t="str">
        <f>_xlfn.XLOOKUP(B458,'[1]Synthese suivi modernisation'!A:A,'[1]Synthese suivi modernisation'!S:S)</f>
        <v>KAOLACK</v>
      </c>
      <c r="G458" s="14" t="str">
        <f>_xlfn.XLOOKUP(B458,'[1]Synthese suivi modernisation'!A:A,'[1]Synthese suivi modernisation'!T:T)</f>
        <v>KAOLACK</v>
      </c>
      <c r="H458" s="20" t="s">
        <v>54</v>
      </c>
      <c r="I458" s="14" t="s">
        <v>41</v>
      </c>
      <c r="J458" s="23" t="s">
        <v>40</v>
      </c>
      <c r="K458" s="24">
        <v>2000</v>
      </c>
      <c r="L458" s="14">
        <v>12</v>
      </c>
      <c r="M458" s="17" t="s">
        <v>994</v>
      </c>
      <c r="N458" s="16" t="s">
        <v>67</v>
      </c>
      <c r="O458" s="16">
        <v>50</v>
      </c>
      <c r="P458" s="18">
        <v>2612.25</v>
      </c>
      <c r="Q458" s="20"/>
      <c r="R458" s="20"/>
      <c r="S458" s="19">
        <v>0.8</v>
      </c>
      <c r="T458" s="20">
        <f t="shared" si="43"/>
        <v>30</v>
      </c>
      <c r="U458" s="20">
        <v>0.27</v>
      </c>
      <c r="V458" s="20">
        <f t="shared" si="44"/>
        <v>3.24</v>
      </c>
      <c r="W458" s="20"/>
      <c r="X458" s="20"/>
      <c r="Y458" s="20">
        <f t="shared" si="45"/>
        <v>0</v>
      </c>
      <c r="Z458" s="21">
        <f t="shared" si="46"/>
        <v>-2612.25</v>
      </c>
      <c r="AA458" s="20"/>
      <c r="AB458" s="20"/>
      <c r="AC458" s="20"/>
      <c r="AD458" s="20">
        <f t="shared" si="47"/>
        <v>0</v>
      </c>
      <c r="AE458" s="20"/>
      <c r="AF458" s="20"/>
      <c r="AG458" s="20"/>
      <c r="AH458" s="20"/>
      <c r="AI458" s="20">
        <f t="shared" si="48"/>
        <v>0</v>
      </c>
      <c r="AJ458" s="20"/>
    </row>
    <row r="459" spans="2:36">
      <c r="B459" s="11" t="s">
        <v>1068</v>
      </c>
      <c r="C459" s="12" t="s">
        <v>1069</v>
      </c>
      <c r="D459" s="12" t="s">
        <v>38</v>
      </c>
      <c r="E459" s="13" t="s">
        <v>1063</v>
      </c>
      <c r="F459" s="14" t="str">
        <f>_xlfn.XLOOKUP(B459,'[1]Synthese suivi modernisation'!A:A,'[1]Synthese suivi modernisation'!S:S)</f>
        <v>TIVAOUANE</v>
      </c>
      <c r="G459" s="14" t="str">
        <f>_xlfn.XLOOKUP(B459,'[1]Synthese suivi modernisation'!A:A,'[1]Synthese suivi modernisation'!T:T)</f>
        <v>THIES</v>
      </c>
      <c r="H459" s="20" t="s">
        <v>54</v>
      </c>
      <c r="I459" s="14" t="s">
        <v>41</v>
      </c>
      <c r="J459" s="23" t="s">
        <v>40</v>
      </c>
      <c r="K459" s="24">
        <v>2000</v>
      </c>
      <c r="L459" s="14">
        <v>3.5</v>
      </c>
      <c r="M459" s="17" t="s">
        <v>994</v>
      </c>
      <c r="N459" s="16" t="s">
        <v>67</v>
      </c>
      <c r="O459" s="16">
        <v>50</v>
      </c>
      <c r="P459" s="18">
        <v>194.83333333333334</v>
      </c>
      <c r="Q459" s="20"/>
      <c r="R459" s="20"/>
      <c r="S459" s="19">
        <v>0.8</v>
      </c>
      <c r="T459" s="20">
        <f t="shared" si="43"/>
        <v>8.75</v>
      </c>
      <c r="U459" s="20">
        <v>0.27</v>
      </c>
      <c r="V459" s="20">
        <f t="shared" si="44"/>
        <v>0.94500000000000006</v>
      </c>
      <c r="W459" s="20"/>
      <c r="X459" s="20"/>
      <c r="Y459" s="20">
        <f t="shared" si="45"/>
        <v>0</v>
      </c>
      <c r="Z459" s="21">
        <f t="shared" si="46"/>
        <v>-194.83333333333334</v>
      </c>
      <c r="AA459" s="20"/>
      <c r="AB459" s="20"/>
      <c r="AC459" s="20"/>
      <c r="AD459" s="20">
        <f t="shared" si="47"/>
        <v>0</v>
      </c>
      <c r="AE459" s="20"/>
      <c r="AF459" s="20"/>
      <c r="AG459" s="20"/>
      <c r="AH459" s="20"/>
      <c r="AI459" s="20">
        <f t="shared" si="48"/>
        <v>0</v>
      </c>
      <c r="AJ459" s="20"/>
    </row>
    <row r="460" spans="2:36">
      <c r="B460" s="11" t="s">
        <v>1070</v>
      </c>
      <c r="C460" s="12" t="s">
        <v>1071</v>
      </c>
      <c r="D460" s="12" t="s">
        <v>38</v>
      </c>
      <c r="E460" s="13" t="s">
        <v>1063</v>
      </c>
      <c r="F460" s="14" t="str">
        <f>_xlfn.XLOOKUP(B460,'[1]Synthese suivi modernisation'!A:A,'[1]Synthese suivi modernisation'!S:S)</f>
        <v>KEDOUGOU</v>
      </c>
      <c r="G460" s="14" t="str">
        <f>_xlfn.XLOOKUP(B460,'[1]Synthese suivi modernisation'!A:A,'[1]Synthese suivi modernisation'!T:T)</f>
        <v>TAMBACOUNDA</v>
      </c>
      <c r="H460" s="20" t="s">
        <v>40</v>
      </c>
      <c r="I460" s="14" t="s">
        <v>41</v>
      </c>
      <c r="J460" s="16" t="s">
        <v>40</v>
      </c>
      <c r="K460" s="24">
        <v>4000</v>
      </c>
      <c r="L460" s="14">
        <v>4.5</v>
      </c>
      <c r="M460" s="17" t="s">
        <v>994</v>
      </c>
      <c r="N460" s="16" t="s">
        <v>80</v>
      </c>
      <c r="O460" s="16">
        <v>33</v>
      </c>
      <c r="P460" s="18">
        <v>574.58333333333337</v>
      </c>
      <c r="Q460" s="20"/>
      <c r="R460" s="20"/>
      <c r="S460" s="19">
        <v>0.8</v>
      </c>
      <c r="T460" s="20">
        <f t="shared" si="43"/>
        <v>17.045454545454543</v>
      </c>
      <c r="U460" s="20">
        <v>0.27</v>
      </c>
      <c r="V460" s="20">
        <f t="shared" si="44"/>
        <v>1.2150000000000001</v>
      </c>
      <c r="W460" s="20"/>
      <c r="X460" s="20"/>
      <c r="Y460" s="20">
        <f t="shared" si="45"/>
        <v>0</v>
      </c>
      <c r="Z460" s="21">
        <f t="shared" si="46"/>
        <v>-574.58333333333337</v>
      </c>
      <c r="AA460" s="20"/>
      <c r="AB460" s="20"/>
      <c r="AC460" s="20"/>
      <c r="AD460" s="20">
        <f t="shared" si="47"/>
        <v>0</v>
      </c>
      <c r="AE460" s="20"/>
      <c r="AF460" s="20"/>
      <c r="AG460" s="20"/>
      <c r="AH460" s="20"/>
      <c r="AI460" s="20">
        <f t="shared" si="48"/>
        <v>0</v>
      </c>
      <c r="AJ460" s="20"/>
    </row>
    <row r="461" spans="2:36">
      <c r="B461" s="11" t="s">
        <v>1072</v>
      </c>
      <c r="C461" s="12" t="s">
        <v>1073</v>
      </c>
      <c r="D461" s="12" t="s">
        <v>38</v>
      </c>
      <c r="E461" s="13" t="s">
        <v>1063</v>
      </c>
      <c r="F461" s="14" t="str">
        <f>_xlfn.XLOOKUP(B461,'[1]Synthese suivi modernisation'!A:A,'[1]Synthese suivi modernisation'!S:S)</f>
        <v>KEDOUGOU</v>
      </c>
      <c r="G461" s="14" t="str">
        <f>_xlfn.XLOOKUP(B461,'[1]Synthese suivi modernisation'!A:A,'[1]Synthese suivi modernisation'!T:T)</f>
        <v>TAMBACOUNDA</v>
      </c>
      <c r="H461" s="20" t="s">
        <v>1074</v>
      </c>
      <c r="I461" s="20" t="s">
        <v>71</v>
      </c>
      <c r="J461" s="23" t="s">
        <v>556</v>
      </c>
      <c r="K461" s="24">
        <v>4000</v>
      </c>
      <c r="L461" s="14">
        <v>4.5</v>
      </c>
      <c r="M461" s="17" t="s">
        <v>73</v>
      </c>
      <c r="N461" s="16" t="s">
        <v>259</v>
      </c>
      <c r="O461" s="16">
        <v>22</v>
      </c>
      <c r="P461" s="18">
        <v>16.416666666666668</v>
      </c>
      <c r="Q461" s="20"/>
      <c r="R461" s="20"/>
      <c r="S461" s="19">
        <v>0.8</v>
      </c>
      <c r="T461" s="20">
        <f t="shared" si="43"/>
        <v>25.568181818181817</v>
      </c>
      <c r="U461" s="20">
        <v>0.27</v>
      </c>
      <c r="V461" s="20">
        <f t="shared" si="44"/>
        <v>1.2150000000000001</v>
      </c>
      <c r="W461" s="20"/>
      <c r="X461" s="20"/>
      <c r="Y461" s="20">
        <f t="shared" si="45"/>
        <v>0</v>
      </c>
      <c r="Z461" s="21">
        <f t="shared" si="46"/>
        <v>-16.416666666666668</v>
      </c>
      <c r="AA461" s="20"/>
      <c r="AB461" s="20"/>
      <c r="AC461" s="20"/>
      <c r="AD461" s="20">
        <f t="shared" si="47"/>
        <v>0</v>
      </c>
      <c r="AE461" s="20"/>
      <c r="AF461" s="20"/>
      <c r="AG461" s="20"/>
      <c r="AH461" s="20"/>
      <c r="AI461" s="20">
        <f t="shared" si="48"/>
        <v>0</v>
      </c>
      <c r="AJ461" s="20"/>
    </row>
    <row r="462" spans="2:36">
      <c r="B462" s="11" t="s">
        <v>1075</v>
      </c>
      <c r="C462" s="12" t="s">
        <v>1076</v>
      </c>
      <c r="D462" s="12" t="s">
        <v>38</v>
      </c>
      <c r="E462" s="13" t="s">
        <v>1077</v>
      </c>
      <c r="F462" s="14" t="str">
        <f>_xlfn.XLOOKUP(B462,'[1]Synthese suivi modernisation'!A:A,'[1]Synthese suivi modernisation'!S:S)</f>
        <v>ZIGUINCHOR</v>
      </c>
      <c r="G462" s="14" t="str">
        <f>_xlfn.XLOOKUP(B462,'[1]Synthese suivi modernisation'!A:A,'[1]Synthese suivi modernisation'!T:T)</f>
        <v>ZIGUINCHOR</v>
      </c>
      <c r="H462" s="20" t="s">
        <v>54</v>
      </c>
      <c r="I462" s="14" t="s">
        <v>41</v>
      </c>
      <c r="J462" s="16" t="s">
        <v>1078</v>
      </c>
      <c r="K462" s="24">
        <v>500</v>
      </c>
      <c r="L462" s="14">
        <v>0.75</v>
      </c>
      <c r="M462" s="17" t="s">
        <v>42</v>
      </c>
      <c r="N462" s="16" t="s">
        <v>139</v>
      </c>
      <c r="O462" s="16">
        <v>18</v>
      </c>
      <c r="P462" s="18">
        <v>91.333333333333329</v>
      </c>
      <c r="Q462" s="20"/>
      <c r="R462" s="20"/>
      <c r="S462" s="19">
        <v>0.8</v>
      </c>
      <c r="T462" s="20">
        <f t="shared" si="43"/>
        <v>5.208333333333333</v>
      </c>
      <c r="U462" s="20">
        <v>0.27</v>
      </c>
      <c r="V462" s="20">
        <f t="shared" si="44"/>
        <v>0.20250000000000001</v>
      </c>
      <c r="W462" s="20"/>
      <c r="X462" s="20"/>
      <c r="Y462" s="20">
        <f t="shared" si="45"/>
        <v>0</v>
      </c>
      <c r="Z462" s="21">
        <f t="shared" si="46"/>
        <v>-91.333333333333329</v>
      </c>
      <c r="AA462" s="20"/>
      <c r="AB462" s="20"/>
      <c r="AC462" s="20"/>
      <c r="AD462" s="20">
        <f t="shared" si="47"/>
        <v>0</v>
      </c>
      <c r="AE462" s="20"/>
      <c r="AF462" s="20"/>
      <c r="AG462" s="20"/>
      <c r="AH462" s="20"/>
      <c r="AI462" s="20">
        <f t="shared" si="48"/>
        <v>0</v>
      </c>
      <c r="AJ462" s="20"/>
    </row>
    <row r="463" spans="2:36">
      <c r="B463" s="11" t="s">
        <v>1079</v>
      </c>
      <c r="C463" s="12" t="s">
        <v>1080</v>
      </c>
      <c r="D463" s="12" t="s">
        <v>38</v>
      </c>
      <c r="E463" s="13" t="s">
        <v>1063</v>
      </c>
      <c r="F463" s="14" t="str">
        <f>_xlfn.XLOOKUP(B463,'[1]Synthese suivi modernisation'!A:A,'[1]Synthese suivi modernisation'!S:S)</f>
        <v>Kedougou</v>
      </c>
      <c r="G463" s="14" t="str">
        <f>_xlfn.XLOOKUP(B463,'[1]Synthese suivi modernisation'!A:A,'[1]Synthese suivi modernisation'!T:T)</f>
        <v>KAOLACK</v>
      </c>
      <c r="H463" s="20" t="s">
        <v>40</v>
      </c>
      <c r="I463" s="14" t="s">
        <v>41</v>
      </c>
      <c r="J463" s="16" t="s">
        <v>40</v>
      </c>
      <c r="K463" s="24">
        <v>4000</v>
      </c>
      <c r="L463" s="14">
        <v>7.5</v>
      </c>
      <c r="M463" s="17" t="s">
        <v>994</v>
      </c>
      <c r="N463" s="16" t="s">
        <v>111</v>
      </c>
      <c r="O463" s="16">
        <v>22</v>
      </c>
      <c r="P463" s="18">
        <v>1426.1666666666667</v>
      </c>
      <c r="Q463" s="20"/>
      <c r="R463" s="20"/>
      <c r="S463" s="19">
        <v>0.8</v>
      </c>
      <c r="T463" s="20">
        <f t="shared" si="43"/>
        <v>42.61363636363636</v>
      </c>
      <c r="U463" s="20">
        <v>0.27</v>
      </c>
      <c r="V463" s="20">
        <f t="shared" si="44"/>
        <v>2.0250000000000004</v>
      </c>
      <c r="W463" s="20"/>
      <c r="X463" s="20"/>
      <c r="Y463" s="20">
        <f t="shared" si="45"/>
        <v>0</v>
      </c>
      <c r="Z463" s="21">
        <f t="shared" si="46"/>
        <v>-1426.1666666666667</v>
      </c>
      <c r="AA463" s="20"/>
      <c r="AB463" s="20"/>
      <c r="AC463" s="20"/>
      <c r="AD463" s="20">
        <f t="shared" si="47"/>
        <v>0</v>
      </c>
      <c r="AE463" s="20"/>
      <c r="AF463" s="20"/>
      <c r="AG463" s="20"/>
      <c r="AH463" s="20"/>
      <c r="AI463" s="20">
        <f t="shared" si="48"/>
        <v>0</v>
      </c>
      <c r="AJ463" s="20"/>
    </row>
    <row r="464" spans="2:36">
      <c r="B464" s="11" t="s">
        <v>1081</v>
      </c>
      <c r="C464" s="12" t="s">
        <v>1082</v>
      </c>
      <c r="D464" s="12" t="s">
        <v>38</v>
      </c>
      <c r="E464" s="13" t="s">
        <v>1063</v>
      </c>
      <c r="F464" s="14" t="str">
        <f>_xlfn.XLOOKUP(B464,'[1]Synthese suivi modernisation'!A:A,'[1]Synthese suivi modernisation'!S:S)</f>
        <v>KEDOUGOU</v>
      </c>
      <c r="G464" s="14" t="str">
        <f>_xlfn.XLOOKUP(B464,'[1]Synthese suivi modernisation'!A:A,'[1]Synthese suivi modernisation'!T:T)</f>
        <v>TAMBACOUNDA</v>
      </c>
      <c r="H464" s="20" t="s">
        <v>40</v>
      </c>
      <c r="I464" s="14" t="s">
        <v>41</v>
      </c>
      <c r="J464" s="16" t="s">
        <v>40</v>
      </c>
      <c r="K464" s="24">
        <v>4000</v>
      </c>
      <c r="L464" s="14">
        <v>4.5</v>
      </c>
      <c r="M464" s="17" t="s">
        <v>994</v>
      </c>
      <c r="N464" s="16" t="s">
        <v>80</v>
      </c>
      <c r="O464" s="16">
        <v>33</v>
      </c>
      <c r="P464" s="18">
        <v>574.58333333333337</v>
      </c>
      <c r="Q464" s="20"/>
      <c r="R464" s="20"/>
      <c r="S464" s="19">
        <v>0.8</v>
      </c>
      <c r="T464" s="20">
        <f t="shared" si="43"/>
        <v>17.045454545454543</v>
      </c>
      <c r="U464" s="20">
        <v>0.27</v>
      </c>
      <c r="V464" s="20">
        <f t="shared" si="44"/>
        <v>1.2150000000000001</v>
      </c>
      <c r="W464" s="20"/>
      <c r="X464" s="20"/>
      <c r="Y464" s="20">
        <f t="shared" si="45"/>
        <v>0</v>
      </c>
      <c r="Z464" s="21">
        <f t="shared" si="46"/>
        <v>-574.58333333333337</v>
      </c>
      <c r="AA464" s="20"/>
      <c r="AB464" s="20"/>
      <c r="AC464" s="20"/>
      <c r="AD464" s="20">
        <f t="shared" si="47"/>
        <v>0</v>
      </c>
      <c r="AE464" s="20"/>
      <c r="AF464" s="20"/>
      <c r="AG464" s="20"/>
      <c r="AH464" s="20"/>
      <c r="AI464" s="20">
        <f t="shared" si="48"/>
        <v>0</v>
      </c>
      <c r="AJ464" s="20"/>
    </row>
    <row r="465" spans="2:36">
      <c r="B465" s="11" t="s">
        <v>1083</v>
      </c>
      <c r="C465" s="12" t="s">
        <v>1084</v>
      </c>
      <c r="D465" s="12" t="s">
        <v>38</v>
      </c>
      <c r="E465" s="13" t="s">
        <v>1085</v>
      </c>
      <c r="F465" s="14" t="str">
        <f>_xlfn.XLOOKUP(B465,'[1]Synthese suivi modernisation'!A:A,'[1]Synthese suivi modernisation'!S:S)</f>
        <v>MEDINA</v>
      </c>
      <c r="G465" s="14" t="str">
        <f>_xlfn.XLOOKUP(B465,'[1]Synthese suivi modernisation'!A:A,'[1]Synthese suivi modernisation'!T:T)</f>
        <v>DAKAR</v>
      </c>
      <c r="H465" s="20" t="s">
        <v>242</v>
      </c>
      <c r="I465" s="20" t="s">
        <v>143</v>
      </c>
      <c r="J465" s="16" t="s">
        <v>242</v>
      </c>
      <c r="K465" s="24">
        <v>4000</v>
      </c>
      <c r="L465" s="14">
        <v>1</v>
      </c>
      <c r="M465" s="17" t="s">
        <v>73</v>
      </c>
      <c r="N465" s="16" t="s">
        <v>116</v>
      </c>
      <c r="O465" s="16">
        <v>66</v>
      </c>
      <c r="P465" s="18">
        <v>107.33333333333333</v>
      </c>
      <c r="Q465" s="20"/>
      <c r="R465" s="20"/>
      <c r="S465" s="19">
        <v>0.8</v>
      </c>
      <c r="T465" s="20">
        <f t="shared" si="43"/>
        <v>1.8939393939393936</v>
      </c>
      <c r="U465" s="20">
        <v>0.27</v>
      </c>
      <c r="V465" s="20">
        <f t="shared" si="44"/>
        <v>0.27</v>
      </c>
      <c r="W465" s="20"/>
      <c r="X465" s="20"/>
      <c r="Y465" s="20">
        <f t="shared" si="45"/>
        <v>0</v>
      </c>
      <c r="Z465" s="21">
        <f t="shared" si="46"/>
        <v>-107.33333333333333</v>
      </c>
      <c r="AA465" s="20"/>
      <c r="AB465" s="20"/>
      <c r="AC465" s="20"/>
      <c r="AD465" s="20">
        <f t="shared" si="47"/>
        <v>0</v>
      </c>
      <c r="AE465" s="20"/>
      <c r="AF465" s="20"/>
      <c r="AG465" s="20"/>
      <c r="AH465" s="20"/>
      <c r="AI465" s="20">
        <f t="shared" si="48"/>
        <v>0</v>
      </c>
      <c r="AJ465" s="20"/>
    </row>
    <row r="466" spans="2:36">
      <c r="B466" s="25" t="s">
        <v>1086</v>
      </c>
      <c r="C466" s="26" t="s">
        <v>1087</v>
      </c>
      <c r="D466" s="26" t="s">
        <v>38</v>
      </c>
      <c r="E466" s="27" t="s">
        <v>1088</v>
      </c>
      <c r="F466" s="14" t="str">
        <f>_xlfn.XLOOKUP(B466,'[1]Synthese suivi modernisation'!A:A,'[1]Synthese suivi modernisation'!S:S)</f>
        <v>KEDOUGOU</v>
      </c>
      <c r="G466" s="14" t="str">
        <f>_xlfn.XLOOKUP(B466,'[1]Synthese suivi modernisation'!A:A,'[1]Synthese suivi modernisation'!T:T)</f>
        <v>TAMBACOUNDA</v>
      </c>
      <c r="H466" s="20" t="s">
        <v>40</v>
      </c>
      <c r="I466" s="14" t="s">
        <v>41</v>
      </c>
      <c r="J466" s="16" t="s">
        <v>40</v>
      </c>
      <c r="K466" s="24">
        <v>4000</v>
      </c>
      <c r="L466" s="14">
        <v>4</v>
      </c>
      <c r="M466" s="17" t="s">
        <v>994</v>
      </c>
      <c r="N466" s="16" t="s">
        <v>80</v>
      </c>
      <c r="O466" s="16">
        <v>33</v>
      </c>
      <c r="P466" s="18">
        <v>300.58333333333331</v>
      </c>
      <c r="Q466" s="20"/>
      <c r="R466" s="20"/>
      <c r="S466" s="19">
        <v>0.8</v>
      </c>
      <c r="T466" s="20">
        <f t="shared" si="43"/>
        <v>15.151515151515149</v>
      </c>
      <c r="U466" s="20">
        <v>0.27</v>
      </c>
      <c r="V466" s="20">
        <f t="shared" si="44"/>
        <v>1.08</v>
      </c>
      <c r="W466" s="20"/>
      <c r="X466" s="20"/>
      <c r="Y466" s="20">
        <f t="shared" si="45"/>
        <v>0</v>
      </c>
      <c r="Z466" s="21">
        <f t="shared" si="46"/>
        <v>-300.58333333333331</v>
      </c>
      <c r="AA466" s="20"/>
      <c r="AB466" s="20"/>
      <c r="AC466" s="20"/>
      <c r="AD466" s="20">
        <f t="shared" si="47"/>
        <v>0</v>
      </c>
      <c r="AE466" s="20"/>
      <c r="AF466" s="20"/>
      <c r="AG466" s="20"/>
      <c r="AH466" s="20"/>
      <c r="AI466" s="20">
        <f t="shared" si="48"/>
        <v>0</v>
      </c>
      <c r="AJ466" s="20"/>
    </row>
    <row r="467" spans="2:36">
      <c r="B467" s="25" t="s">
        <v>1089</v>
      </c>
      <c r="C467" s="26" t="s">
        <v>1090</v>
      </c>
      <c r="D467" s="26" t="s">
        <v>38</v>
      </c>
      <c r="E467" s="27" t="s">
        <v>1088</v>
      </c>
      <c r="F467" s="14" t="str">
        <f>_xlfn.XLOOKUP(B467,'[1]Synthese suivi modernisation'!A:A,'[1]Synthese suivi modernisation'!S:S)</f>
        <v>KEDOUGOU</v>
      </c>
      <c r="G467" s="14" t="str">
        <f>_xlfn.XLOOKUP(B467,'[1]Synthese suivi modernisation'!A:A,'[1]Synthese suivi modernisation'!T:T)</f>
        <v>TAMBACOUNDA</v>
      </c>
      <c r="H467" s="20" t="s">
        <v>40</v>
      </c>
      <c r="I467" s="14" t="s">
        <v>41</v>
      </c>
      <c r="J467" s="16" t="s">
        <v>40</v>
      </c>
      <c r="K467" s="24">
        <v>4000</v>
      </c>
      <c r="L467" s="14">
        <v>4</v>
      </c>
      <c r="M467" s="17" t="s">
        <v>994</v>
      </c>
      <c r="N467" s="16" t="s">
        <v>80</v>
      </c>
      <c r="O467" s="16">
        <v>33</v>
      </c>
      <c r="P467" s="18">
        <v>300.58333333333331</v>
      </c>
      <c r="Q467" s="20"/>
      <c r="R467" s="20"/>
      <c r="S467" s="19">
        <v>0.8</v>
      </c>
      <c r="T467" s="20">
        <f t="shared" si="43"/>
        <v>15.151515151515149</v>
      </c>
      <c r="U467" s="20">
        <v>0.27</v>
      </c>
      <c r="V467" s="20">
        <f t="shared" si="44"/>
        <v>1.08</v>
      </c>
      <c r="W467" s="20"/>
      <c r="X467" s="20"/>
      <c r="Y467" s="20">
        <f t="shared" si="45"/>
        <v>0</v>
      </c>
      <c r="Z467" s="21">
        <f t="shared" si="46"/>
        <v>-300.58333333333331</v>
      </c>
      <c r="AA467" s="20"/>
      <c r="AB467" s="20"/>
      <c r="AC467" s="20"/>
      <c r="AD467" s="20">
        <f t="shared" si="47"/>
        <v>0</v>
      </c>
      <c r="AE467" s="20"/>
      <c r="AF467" s="20"/>
      <c r="AG467" s="20"/>
      <c r="AH467" s="20"/>
      <c r="AI467" s="20">
        <f t="shared" si="48"/>
        <v>0</v>
      </c>
      <c r="AJ467" s="20"/>
    </row>
    <row r="468" spans="2:36">
      <c r="B468" s="25" t="s">
        <v>1091</v>
      </c>
      <c r="C468" s="26" t="s">
        <v>1092</v>
      </c>
      <c r="D468" s="26" t="s">
        <v>38</v>
      </c>
      <c r="E468" s="27" t="s">
        <v>1088</v>
      </c>
      <c r="F468" s="14" t="str">
        <f>_xlfn.XLOOKUP(B468,'[1]Synthese suivi modernisation'!A:A,'[1]Synthese suivi modernisation'!S:S)</f>
        <v>KEDOUGOU</v>
      </c>
      <c r="G468" s="14" t="str">
        <f>_xlfn.XLOOKUP(B468,'[1]Synthese suivi modernisation'!A:A,'[1]Synthese suivi modernisation'!T:T)</f>
        <v>TAMBACOUNDA</v>
      </c>
      <c r="H468" s="20" t="s">
        <v>40</v>
      </c>
      <c r="I468" s="14" t="s">
        <v>41</v>
      </c>
      <c r="J468" s="16" t="s">
        <v>40</v>
      </c>
      <c r="K468" s="24">
        <v>4000</v>
      </c>
      <c r="L468" s="14">
        <v>4</v>
      </c>
      <c r="M468" s="17" t="s">
        <v>994</v>
      </c>
      <c r="N468" s="16" t="s">
        <v>80</v>
      </c>
      <c r="O468" s="16">
        <v>33</v>
      </c>
      <c r="P468" s="18">
        <v>300.58333333333331</v>
      </c>
      <c r="Q468" s="20"/>
      <c r="R468" s="20"/>
      <c r="S468" s="19">
        <v>0.8</v>
      </c>
      <c r="T468" s="20">
        <f t="shared" si="43"/>
        <v>15.151515151515149</v>
      </c>
      <c r="U468" s="20">
        <v>0.27</v>
      </c>
      <c r="V468" s="20">
        <f t="shared" si="44"/>
        <v>1.08</v>
      </c>
      <c r="W468" s="20"/>
      <c r="X468" s="20"/>
      <c r="Y468" s="20">
        <f t="shared" si="45"/>
        <v>0</v>
      </c>
      <c r="Z468" s="21">
        <f t="shared" si="46"/>
        <v>-300.58333333333331</v>
      </c>
      <c r="AA468" s="20"/>
      <c r="AB468" s="20"/>
      <c r="AC468" s="20"/>
      <c r="AD468" s="20">
        <f t="shared" si="47"/>
        <v>0</v>
      </c>
      <c r="AE468" s="20"/>
      <c r="AF468" s="20"/>
      <c r="AG468" s="20"/>
      <c r="AH468" s="20"/>
      <c r="AI468" s="20">
        <f t="shared" si="48"/>
        <v>0</v>
      </c>
      <c r="AJ468" s="20"/>
    </row>
    <row r="469" spans="2:36">
      <c r="B469" s="25" t="s">
        <v>1093</v>
      </c>
      <c r="C469" s="26" t="s">
        <v>1094</v>
      </c>
      <c r="D469" s="26" t="s">
        <v>38</v>
      </c>
      <c r="E469" s="27" t="s">
        <v>1088</v>
      </c>
      <c r="F469" s="14" t="str">
        <f>_xlfn.XLOOKUP(B469,'[1]Synthese suivi modernisation'!A:A,'[1]Synthese suivi modernisation'!S:S)</f>
        <v>KEDOUGOU</v>
      </c>
      <c r="G469" s="14" t="str">
        <f>_xlfn.XLOOKUP(B469,'[1]Synthese suivi modernisation'!A:A,'[1]Synthese suivi modernisation'!T:T)</f>
        <v>TAMBACOUNDA</v>
      </c>
      <c r="H469" s="20" t="s">
        <v>40</v>
      </c>
      <c r="I469" s="14" t="s">
        <v>41</v>
      </c>
      <c r="J469" s="16" t="s">
        <v>40</v>
      </c>
      <c r="K469" s="24">
        <v>4000</v>
      </c>
      <c r="L469" s="14">
        <v>4</v>
      </c>
      <c r="M469" s="17" t="s">
        <v>994</v>
      </c>
      <c r="N469" s="16" t="s">
        <v>80</v>
      </c>
      <c r="O469" s="16">
        <v>33</v>
      </c>
      <c r="P469" s="18">
        <v>300.58333333333331</v>
      </c>
      <c r="Q469" s="20"/>
      <c r="R469" s="20"/>
      <c r="S469" s="19">
        <v>0.8</v>
      </c>
      <c r="T469" s="20">
        <f t="shared" si="43"/>
        <v>15.151515151515149</v>
      </c>
      <c r="U469" s="20">
        <v>0.27</v>
      </c>
      <c r="V469" s="20">
        <f t="shared" si="44"/>
        <v>1.08</v>
      </c>
      <c r="W469" s="20"/>
      <c r="X469" s="20"/>
      <c r="Y469" s="20">
        <f t="shared" si="45"/>
        <v>0</v>
      </c>
      <c r="Z469" s="21">
        <f t="shared" si="46"/>
        <v>-300.58333333333331</v>
      </c>
      <c r="AA469" s="20"/>
      <c r="AB469" s="20"/>
      <c r="AC469" s="20"/>
      <c r="AD469" s="20">
        <f t="shared" si="47"/>
        <v>0</v>
      </c>
      <c r="AE469" s="20"/>
      <c r="AF469" s="20"/>
      <c r="AG469" s="20"/>
      <c r="AH469" s="20"/>
      <c r="AI469" s="20">
        <f t="shared" si="48"/>
        <v>0</v>
      </c>
      <c r="AJ469" s="20"/>
    </row>
    <row r="470" spans="2:36">
      <c r="B470" s="25" t="s">
        <v>1095</v>
      </c>
      <c r="C470" s="26" t="s">
        <v>1096</v>
      </c>
      <c r="D470" s="26" t="s">
        <v>1097</v>
      </c>
      <c r="E470" s="27" t="s">
        <v>1088</v>
      </c>
      <c r="F470" s="14" t="s">
        <v>1098</v>
      </c>
      <c r="G470" s="14" t="s">
        <v>1099</v>
      </c>
      <c r="H470" s="20" t="s">
        <v>40</v>
      </c>
      <c r="I470" s="14" t="s">
        <v>41</v>
      </c>
      <c r="J470" s="16" t="s">
        <v>40</v>
      </c>
      <c r="K470" s="24">
        <v>4000</v>
      </c>
      <c r="L470" s="14">
        <v>4</v>
      </c>
      <c r="M470" s="17" t="e">
        <v>#N/A</v>
      </c>
      <c r="N470" s="16" t="s">
        <v>80</v>
      </c>
      <c r="O470" s="16">
        <v>33</v>
      </c>
      <c r="P470" s="18">
        <v>300.58333333333331</v>
      </c>
      <c r="Q470" s="20"/>
      <c r="R470" s="20"/>
      <c r="S470" s="19">
        <v>0.8</v>
      </c>
      <c r="T470" s="20">
        <f t="shared" si="43"/>
        <v>15.151515151515149</v>
      </c>
      <c r="U470" s="20">
        <v>0.27</v>
      </c>
      <c r="V470" s="20">
        <f t="shared" si="44"/>
        <v>1.08</v>
      </c>
      <c r="W470" s="20"/>
      <c r="X470" s="20"/>
      <c r="Y470" s="20">
        <f t="shared" si="45"/>
        <v>0</v>
      </c>
      <c r="Z470" s="21">
        <f t="shared" si="46"/>
        <v>-300.58333333333331</v>
      </c>
      <c r="AA470" s="20"/>
      <c r="AB470" s="20"/>
      <c r="AC470" s="20"/>
      <c r="AD470" s="20">
        <f t="shared" si="47"/>
        <v>0</v>
      </c>
      <c r="AE470" s="20"/>
      <c r="AF470" s="20"/>
      <c r="AG470" s="20"/>
      <c r="AH470" s="20"/>
      <c r="AI470" s="20">
        <f t="shared" si="48"/>
        <v>0</v>
      </c>
      <c r="AJ470" s="20"/>
    </row>
    <row r="471" spans="2:36">
      <c r="B471" s="25" t="s">
        <v>1100</v>
      </c>
      <c r="C471" s="26" t="s">
        <v>1101</v>
      </c>
      <c r="D471" s="26" t="s">
        <v>1097</v>
      </c>
      <c r="E471" s="27" t="s">
        <v>1088</v>
      </c>
      <c r="F471" s="14" t="str">
        <f>_xlfn.XLOOKUP(B471,'[1]Synthese suivi modernisation'!A:A,'[1]Synthese suivi modernisation'!S:S)</f>
        <v>KEDOUGOU</v>
      </c>
      <c r="G471" s="14" t="str">
        <f>_xlfn.XLOOKUP(B471,'[1]Synthese suivi modernisation'!A:A,'[1]Synthese suivi modernisation'!T:T)</f>
        <v>TAMBACOUNDA</v>
      </c>
      <c r="H471" s="20" t="s">
        <v>40</v>
      </c>
      <c r="I471" s="14" t="s">
        <v>41</v>
      </c>
      <c r="J471" s="16" t="s">
        <v>40</v>
      </c>
      <c r="K471" s="24">
        <v>4000</v>
      </c>
      <c r="L471" s="14">
        <v>4</v>
      </c>
      <c r="M471" s="17" t="s">
        <v>994</v>
      </c>
      <c r="N471" s="16" t="s">
        <v>80</v>
      </c>
      <c r="O471" s="16">
        <v>33</v>
      </c>
      <c r="P471" s="18">
        <v>300.58333333333331</v>
      </c>
      <c r="Q471" s="20"/>
      <c r="R471" s="20"/>
      <c r="S471" s="19">
        <v>0.8</v>
      </c>
      <c r="T471" s="20">
        <f t="shared" si="43"/>
        <v>15.151515151515149</v>
      </c>
      <c r="U471" s="20">
        <v>0.27</v>
      </c>
      <c r="V471" s="20">
        <f t="shared" si="44"/>
        <v>1.08</v>
      </c>
      <c r="W471" s="20"/>
      <c r="X471" s="20"/>
      <c r="Y471" s="20">
        <f t="shared" si="45"/>
        <v>0</v>
      </c>
      <c r="Z471" s="21">
        <f t="shared" si="46"/>
        <v>-300.58333333333331</v>
      </c>
      <c r="AA471" s="20"/>
      <c r="AB471" s="20"/>
      <c r="AC471" s="20"/>
      <c r="AD471" s="20">
        <f t="shared" si="47"/>
        <v>0</v>
      </c>
      <c r="AE471" s="20"/>
      <c r="AF471" s="20"/>
      <c r="AG471" s="20"/>
      <c r="AH471" s="20"/>
      <c r="AI471" s="20">
        <f t="shared" si="48"/>
        <v>0</v>
      </c>
      <c r="AJ471" s="20"/>
    </row>
    <row r="472" spans="2:36">
      <c r="B472" s="25" t="s">
        <v>1102</v>
      </c>
      <c r="C472" s="26" t="s">
        <v>1103</v>
      </c>
      <c r="D472" s="26" t="s">
        <v>1097</v>
      </c>
      <c r="E472" s="27" t="s">
        <v>1088</v>
      </c>
      <c r="F472" s="14" t="s">
        <v>1098</v>
      </c>
      <c r="G472" s="14" t="s">
        <v>1099</v>
      </c>
      <c r="H472" s="20" t="s">
        <v>40</v>
      </c>
      <c r="I472" s="14" t="s">
        <v>41</v>
      </c>
      <c r="J472" s="16" t="s">
        <v>40</v>
      </c>
      <c r="K472" s="24">
        <v>4000</v>
      </c>
      <c r="L472" s="14">
        <v>4</v>
      </c>
      <c r="M472" s="17" t="e">
        <v>#N/A</v>
      </c>
      <c r="N472" s="16" t="s">
        <v>80</v>
      </c>
      <c r="O472" s="16">
        <v>33</v>
      </c>
      <c r="P472" s="18">
        <v>300.58333333333331</v>
      </c>
      <c r="Q472" s="20"/>
      <c r="R472" s="20"/>
      <c r="S472" s="19">
        <v>0.8</v>
      </c>
      <c r="T472" s="20">
        <f t="shared" si="43"/>
        <v>15.151515151515149</v>
      </c>
      <c r="U472" s="20">
        <v>0.27</v>
      </c>
      <c r="V472" s="20">
        <f t="shared" si="44"/>
        <v>1.08</v>
      </c>
      <c r="W472" s="20"/>
      <c r="X472" s="20"/>
      <c r="Y472" s="20">
        <f t="shared" si="45"/>
        <v>0</v>
      </c>
      <c r="Z472" s="21">
        <f t="shared" si="46"/>
        <v>-300.58333333333331</v>
      </c>
      <c r="AA472" s="20"/>
      <c r="AB472" s="20"/>
      <c r="AC472" s="20"/>
      <c r="AD472" s="20">
        <f t="shared" si="47"/>
        <v>0</v>
      </c>
      <c r="AE472" s="20"/>
      <c r="AF472" s="20"/>
      <c r="AG472" s="20"/>
      <c r="AH472" s="20"/>
      <c r="AI472" s="20">
        <f t="shared" si="48"/>
        <v>0</v>
      </c>
      <c r="AJ472" s="20"/>
    </row>
    <row r="473" spans="2:36">
      <c r="B473" s="25" t="s">
        <v>1104</v>
      </c>
      <c r="C473" s="26" t="s">
        <v>1105</v>
      </c>
      <c r="D473" s="26" t="s">
        <v>1097</v>
      </c>
      <c r="E473" s="27" t="s">
        <v>1088</v>
      </c>
      <c r="F473" s="14" t="s">
        <v>1098</v>
      </c>
      <c r="G473" s="14" t="s">
        <v>1099</v>
      </c>
      <c r="H473" s="20" t="s">
        <v>40</v>
      </c>
      <c r="I473" s="14" t="s">
        <v>41</v>
      </c>
      <c r="J473" s="16" t="s">
        <v>40</v>
      </c>
      <c r="K473" s="24">
        <v>4000</v>
      </c>
      <c r="L473" s="14">
        <v>4</v>
      </c>
      <c r="M473" s="17" t="e">
        <v>#N/A</v>
      </c>
      <c r="N473" s="16" t="s">
        <v>80</v>
      </c>
      <c r="O473" s="16">
        <v>33</v>
      </c>
      <c r="P473" s="18">
        <v>300.58333333333331</v>
      </c>
      <c r="Q473" s="20"/>
      <c r="R473" s="20"/>
      <c r="S473" s="19">
        <v>0.8</v>
      </c>
      <c r="T473" s="20">
        <f t="shared" si="43"/>
        <v>15.151515151515149</v>
      </c>
      <c r="U473" s="20">
        <v>0.27</v>
      </c>
      <c r="V473" s="20">
        <f t="shared" si="44"/>
        <v>1.08</v>
      </c>
      <c r="W473" s="20"/>
      <c r="X473" s="20"/>
      <c r="Y473" s="20">
        <f t="shared" si="45"/>
        <v>0</v>
      </c>
      <c r="Z473" s="21">
        <f t="shared" si="46"/>
        <v>-300.58333333333331</v>
      </c>
      <c r="AA473" s="20"/>
      <c r="AB473" s="20"/>
      <c r="AC473" s="20"/>
      <c r="AD473" s="20">
        <f t="shared" si="47"/>
        <v>0</v>
      </c>
      <c r="AE473" s="20"/>
      <c r="AF473" s="20"/>
      <c r="AG473" s="20"/>
      <c r="AH473" s="20"/>
      <c r="AI473" s="20">
        <f t="shared" si="48"/>
        <v>0</v>
      </c>
      <c r="AJ473" s="20"/>
    </row>
  </sheetData>
  <autoFilter ref="B4:AK473" xr:uid="{61945C0B-7711-45F2-A6C0-F596C6A3D05C}"/>
  <conditionalFormatting sqref="B2:B3">
    <cfRule type="duplicateValues" dxfId="4" priority="3"/>
    <cfRule type="duplicateValues" dxfId="3" priority="4"/>
  </conditionalFormatting>
  <conditionalFormatting sqref="B2:B4">
    <cfRule type="duplicateValues" dxfId="2" priority="1"/>
    <cfRule type="duplicateValues" dxfId="1" priority="2"/>
  </conditionalFormatting>
  <conditionalFormatting sqref="B5:B47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Stanislus Ngopi</dc:creator>
  <cp:lastModifiedBy>Stanislus Ngopi</cp:lastModifiedBy>
  <dcterms:created xsi:type="dcterms:W3CDTF">2026-08-21T09:03:54Z</dcterms:created>
  <dcterms:modified xsi:type="dcterms:W3CDTF">2026-08-21T09:07:29Z</dcterms:modified>
</cp:coreProperties>
</file>