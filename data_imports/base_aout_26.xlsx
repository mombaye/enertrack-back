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loyment Esco Senegal\"/>
    </mc:Choice>
  </mc:AlternateContent>
  <xr:revisionPtr revIDLastSave="0" documentId="13_ncr:1_{662768DF-414A-487D-AA65-DA36050EAB31}" xr6:coauthVersionLast="47" xr6:coauthVersionMax="47" xr10:uidLastSave="{00000000-0000-0000-0000-000000000000}"/>
  <bookViews>
    <workbookView xWindow="28680" yWindow="-120" windowWidth="29040" windowHeight="15720" tabRatio="915" activeTab="1" xr2:uid="{97D1D4E0-E7F2-43AB-A8B9-CA273C475099}"/>
  </bookViews>
  <sheets>
    <sheet name="Summary" sheetId="8" r:id="rId1"/>
    <sheet name="KPIs par site" sheetId="22" r:id="rId2"/>
    <sheet name="IS Assumptions" sheetId="23" r:id="rId3"/>
    <sheet name="Listes" sheetId="13" state="hidden" r:id="rId4"/>
  </sheets>
  <definedNames>
    <definedName name="__FDS_HYPERLINK_TOGGLE_STATE__" hidden="1">"ON"</definedName>
    <definedName name="_B72100">#REF!</definedName>
    <definedName name="_CFO931">#REF!</definedName>
    <definedName name="_CIN1">#REF!</definedName>
    <definedName name="_CIN2">#REF!</definedName>
    <definedName name="_CVM1">#REF!</definedName>
    <definedName name="_CVM2">#REF!</definedName>
    <definedName name="_Fax1">#REF!</definedName>
    <definedName name="_xlnm._FilterDatabase" localSheetId="1" hidden="1">'KPIs par site'!$A$6:$O$449</definedName>
    <definedName name="_ok2" hidden="1">{"COST",#N/A,FALSE,"SYNTHESE";"MARGIN",#N/A,FALSE,"SYNTHESE";"LOT_COM",#N/A,FALSE,"SYNTHESE"}</definedName>
    <definedName name="_Order1" hidden="1">0</definedName>
    <definedName name="_RCL1">#REF!</definedName>
    <definedName name="_RCL2">#REF!</definedName>
    <definedName name="_Rue1">#REF!</definedName>
    <definedName name="_Table2_In2" hidden="1">#REF!</definedName>
    <definedName name="_UNDO31X31X_" hidden="1">#REF!</definedName>
    <definedName name="a" hidden="1">{#N/A,#N/A,TRUE,"Config1";#N/A,#N/A,TRUE,"Config2";#N/A,#N/A,TRUE,"Config3";#N/A,#N/A,TRUE,"Config4";#N/A,#N/A,TRUE,"Config5";#N/A,#N/A,TRUE,"Config6";#N/A,#N/A,TRUE,"Config7"}</definedName>
    <definedName name="a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AAA" hidden="1">{#N/A,#N/A,TRUE,"Config1";#N/A,#N/A,TRUE,"Config2";#N/A,#N/A,TRUE,"Config3";#N/A,#N/A,TRUE,"Config4";#N/A,#N/A,TRUE,"Config5";#N/A,#N/A,TRUE,"Config6";#N/A,#N/A,TRUE,"Config7"}</definedName>
    <definedName name="AAA_DOCTOPS" hidden="1">"AAA_SET"</definedName>
    <definedName name="AAA_duser" hidden="1">"OFF"</definedName>
    <definedName name="aaaaaaaaaaaaaaaaaaaaaaaaaaa">!#REF!</definedName>
    <definedName name="aaaaaaaaaaaaaaaaaaaaaaaaaaaaaaaaaaaaaaaaaa">!#REF!</definedName>
    <definedName name="AAB_Addin5" hidden="1">"AAB_Description for addin 5,Description for addin 5,Description for addin 5,Description for addin 5,Description for addin 5,Description for addin 5"</definedName>
    <definedName name="ac_presence">#REF!</definedName>
    <definedName name="accounts">#REF!</definedName>
    <definedName name="adf" hidden="1">#REF!</definedName>
    <definedName name="Airtel_Support_Engineer_No">#REF!</definedName>
    <definedName name="all_bat">#REF!</definedName>
    <definedName name="anscount" hidden="1">1</definedName>
    <definedName name="APAC_">#REF!</definedName>
    <definedName name="aq" hidden="1">{#N/A,#N/A,TRUE,"Config1";#N/A,#N/A,TRUE,"Config2";#N/A,#N/A,TRUE,"Config3";#N/A,#N/A,TRUE,"Config4";#N/A,#N/A,TRUE,"Config5";#N/A,#N/A,TRUE,"Config6";#N/A,#N/A,TRUE,"Config7"}</definedName>
    <definedName name="Area1">#REF!</definedName>
    <definedName name="Area10">#REF!</definedName>
    <definedName name="Area11">#REF!</definedName>
    <definedName name="Area12">#REF!</definedName>
    <definedName name="Area13">#REF!</definedName>
    <definedName name="Area14">#REF!</definedName>
    <definedName name="Area15">#REF!</definedName>
    <definedName name="Area16">#REF!</definedName>
    <definedName name="Area17">#REF!</definedName>
    <definedName name="Area18">#REF!</definedName>
    <definedName name="Area19">#REF!</definedName>
    <definedName name="Area2">#REF!</definedName>
    <definedName name="Area20">#REF!</definedName>
    <definedName name="Area21">#REF!</definedName>
    <definedName name="Area22">#REF!</definedName>
    <definedName name="Area23">#REF!</definedName>
    <definedName name="Area24">#REF!</definedName>
    <definedName name="Area25">#REF!</definedName>
    <definedName name="Area26">#REF!</definedName>
    <definedName name="Area27">#REF!</definedName>
    <definedName name="Area3">#REF!</definedName>
    <definedName name="Area4">#REF!</definedName>
    <definedName name="Area5">#REF!</definedName>
    <definedName name="Area6">#REF!</definedName>
    <definedName name="Area7">#REF!</definedName>
    <definedName name="Area8">#REF!</definedName>
    <definedName name="Area9">#REF!</definedName>
    <definedName name="AS2DocOpenMode" hidden="1">"AS2DocumentEdit"</definedName>
    <definedName name="asd" hidden="1">#REF!</definedName>
    <definedName name="AutoMemLock">#REF!</definedName>
    <definedName name="azerzaerazrr" hidden="1">#REF!</definedName>
    <definedName name="b" hidden="1">{#N/A,#N/A,TRUE,"Config1";#N/A,#N/A,TRUE,"Config2";#N/A,#N/A,TRUE,"Config3";#N/A,#N/A,TRUE,"Config4";#N/A,#N/A,TRUE,"Config5";#N/A,#N/A,TRUE,"Config6";#N/A,#N/A,TRUE,"Config7"}</definedName>
    <definedName name="BASBSS">#REF!,#REF!,#REF!,#REF!,#REF!</definedName>
    <definedName name="BASBSSLEGU">#REF!,#REF!,#REF!,#REF!,#REF!</definedName>
    <definedName name="BaseMatrices">#REF!</definedName>
    <definedName name="BASNSS">#REF!,#REF!,#REF!,#REF!,#REF!</definedName>
    <definedName name="BASNSSLEGU">#REF!,#REF!,#REF!,#REF!,#REF!</definedName>
    <definedName name="batteries_HGBx">#REF!</definedName>
    <definedName name="Battery">#REF!</definedName>
    <definedName name="BD">#REF!</definedName>
    <definedName name="Bfact1">#REF!</definedName>
    <definedName name="Bfact2">#REF!</definedName>
    <definedName name="bgfvft" hidden="1">{#N/A,#N/A,TRUE,"Config1";#N/A,#N/A,TRUE,"Config2";#N/A,#N/A,TRUE,"Config3";#N/A,#N/A,TRUE,"Config4";#N/A,#N/A,TRUE,"Config5";#N/A,#N/A,TRUE,"Config6";#N/A,#N/A,TRUE,"Config7"}</definedName>
    <definedName name="bjgjhgo" hidden="1">{#N/A,#N/A,TRUE,"Config1";#N/A,#N/A,TRUE,"Config2";#N/A,#N/A,TRUE,"Config3";#N/A,#N/A,TRUE,"Config4";#N/A,#N/A,TRUE,"Config5";#N/A,#N/A,TRUE,"Config6";#N/A,#N/A,TRUE,"Config7"}</definedName>
    <definedName name="BL1_AOUT">#REF!</definedName>
    <definedName name="BL1_AVR">#REF!</definedName>
    <definedName name="BL1_DEC">#REF!</definedName>
    <definedName name="BL1_FEV">#REF!</definedName>
    <definedName name="BL1_JAN">#REF!</definedName>
    <definedName name="BL1_JUL">#REF!</definedName>
    <definedName name="BL1_JUN">#REF!</definedName>
    <definedName name="BL1_MAI">#REF!</definedName>
    <definedName name="BL1_MAR">#REF!</definedName>
    <definedName name="BL1_NOV">#REF!</definedName>
    <definedName name="BL1_OCT">#REF!</definedName>
    <definedName name="BL1_SEP">#REF!</definedName>
    <definedName name="BL2_AOUT">#REF!</definedName>
    <definedName name="BL2_AVR">#REF!</definedName>
    <definedName name="BL2_DEC">#REF!</definedName>
    <definedName name="BL2_FEV">#REF!</definedName>
    <definedName name="BL2_JAN">#REF!</definedName>
    <definedName name="BL2_JUL">#REF!</definedName>
    <definedName name="BL2_JUN">#REF!</definedName>
    <definedName name="BL2_MAI">#REF!</definedName>
    <definedName name="BL2_MAR">#REF!</definedName>
    <definedName name="BL2_NOV">#REF!</definedName>
    <definedName name="BL2_OCT">#REF!</definedName>
    <definedName name="BL2_SEP">#REF!</definedName>
    <definedName name="BL3_AOUT">#REF!</definedName>
    <definedName name="BL3_AVR">#REF!</definedName>
    <definedName name="BL3_DEC">#REF!</definedName>
    <definedName name="BL3_FEV">#REF!</definedName>
    <definedName name="BL3_JAN">#REF!</definedName>
    <definedName name="BL3_JUL">#REF!</definedName>
    <definedName name="BL3_JUN">#REF!</definedName>
    <definedName name="BL3_MAI">#REF!</definedName>
    <definedName name="BL3_MAR">#REF!</definedName>
    <definedName name="BL3_NOV">#REF!</definedName>
    <definedName name="BL3_OCT">#REF!</definedName>
    <definedName name="BL3_SEP">#REF!</definedName>
    <definedName name="BL4_AOUT">#REF!</definedName>
    <definedName name="BL4_AVR">#REF!</definedName>
    <definedName name="BL4_DEC">#REF!</definedName>
    <definedName name="BL4_FEV">#REF!</definedName>
    <definedName name="BL4_JAN">#REF!</definedName>
    <definedName name="BL4_JUL">#REF!</definedName>
    <definedName name="BL4_JUN">#REF!</definedName>
    <definedName name="BL4_MAI">#REF!</definedName>
    <definedName name="BL4_MAR">#REF!</definedName>
    <definedName name="BL4_NOV">#REF!</definedName>
    <definedName name="BL4_OCT">#REF!</definedName>
    <definedName name="BL4_SEP">#REF!</definedName>
    <definedName name="BL5_AOUT">#REF!</definedName>
    <definedName name="BL5_AVR">#REF!</definedName>
    <definedName name="BL5_DEC">#REF!</definedName>
    <definedName name="BL5_FEV">#REF!</definedName>
    <definedName name="BL5_JAN">#REF!</definedName>
    <definedName name="BL5_JUL">#REF!</definedName>
    <definedName name="BL5_JUN">#REF!</definedName>
    <definedName name="BL5_MAI">#REF!</definedName>
    <definedName name="BL5_MAR">#REF!</definedName>
    <definedName name="BL5_NOV">#REF!</definedName>
    <definedName name="BL5_OCT">#REF!</definedName>
    <definedName name="BL5_SEP">#REF!</definedName>
    <definedName name="BL6_AOUT">#REF!</definedName>
    <definedName name="BL6_AVR">#REF!</definedName>
    <definedName name="BL6_DEC">#REF!</definedName>
    <definedName name="BL6_FEV">#REF!</definedName>
    <definedName name="BL6_JAN">#REF!</definedName>
    <definedName name="BL6_JUL">#REF!</definedName>
    <definedName name="BL6_JUN">#REF!</definedName>
    <definedName name="BL6_MAI">#REF!</definedName>
    <definedName name="BL6_MAR">#REF!</definedName>
    <definedName name="BL6_NOV">#REF!</definedName>
    <definedName name="BL6_OCT">#REF!</definedName>
    <definedName name="BL6_SEP">#REF!</definedName>
    <definedName name="BMAF100">#REF!</definedName>
    <definedName name="boolean">#REF!</definedName>
    <definedName name="BOQ_Catalogue">#REF!</definedName>
    <definedName name="BRGE100">#REF!</definedName>
    <definedName name="BRYRTU">#REF!</definedName>
    <definedName name="BSGE100">#REF!</definedName>
    <definedName name="BSSCAT">#REF!</definedName>
    <definedName name="BT2PRICE">#REF!</definedName>
    <definedName name="BTCOST">#REF!</definedName>
    <definedName name="BTFE100">#REF!</definedName>
    <definedName name="BTS_G1">#REF!</definedName>
    <definedName name="BTS_G2">#REF!</definedName>
    <definedName name="BTSE100">#REF!</definedName>
    <definedName name="BulkMultiplier">#REF!</definedName>
    <definedName name="c_anru">#REF!</definedName>
    <definedName name="c_bb">#REF!</definedName>
    <definedName name="c_noms">#REF!</definedName>
    <definedName name="c_rack">#REF!</definedName>
    <definedName name="c_sumu">#REF!</definedName>
    <definedName name="c_teu">#REF!</definedName>
    <definedName name="cabinets">#REF!</definedName>
    <definedName name="CalBulkRB">#REF!</definedName>
    <definedName name="CalCheck">#REF!</definedName>
    <definedName name="calcsum">#REF!</definedName>
    <definedName name="CalculMatriciel">#REF!</definedName>
    <definedName name="CalCurrAmp">#REF!</definedName>
    <definedName name="CalIoRB">#REF!</definedName>
    <definedName name="CalIoRef">#REF!</definedName>
    <definedName name="CalMethod">#REF!</definedName>
    <definedName name="CalPoLim">#REF!</definedName>
    <definedName name="CalRangeIo">#REF!</definedName>
    <definedName name="CalRangeVo">#REF!</definedName>
    <definedName name="CalViRB">#REF!</definedName>
    <definedName name="CalVoRB">#REF!</definedName>
    <definedName name="CalVoRef">#REF!</definedName>
    <definedName name="carryover">#REF!</definedName>
    <definedName name="Cat">#REF!</definedName>
    <definedName name="Cat_2005">#REF!</definedName>
    <definedName name="Cat_CONFIG">#REF!</definedName>
    <definedName name="Cat_Ind_Out">#REF!</definedName>
    <definedName name="Cat_Power">#REF!</definedName>
    <definedName name="Cat_Priority">#REF!</definedName>
    <definedName name="cata_rep">#REF!</definedName>
    <definedName name="catalogue">#REF!</definedName>
    <definedName name="categorie">#REF!</definedName>
    <definedName name="categories">OFFSET(#REF!,0,0,MATCH(REPT("z",255),#REF!),1)</definedName>
    <definedName name="Category">#REF!</definedName>
    <definedName name="Causes_List">#REF!</definedName>
    <definedName name="Causes_NuR">#REF!</definedName>
    <definedName name="CB">#REF!</definedName>
    <definedName name="CBIL1">#REF!</definedName>
    <definedName name="CBIL2">#REF!</definedName>
    <definedName name="CBRETRO">#REF!</definedName>
    <definedName name="CBWAR">#REF!</definedName>
    <definedName name="CCPANSSCIT1">#REF!</definedName>
    <definedName name="CCPANSSCIT2">#REF!</definedName>
    <definedName name="CCPANSSCIT3">#REF!</definedName>
    <definedName name="CCPANSSCIT4">#REF!</definedName>
    <definedName name="CCPANSSLU1">#REF!</definedName>
    <definedName name="CCPANSSLU2">#REF!</definedName>
    <definedName name="CCPANSSLU3">#REF!</definedName>
    <definedName name="CCPANSSLU4">#REF!</definedName>
    <definedName name="CCPANSSSEL1">#REF!</definedName>
    <definedName name="CCPANSSSEL2">#REF!</definedName>
    <definedName name="CCPANSSSEL3">#REF!</definedName>
    <definedName name="CCPANSSSEL4">#REF!</definedName>
    <definedName name="CECHO1">#REF!</definedName>
    <definedName name="CECHO2">#REF!</definedName>
    <definedName name="CEIR1">#REF!</definedName>
    <definedName name="CEIR2">#REF!</definedName>
    <definedName name="celHypNomSite">#REF!</definedName>
    <definedName name="CENVE1">#REF!</definedName>
    <definedName name="CENVE2">#REF!</definedName>
    <definedName name="CFO_01">#REF!</definedName>
    <definedName name="cfo_2002">#REF!</definedName>
    <definedName name="cfo_2003">#REF!</definedName>
    <definedName name="CFO_ed">#REF!</definedName>
    <definedName name="cfo_num">#REF!</definedName>
    <definedName name="chcj" hidden="1">{"COST",#N/A,FALSE,"SYNTHESE";"MARGIN",#N/A,FALSE,"SYNTHESE";"LOT_COM",#N/A,FALSE,"SYNTHESE"}</definedName>
    <definedName name="CHLR1">#REF!</definedName>
    <definedName name="CHLR2">#REF!</definedName>
    <definedName name="CIF_criteria">#REF!</definedName>
    <definedName name="CINTER1">#REF!</definedName>
    <definedName name="CINTER2">#REF!</definedName>
    <definedName name="city_no">#REF!</definedName>
    <definedName name="Classification">#REF!</definedName>
    <definedName name="CLBSS">#REF!,#REF!,#REF!,#REF!,#REF!,#REF!,#REF!,#REF!,#REF!,#REF!,#REF!,#REF!,#REF!</definedName>
    <definedName name="CLBSSLEGU1">#REF!,#REF!,#REF!,#REF!,#REF!,#REF!,#REF!,#REF!,#REF!</definedName>
    <definedName name="CLBSSLEGU2">#REF!,#REF!,#REF!,#REF!,#REF!</definedName>
    <definedName name="CLMW">#REF!,#REF!,#REF!,#REF!,#REF!,#REF!,#REF!,#REF!,#REF!,#REF!,#REF!,#REF!,#REF!</definedName>
    <definedName name="CLMWLEGU1">#REF!,#REF!,#REF!,#REF!,#REF!,#REF!,#REF!,#REF!,#REF!</definedName>
    <definedName name="CLMWLEGU2">#REF!,#REF!,#REF!,#REF!,#REF!</definedName>
    <definedName name="CLNCIT">#REF!,#REF!,#REF!,#REF!,#REF!,#REF!,#REF!,#REF!,#REF!,#REF!,#REF!,#REF!,#REF!</definedName>
    <definedName name="CLNCITLEGU1">#REF!,#REF!,#REF!,#REF!,#REF!,#REF!,#REF!,#REF!,#REF!</definedName>
    <definedName name="CLNCITLEGU2">#REF!,#REF!,#REF!,#REF!,#REF!</definedName>
    <definedName name="CLNSEL">#REF!,#REF!,#REF!,#REF!,#REF!,#REF!,#REF!,#REF!,#REF!,#REF!,#REF!,#REF!,#REF!</definedName>
    <definedName name="CLNSELLEGU1">#REF!,#REF!,#REF!,#REF!,#REF!,#REF!,#REF!,#REF!,#REF!</definedName>
    <definedName name="CLNSELLEGU2">#REF!,#REF!,#REF!,#REF!,#REF!</definedName>
    <definedName name="CLOT">#REF!,#REF!,#REF!,#REF!,#REF!,#REF!,#REF!,#REF!,#REF!,#REF!,#REF!,#REF!,#REF!</definedName>
    <definedName name="CLTOT">#REF!,#REF!,#REF!,#REF!,#REF!,#REF!,#REF!,#REF!,#REF!,#REF!,#REF!,#REF!,#REF!</definedName>
    <definedName name="cmdb_fm_office">#REF!</definedName>
    <definedName name="CMSC1">#REF!</definedName>
    <definedName name="CMSC2">#REF!</definedName>
    <definedName name="CN">#REF!</definedName>
    <definedName name="CNDEPLO1">#REF!</definedName>
    <definedName name="CNDEPLO2">#REF!</definedName>
    <definedName name="CNFREI1">#REF!</definedName>
    <definedName name="CNFREI2">#REF!</definedName>
    <definedName name="CNFTS1">#REF!</definedName>
    <definedName name="CNFTS2">#REF!</definedName>
    <definedName name="CNINRTU1">#REF!</definedName>
    <definedName name="CNINRTU2">#REF!</definedName>
    <definedName name="CNLOG1">#REF!</definedName>
    <definedName name="CNLOG2">#REF!</definedName>
    <definedName name="CNMARK1">#REF!</definedName>
    <definedName name="CNMARK2">#REF!</definedName>
    <definedName name="CNMIS1">#REF!</definedName>
    <definedName name="CNMIS2">#REF!</definedName>
    <definedName name="CNPREIN1">#REF!</definedName>
    <definedName name="CNPREIN2">#REF!</definedName>
    <definedName name="CNPROJ1">#REF!</definedName>
    <definedName name="CNPROJ2">#REF!</definedName>
    <definedName name="CNREC1">#REF!</definedName>
    <definedName name="CNREC2">#REF!</definedName>
    <definedName name="CNRETRO1">#REF!</definedName>
    <definedName name="CNRETRO2">#REF!</definedName>
    <definedName name="CNSPEC1">#REF!</definedName>
    <definedName name="CNSPEC2">#REF!</definedName>
    <definedName name="CNSSON1">#REF!</definedName>
    <definedName name="CNSSON2">#REF!</definedName>
    <definedName name="CNSTDOC1">#REF!</definedName>
    <definedName name="CNSTDOC2">#REF!</definedName>
    <definedName name="CNTRAIN1">#REF!</definedName>
    <definedName name="CNTRAIN2">#REF!</definedName>
    <definedName name="CNTRAIN3">#REF!</definedName>
    <definedName name="CNWAR1">#REF!</definedName>
    <definedName name="CNWAR2">#REF!</definedName>
    <definedName name="CNWAR3">#REF!</definedName>
    <definedName name="COcost">#REF!</definedName>
    <definedName name="CodeClient">#REF!</definedName>
    <definedName name="CodeCompose">#REF!</definedName>
    <definedName name="CodeCompose002">#REF!</definedName>
    <definedName name="CodeCompose003">#REF!</definedName>
    <definedName name="CodePostal">#REF!</definedName>
    <definedName name="CodeRep1">#REF!</definedName>
    <definedName name="CodeSociete">#REF!</definedName>
    <definedName name="COEF">#REF!</definedName>
    <definedName name="CoefF1">#REF!</definedName>
    <definedName name="CoefF2">#REF!</definedName>
    <definedName name="CoefGC">#REF!</definedName>
    <definedName name="CoefO">#REF!</definedName>
    <definedName name="CoefOPEX">#REF!</definedName>
    <definedName name="CoefPM">#REF!</definedName>
    <definedName name="Col_CPP">#REF!</definedName>
    <definedName name="Col_PV">#REF!</definedName>
    <definedName name="col_tech_budget">#REF!</definedName>
    <definedName name="ColBudget">#REF!</definedName>
    <definedName name="ColComposant">#REF!</definedName>
    <definedName name="COLCOST">#REF!</definedName>
    <definedName name="ColLibelle">#REF!</definedName>
    <definedName name="ColMontant">#REF!</definedName>
    <definedName name="ColNature">#REF!</definedName>
    <definedName name="ColNomenc">#REF!</definedName>
    <definedName name="color">#REF!</definedName>
    <definedName name="Color2">#REF!</definedName>
    <definedName name="ColQuantite">#REF!</definedName>
    <definedName name="ColSection">#REF!</definedName>
    <definedName name="ColTarif1">#REF!</definedName>
    <definedName name="COMC1">#REF!</definedName>
    <definedName name="COMC2">#REF!</definedName>
    <definedName name="ComPortTempChamber">#REF!</definedName>
    <definedName name="Conditionnement">#REF!</definedName>
    <definedName name="Config">#REF!</definedName>
    <definedName name="CONRATE">#REF!</definedName>
    <definedName name="Constraint">#REF!</definedName>
    <definedName name="Contact1">#REF!</definedName>
    <definedName name="copy" hidden="1">{"COST",#N/A,FALSE,"SYNTHESE";"MARGIN",#N/A,FALSE,"SYNTHESE";"LOT_COM",#N/A,FALSE,"SYNTHESE"}</definedName>
    <definedName name="COref_prc">#REF!</definedName>
    <definedName name="cost">#REF!</definedName>
    <definedName name="cost_to_delete">#REF!</definedName>
    <definedName name="COTVAS1">#REF!</definedName>
    <definedName name="COTVAS2">#REF!</definedName>
    <definedName name="Countries">#REF!</definedName>
    <definedName name="Country_Region">#REF!</definedName>
    <definedName name="CPP_Source">#REF!</definedName>
    <definedName name="CRCIT">#REF!</definedName>
    <definedName name="CRCITE10">#REF!</definedName>
    <definedName name="CROT">#REF!</definedName>
    <definedName name="CRSEL">#REF!</definedName>
    <definedName name="CRTEL">#REF!</definedName>
    <definedName name="csdcsdc" hidden="1">#REF!</definedName>
    <definedName name="CShalfmax">#REF!</definedName>
    <definedName name="CShalfmin">#REF!</definedName>
    <definedName name="CSHigh">#REF!</definedName>
    <definedName name="CSLow">#REF!</definedName>
    <definedName name="CSMIM1">#REF!</definedName>
    <definedName name="CSMIM2">#REF!</definedName>
    <definedName name="CSPARE1">#REF!</definedName>
    <definedName name="CSPARE2">#REF!</definedName>
    <definedName name="cUR">#REF!</definedName>
    <definedName name="CURR">#REF!</definedName>
    <definedName name="Currency">#REF!</definedName>
    <definedName name="Currency__EUR_or_USD">#REF!</definedName>
    <definedName name="CurrentLimit">#REF!</definedName>
    <definedName name="CUST">#REF!</definedName>
    <definedName name="Cust_inspection_2">#REF!</definedName>
    <definedName name="CUSTCRY">#REF!</definedName>
    <definedName name="D">#REF!</definedName>
    <definedName name="d_noms">#REF!</definedName>
    <definedName name="DACOut_4VLS">#REF!</definedName>
    <definedName name="date_list">#REF!</definedName>
    <definedName name="DATSAIS">#REF!</definedName>
    <definedName name="dauer">#REF!</definedName>
    <definedName name="dauer2">#REF!</definedName>
    <definedName name="DBSS">#REF!</definedName>
    <definedName name="ddd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ddddddddddddddddddddddddddddddd">!#REF!</definedName>
    <definedName name="ddddddddddddddddddddddddddddddddddddddddd">!#REF!</definedName>
    <definedName name="DDP">#REF!</definedName>
    <definedName name="DelaiOffre">#REF!</definedName>
    <definedName name="Demand_FCST">#REF!</definedName>
    <definedName name="désignation">#REF!</definedName>
    <definedName name="devise">"FCFA"</definedName>
    <definedName name="dfdffdf" hidden="1">#REF!</definedName>
    <definedName name="DfltCtrlSet">#REF!</definedName>
    <definedName name="DfltIolimSet">#REF!</definedName>
    <definedName name="DfltOVPSet">#REF!</definedName>
    <definedName name="DfltVoSet">#REF!</definedName>
    <definedName name="didier">#REF!</definedName>
    <definedName name="display_week">#REF!</definedName>
    <definedName name="DMMAddr_Io">#REF!</definedName>
    <definedName name="DMMAddr_Vaux">#REF!</definedName>
    <definedName name="DMMAddr_Vbulk">#REF!</definedName>
    <definedName name="DMMAddr_Vcs">#REF!</definedName>
    <definedName name="DMMAddr_Vpsopho">#REF!</definedName>
    <definedName name="DMMChan_4VLS">#REF!</definedName>
    <definedName name="DMMChan_Io1">#REF!</definedName>
    <definedName name="DMMChan_Psopho">#REF!</definedName>
    <definedName name="DMMChan_TA">#REF!</definedName>
    <definedName name="DMMChan_TC">#REF!</definedName>
    <definedName name="DMMChan_Vaux">#REF!</definedName>
    <definedName name="DMMChan_Vo1">#REF!</definedName>
    <definedName name="DNSSCIT">#REF!</definedName>
    <definedName name="DNSSSEL">#REF!</definedName>
    <definedName name="drt" hidden="1">{#N/A,#N/A,TRUE,"Config1";#N/A,#N/A,TRUE,"Config2";#N/A,#N/A,TRUE,"Config3";#N/A,#N/A,TRUE,"Config4";#N/A,#N/A,TRUE,"Config5";#N/A,#N/A,TRUE,"Config6";#N/A,#N/A,TRUE,"Config7"}</definedName>
    <definedName name="DS" hidden="1">{#N/A,#N/A,TRUE,"Config1";#N/A,#N/A,TRUE,"Config2";#N/A,#N/A,TRUE,"Config3";#N/A,#N/A,TRUE,"Config4";#N/A,#N/A,TRUE,"Config5";#N/A,#N/A,TRUE,"Config6";#N/A,#N/A,TRUE,"Config7"}</definedName>
    <definedName name="dsfqdfqdsf" hidden="1">#REF!</definedName>
    <definedName name="dssssssssssssssssssssssssssssssssssssssssssssssss">!#REF!</definedName>
    <definedName name="DUL">#REF!</definedName>
    <definedName name="DYNAM">#REF!,#REF!,#REF!,#REF!,#REF!,#REF!,#REF!,#REF!</definedName>
    <definedName name="DYNAM1">#REF!,#REF!,#REF!,#REF!,#REF!,#REF!,#REF!</definedName>
    <definedName name="DynLoad">#REF!</definedName>
    <definedName name="dyudfu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dzdzdzddzdzdzdzd">!#REF!</definedName>
    <definedName name="E">#REF!</definedName>
    <definedName name="ECU">#REF!</definedName>
    <definedName name="EDOF">#REF!</definedName>
    <definedName name="ee">#REF!</definedName>
    <definedName name="eeeeeeeeeeeeeeeeeeeeeee">!#REF!</definedName>
    <definedName name="EMSDoff">#REF!</definedName>
    <definedName name="EMSDon">#REF!</definedName>
    <definedName name="EMshutdown">#REF!</definedName>
    <definedName name="EnableTemp1">#REF!</definedName>
    <definedName name="EnableTemp2">#REF!</definedName>
    <definedName name="EnableTemp3">#REF!</definedName>
    <definedName name="EnableTemp4">#REF!</definedName>
    <definedName name="EnableTemp5">#REF!</definedName>
    <definedName name="EnableTemp6">#REF!</definedName>
    <definedName name="EnginePrice">#REF!</definedName>
    <definedName name="ENTCONT">#REF!</definedName>
    <definedName name="equipe">#REF!</definedName>
    <definedName name="eros">#REF!</definedName>
    <definedName name="essai">#REF!</definedName>
    <definedName name="EU">#REF!</definedName>
    <definedName name="EUR_FCFA">Summary!#REF!</definedName>
    <definedName name="Euros">#REF!</definedName>
    <definedName name="EURtoUSD">#REF!</definedName>
    <definedName name="ev.Calculation" hidden="1">2</definedName>
    <definedName name="ev.Initialized" hidden="1">FALSE</definedName>
    <definedName name="exchrate">#REF!</definedName>
    <definedName name="expected_nodeB">#REF!</definedName>
    <definedName name="Extraction_BL1">#REF!</definedName>
    <definedName name="F">#REF!</definedName>
    <definedName name="F_Inventaire">OFFSET(P_Inventaire,0,0,COUNTA(L_Inventaire),1)</definedName>
    <definedName name="F_Site">OFFSET(P_Site,0,0,COUNTA(L_Site),1)</definedName>
    <definedName name="Fact1">#REF!</definedName>
    <definedName name="Fact2">#REF!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dfd" hidden="1">#REF!</definedName>
    <definedName name="ff">#REF!</definedName>
    <definedName name="fffffffffffffffffffffffffffffffffffff">!#REF!</definedName>
    <definedName name="fffffffffffffffffffffffffffffffffffffffffffff">!#REF!</definedName>
    <definedName name="ffffffffffffffffffffffffffffffffffffffffffffffffffffff">!#REF!</definedName>
    <definedName name="fgh">#REF!</definedName>
    <definedName name="FIN">#REF!</definedName>
    <definedName name="FMP_Type">#REF!</definedName>
    <definedName name="FONCTION">#REF!</definedName>
    <definedName name="FonctionsMatricielles">#REF!</definedName>
    <definedName name="FRAIS">#REF!</definedName>
    <definedName name="Freq">#REF!</definedName>
    <definedName name="FUEL_COST_per_liter">#REF!</definedName>
    <definedName name="G">#REF!</definedName>
    <definedName name="gave">#REF!</definedName>
    <definedName name="GenerationNbAleatoires">#REF!</definedName>
    <definedName name="Genset_engine">#REF!</definedName>
    <definedName name="genset_HGB">#REF!</definedName>
    <definedName name="genset_ongrid">#REF!</definedName>
    <definedName name="gftrcv" hidden="1">{"COST",#N/A,FALSE,"SYNTHESE";"MARGIN",#N/A,FALSE,"SYNTHESE";"LOT_COM",#N/A,FALSE,"SYNTHESE"}</definedName>
    <definedName name="ggg" hidden="1">{"COST",#N/A,FALSE,"SYNTHESE";"MARGIN",#N/A,FALSE,"SYNTHESE";"LOT_COM",#N/A,FALSE,"SYNTHESE"}</definedName>
    <definedName name="ghj" hidden="1">{#N/A,#N/A,TRUE,"Config1";#N/A,#N/A,TRUE,"Config2";#N/A,#N/A,TRUE,"Config3";#N/A,#N/A,TRUE,"Config4";#N/A,#N/A,TRUE,"Config5";#N/A,#N/A,TRUE,"Config6";#N/A,#N/A,TRUE,"Config7"}</definedName>
    <definedName name="gjv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Global">#REF!</definedName>
    <definedName name="Global_account_2">#REF!</definedName>
    <definedName name="GRID_COST_per_liter">#REF!</definedName>
    <definedName name="grid_phases">#REF!</definedName>
    <definedName name="Grid_Status">#REF!</definedName>
    <definedName name="hadj">#REF!</definedName>
    <definedName name="Harmonics">#REF!</definedName>
    <definedName name="Hd">#REF!</definedName>
    <definedName name="header_cfo">#REF!</definedName>
    <definedName name="hggggggggggggggggggggggggggggggggggggg">!#REF!</definedName>
    <definedName name="hi">#REF!</definedName>
    <definedName name="hjohoi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TML_1">#REF!</definedName>
    <definedName name="HTML_all">#REF!</definedName>
    <definedName name="HTML_tables">#REF!</definedName>
    <definedName name="htrjrtzt" hidden="1">#REF!</definedName>
    <definedName name="_xlnm.Print_Titles">#REF!</definedName>
    <definedName name="Incidence_Service">#REF!</definedName>
    <definedName name="Incoterms">#REF!</definedName>
    <definedName name="Ind_Out">#REF!</definedName>
    <definedName name="inom">#REF!</definedName>
    <definedName name="InputRipple">#REF!</definedName>
    <definedName name="installation_start">#REF!</definedName>
    <definedName name="Io1Anom">#REF!</definedName>
    <definedName name="Io1Bnom">#REF!</definedName>
    <definedName name="Io1Climmax">#REF!</definedName>
    <definedName name="Io1Climmin">#REF!</definedName>
    <definedName name="Io1Cnom">#REF!</definedName>
    <definedName name="Io1min">#REF!</definedName>
    <definedName name="IoRBTol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42787.7724884259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sColHidden" hidden="1">FALSE</definedName>
    <definedName name="IsLTMColHidden" hidden="1">FALSE</definedName>
    <definedName name="Issue_type_3">#REF!</definedName>
    <definedName name="Item_price_list_Déploiement">#REF!</definedName>
    <definedName name="Item_price_list_Radio">#REF!</definedName>
    <definedName name="Jean">#REF!</definedName>
    <definedName name="jhgfred" hidden="1">{"COST",#N/A,FALSE,"SYNTHESE";"MARGIN",#N/A,FALSE,"SYNTHESE";"LOT_COM",#N/A,FALSE,"SYNTHESE"}</definedName>
    <definedName name="jhgigol" hidden="1">{#N/A,#N/A,TRUE,"Config1";#N/A,#N/A,TRUE,"Config2";#N/A,#N/A,TRUE,"Config3";#N/A,#N/A,TRUE,"Config4";#N/A,#N/A,TRUE,"Config5";#N/A,#N/A,TRUE,"Config6";#N/A,#N/A,TRUE,"Config7"}</definedName>
    <definedName name="jhgj" hidden="1">{"COST",#N/A,FALSE,"SYNTHESE";"MARGIN",#N/A,FALSE,"SYNTHESE";"LOT_COM",#N/A,FALSE,"SYNTHESE"}</definedName>
    <definedName name="jhone">#REF!</definedName>
    <definedName name="jhuopi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jjjjjjjjjjjjjjjjjjjjjjjjjjjjjjjjjjjjjjjj">!#REF!</definedName>
    <definedName name="KC">#REF!</definedName>
    <definedName name="key_basic">#REF!</definedName>
    <definedName name="key_moy">#REF!</definedName>
    <definedName name="key_noble">#REF!</definedName>
    <definedName name="KF">#REF!</definedName>
    <definedName name="KH">#REF!</definedName>
    <definedName name="KINDU_MIKELENGE">#REF!</definedName>
    <definedName name="kk">#REF!</definedName>
    <definedName name="kkkkkkkkkkkkkkkkkkkkkkkkkkkkkkkkkkkkkkkkkkkkkkkkkkkkkkk">!#REF!</definedName>
    <definedName name="klmù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klp" hidden="1">{#N/A,#N/A,TRUE,"Config1";#N/A,#N/A,TRUE,"Config2";#N/A,#N/A,TRUE,"Config3";#N/A,#N/A,TRUE,"Config4";#N/A,#N/A,TRUE,"Config5";#N/A,#N/A,TRUE,"Config6";#N/A,#N/A,TRUE,"Config7"}</definedName>
    <definedName name="KSW">#REF!</definedName>
    <definedName name="L_Inventaire">#REF!</definedName>
    <definedName name="L_Site">#REF!</definedName>
    <definedName name="LANG">#REF!</definedName>
    <definedName name="Libelle1Article">#REF!</definedName>
    <definedName name="Libelle1Article002">#REF!</definedName>
    <definedName name="Libelle1Article003">#REF!</definedName>
    <definedName name="LigneOffre">#REF!</definedName>
    <definedName name="LigneOffre002">#REF!</definedName>
    <definedName name="LigneOffre003">#REF!</definedName>
    <definedName name="LimiteMatrices">#REF!</definedName>
    <definedName name="LineReg">#REF!</definedName>
    <definedName name="linked">#REF!</definedName>
    <definedName name="LionDerat">#REF!</definedName>
    <definedName name="LionPrice">#REF!</definedName>
    <definedName name="List_A">#REF!</definedName>
    <definedName name="ll">#REF!</definedName>
    <definedName name="lll">#REF!</definedName>
    <definedName name="LoadConfig">#REF!</definedName>
    <definedName name="LoadReg">#REF!</definedName>
    <definedName name="LoadShare">#REF!</definedName>
    <definedName name="losses">#REF!</definedName>
    <definedName name="LUCBIL">#REF!</definedName>
    <definedName name="LUCECHO">#REF!</definedName>
    <definedName name="LUCEIR">#REF!</definedName>
    <definedName name="LUCENVE">#REF!</definedName>
    <definedName name="LUCHLR">#REF!</definedName>
    <definedName name="LUCIN">#REF!</definedName>
    <definedName name="LUCINTER">#REF!</definedName>
    <definedName name="LUCMSC">#REF!</definedName>
    <definedName name="LUCNDEPLO">#REF!</definedName>
    <definedName name="LUCNFREI">#REF!</definedName>
    <definedName name="LUCNFTS">#REF!</definedName>
    <definedName name="LUCNINRTU">#REF!</definedName>
    <definedName name="LUCNLOG">#REF!</definedName>
    <definedName name="LUCNMARK">#REF!</definedName>
    <definedName name="LUCNMIS">#REF!</definedName>
    <definedName name="LUCNPREIN">#REF!</definedName>
    <definedName name="LUCNPROJ">#REF!</definedName>
    <definedName name="LUCNREC">#REF!</definedName>
    <definedName name="LUCNRETRO">#REF!</definedName>
    <definedName name="LUCNSPEC">#REF!</definedName>
    <definedName name="LUCNSSON">#REF!</definedName>
    <definedName name="LUCNSTDOC">#REF!</definedName>
    <definedName name="LUCNTRAIN">#REF!</definedName>
    <definedName name="LUCNWAR">#REF!</definedName>
    <definedName name="LUCOMC">#REF!</definedName>
    <definedName name="LUCOTVAS">#REF!</definedName>
    <definedName name="LUCSMIM">#REF!</definedName>
    <definedName name="LUCSPARE">#REF!</definedName>
    <definedName name="LUCVM">#REF!</definedName>
    <definedName name="LUNSSCAT">#REF!</definedName>
    <definedName name="LUNT2COEF">#REF!</definedName>
    <definedName name="LUNT2COST">#REF!</definedName>
    <definedName name="LUNT2PRICE">#REF!</definedName>
    <definedName name="LUNTCOEF">#REF!</definedName>
    <definedName name="LUNTCOST">#REF!</definedName>
    <definedName name="LUNTPRICE">#REF!</definedName>
    <definedName name="LUSPBIL">#REF!</definedName>
    <definedName name="LUSPECHO">#REF!</definedName>
    <definedName name="LUSPEIR">#REF!</definedName>
    <definedName name="LUSPENVE">#REF!</definedName>
    <definedName name="LUSPHLR">#REF!</definedName>
    <definedName name="LUSPIN">#REF!</definedName>
    <definedName name="LUSPINTER">#REF!</definedName>
    <definedName name="LUSPMSC">#REF!</definedName>
    <definedName name="LUSPNCTIN">#REF!</definedName>
    <definedName name="LUSPNDEPLO">#REF!</definedName>
    <definedName name="LUSPNFREI">#REF!</definedName>
    <definedName name="LUSPNFTS">#REF!</definedName>
    <definedName name="LUSPNINRTU">#REF!</definedName>
    <definedName name="LUSPNLOG">#REF!</definedName>
    <definedName name="LUSPNMARK">#REF!</definedName>
    <definedName name="LUSPNMIS">#REF!</definedName>
    <definedName name="LUSPNPREIN">#REF!</definedName>
    <definedName name="LUSPNPROJ">#REF!</definedName>
    <definedName name="LUSPNREC">#REF!</definedName>
    <definedName name="LUSPNRETRO">#REF!</definedName>
    <definedName name="LUSPNSPEC">#REF!</definedName>
    <definedName name="LUSPNSSON">#REF!</definedName>
    <definedName name="LUSPNSTDOC">#REF!</definedName>
    <definedName name="LUSPNTD">#REF!</definedName>
    <definedName name="LUSPNTRAIN">#REF!</definedName>
    <definedName name="LUSPNWAR">#REF!</definedName>
    <definedName name="LUSPOMC">#REF!</definedName>
    <definedName name="LUSPOTVAS">#REF!</definedName>
    <definedName name="LUSPSMIM">#REF!</definedName>
    <definedName name="LUSPSPARE">#REF!</definedName>
    <definedName name="LUSPVM">#REF!</definedName>
    <definedName name="MachineAffecte">#REF!</definedName>
    <definedName name="Mesure_Abaque">#REF!</definedName>
    <definedName name="Mgt" hidden="1">{#N/A,#N/A,FALSE,"Sensitivity"}</definedName>
    <definedName name="MicroBTS">#REF!</definedName>
    <definedName name="mlkjhrrrrrr" hidden="1">#REF!</definedName>
    <definedName name="MontantCommande">#REF!</definedName>
    <definedName name="monthlyA">#REF!</definedName>
    <definedName name="moussa">#REF!</definedName>
    <definedName name="MSPartner">#REF!</definedName>
    <definedName name="MUCIT">#REF!</definedName>
    <definedName name="MUCITE10">#REF!</definedName>
    <definedName name="MUSEL">#REF!</definedName>
    <definedName name="MUTEL">#REF!</definedName>
    <definedName name="NAM">#REF!</definedName>
    <definedName name="nb_trx">#REF!</definedName>
    <definedName name="nb8trx">#REF!</definedName>
    <definedName name="nbdécimalesPV">0</definedName>
    <definedName name="NBILCIT100">#REF!</definedName>
    <definedName name="NBILSEL100">#REF!</definedName>
    <definedName name="NetIncome">#REF!</definedName>
    <definedName name="NINCIT100">#REF!</definedName>
    <definedName name="NINSEL100">#REF!</definedName>
    <definedName name="nistallation_start">#REF!</definedName>
    <definedName name="No_Of_Genset">#REF!</definedName>
    <definedName name="nom_site">#REF!</definedName>
    <definedName name="Nombre_anne_contrat">Summary!#REF!</definedName>
    <definedName name="NomClient">#REF!</definedName>
    <definedName name="noms_site">OFFSET(c_noms,0,0,COUNTA(d_noms),1)</definedName>
    <definedName name="NOPE_AOUT">#REF!</definedName>
    <definedName name="NOPE_AVR">#REF!</definedName>
    <definedName name="NOPE_DEC">#REF!</definedName>
    <definedName name="NOPE_FEV">#REF!</definedName>
    <definedName name="NOPE_JAN">#REF!</definedName>
    <definedName name="NOPE_JUL">#REF!</definedName>
    <definedName name="NOPE_JUN">#REF!</definedName>
    <definedName name="NOPE_MAI">#REF!</definedName>
    <definedName name="NOPE_MAR">#REF!</definedName>
    <definedName name="NOPE_NOV">#REF!</definedName>
    <definedName name="NOPE_OCT">#REF!</definedName>
    <definedName name="NOPE_SEP">#REF!</definedName>
    <definedName name="NORMAL">#REF!</definedName>
    <definedName name="nouba">#REF!</definedName>
    <definedName name="noura">#REF!</definedName>
    <definedName name="noussaradine">#REF!</definedName>
    <definedName name="NOUVCIT">#REF!</definedName>
    <definedName name="NOUVCITE10">#REF!</definedName>
    <definedName name="NOUVOT">#REF!</definedName>
    <definedName name="NOUVSEL">#REF!</definedName>
    <definedName name="NOUVTEL">#REF!</definedName>
    <definedName name="nprice">#REF!</definedName>
    <definedName name="NRCIT100">#REF!</definedName>
    <definedName name="NRSEL100">#REF!</definedName>
    <definedName name="NRYRTU1">#REF!</definedName>
    <definedName name="NRYRTU2">#REF!</definedName>
    <definedName name="NSCIT100">#REF!</definedName>
    <definedName name="NSSCAT1">#REF!</definedName>
    <definedName name="NSSCAT2">#REF!</definedName>
    <definedName name="NSSEL100">#REF!</definedName>
    <definedName name="NT2COEFCIT">#REF!</definedName>
    <definedName name="NT2COEFSEL">#REF!</definedName>
    <definedName name="NT2COSTCIT">#REF!</definedName>
    <definedName name="NT2COSTSEL">#REF!</definedName>
    <definedName name="NT2PRICECIT">#REF!</definedName>
    <definedName name="NT2PRICESEL">#REF!</definedName>
    <definedName name="NTCOEFCIT">#REF!</definedName>
    <definedName name="NTCOEFSEL">#REF!</definedName>
    <definedName name="NTCOSTCIT">#REF!</definedName>
    <definedName name="NTCOSTSEL">#REF!</definedName>
    <definedName name="NTPRICECIT">#REF!</definedName>
    <definedName name="NTPRICESEL">#REF!</definedName>
    <definedName name="NUMOF">#REF!</definedName>
    <definedName name="NumOffre">#REF!</definedName>
    <definedName name="O_M_indexation">#REF!</definedName>
    <definedName name="OCI_inputs">#REF!</definedName>
    <definedName name="OCI_Study">#REF!</definedName>
    <definedName name="OEM_flag">#REF!</definedName>
    <definedName name="offer_type2">#REF!</definedName>
    <definedName name="OFOUCONT">#REF!</definedName>
    <definedName name="ok" hidden="1">{#N/A,#N/A,TRUE,"Config1";#N/A,#N/A,TRUE,"Config2";#N/A,#N/A,TRUE,"Config3";#N/A,#N/A,TRUE,"Config4";#N/A,#N/A,TRUE,"Config5";#N/A,#N/A,TRUE,"Config6";#N/A,#N/A,TRUE,"Config7"}</definedName>
    <definedName name="OMCR">#REF!</definedName>
    <definedName name="Online">#REF!</definedName>
    <definedName name="OnOffThreshold">#REF!</definedName>
    <definedName name="oopuh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Order_type">#REF!</definedName>
    <definedName name="Other">#REF!</definedName>
    <definedName name="OUTILS">#REF!</definedName>
    <definedName name="OutputRipple">#REF!</definedName>
    <definedName name="Overhaul">#REF!</definedName>
    <definedName name="OverTempSD">#REF!</definedName>
    <definedName name="OverTempStart">#REF!</definedName>
    <definedName name="OverTempStop">#REF!</definedName>
    <definedName name="p">!#REF!</definedName>
    <definedName name="P_bh_C_25C">#REF!</definedName>
    <definedName name="P_bh_C_40C">#REF!</definedName>
    <definedName name="P_Inventaire">#REF!</definedName>
    <definedName name="P_low_C_25C">#REF!</definedName>
    <definedName name="P_low_C_40C">#REF!</definedName>
    <definedName name="p_margin_b">#REF!</definedName>
    <definedName name="p_margin_m">#REF!</definedName>
    <definedName name="p_margin_n">#REF!</definedName>
    <definedName name="P_med_C_25C">#REF!</definedName>
    <definedName name="P_med_C_40C">#REF!</definedName>
    <definedName name="P_Site">#REF!</definedName>
    <definedName name="P1EFind">#REF!</definedName>
    <definedName name="P1EFout">#REF!</definedName>
    <definedName name="P1EGind">#REF!</definedName>
    <definedName name="P1EGout">#REF!</definedName>
    <definedName name="P1ind">#REF!</definedName>
    <definedName name="P1infraInd">#REF!</definedName>
    <definedName name="P1infraOut">#REF!</definedName>
    <definedName name="P1omInd">#REF!</definedName>
    <definedName name="P1omOut">#REF!</definedName>
    <definedName name="P1out">#REF!</definedName>
    <definedName name="P5EFind">#REF!</definedName>
    <definedName name="P5EFout">#REF!</definedName>
    <definedName name="P5EGind">#REF!</definedName>
    <definedName name="P5EGout">#REF!</definedName>
    <definedName name="P5ind">#REF!</definedName>
    <definedName name="P5infraInd">#REF!</definedName>
    <definedName name="P5infraOut">#REF!</definedName>
    <definedName name="P5omInd">#REF!</definedName>
    <definedName name="P5omOut">#REF!</definedName>
    <definedName name="P5out">#REF!</definedName>
    <definedName name="PARC_BATTERIES_24V_1120AH">#REF!</definedName>
    <definedName name="Partial_RR_2">#REF!</definedName>
    <definedName name="PCURCIT">#REF!</definedName>
    <definedName name="PCURCITE10">#REF!</definedName>
    <definedName name="PCUROT">#REF!</definedName>
    <definedName name="PCURSEL">#REF!</definedName>
    <definedName name="PCURTEL">#REF!</definedName>
    <definedName name="Penalties">#REF!</definedName>
    <definedName name="PFO">#REF!</definedName>
    <definedName name="PFO_headers">#REF!,#REF!</definedName>
    <definedName name="pfo_name">#REF!</definedName>
    <definedName name="PG">#REF!</definedName>
    <definedName name="Plife">#REF!</definedName>
    <definedName name="PoAnom">#REF!</definedName>
    <definedName name="PoBnom">#REF!</definedName>
    <definedName name="PoClimmax">#REF!</definedName>
    <definedName name="PoClimmin">#REF!</definedName>
    <definedName name="PoCnom">#REF!</definedName>
    <definedName name="Port">#REF!</definedName>
    <definedName name="PowerDerating">#REF!</definedName>
    <definedName name="PPSPS">#REF!</definedName>
    <definedName name="PRESTATIONS">#REF!</definedName>
    <definedName name="PriceListExWorks">#REF!</definedName>
    <definedName name="Pricing">#REF!</definedName>
    <definedName name="Pricing2">#REF!</definedName>
    <definedName name="Priorité">#REF!</definedName>
    <definedName name="Prix">#REF!</definedName>
    <definedName name="prixDieselEuro">#REF!</definedName>
    <definedName name="prixDieselUSD">#REF!</definedName>
    <definedName name="PrixUnitaire">#REF!</definedName>
    <definedName name="PrixUnitaire002">#REF!</definedName>
    <definedName name="PrixUnitaire003">#REF!</definedName>
    <definedName name="project_name">#REF!</definedName>
    <definedName name="ProjectManagement" hidden="1">{"COST",#N/A,FALSE,"SYNTHESE";"MARGIN",#N/A,FALSE,"SYNTHESE";"LOT_COM",#N/A,FALSE,"SYNTHESE"}</definedName>
    <definedName name="PROJTIT">#REF!</definedName>
    <definedName name="prolinks_075fbedc0a1a4c19bf15b7b9504ad7fa" hidden="1">#REF!</definedName>
    <definedName name="prolinks_1f48be70fb524fc4b43ed58a7efd2015" hidden="1">#REF!</definedName>
    <definedName name="prolinks_6e6e1728453f44d6ba83498103f64237" hidden="1">#REF!</definedName>
    <definedName name="prolinks_75526c524dbc430a91a4ed14a35e33fd" hidden="1">#REF!</definedName>
    <definedName name="prolinks_9c66ac26afe241a3ae76a2e3bf175426" hidden="1">#REF!</definedName>
    <definedName name="Prov_01">#REF!</definedName>
    <definedName name="PsicPrice">#REF!</definedName>
    <definedName name="PsocDerat">#REF!</definedName>
    <definedName name="PsophoRange">#REF!</definedName>
    <definedName name="PUB_UserID" hidden="1">"MAYERX"</definedName>
    <definedName name="Puissance">#REF!</definedName>
    <definedName name="PV">#REF!</definedName>
    <definedName name="PV_FTM_01">#REF!</definedName>
    <definedName name="PV_source">#REF!</definedName>
    <definedName name="qsdfsdqf" hidden="1">#REF!</definedName>
    <definedName name="QSEZ" hidden="1">{"COST",#N/A,FALSE,"SYNTHESE";"MARGIN",#N/A,FALSE,"SYNTHESE";"LOT_COM",#N/A,FALSE,"SYNTHESE"}</definedName>
    <definedName name="QSZ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Quantite">#REF!</definedName>
    <definedName name="Quantite002">#REF!</definedName>
    <definedName name="Quantite003">#REF!</definedName>
    <definedName name="Quarters">#REF!</definedName>
    <definedName name="RAG_status">#REF!</definedName>
    <definedName name="range_cfo">#REF!</definedName>
    <definedName name="raoul">#REF!</definedName>
    <definedName name="ReadEEPROM">#REF!</definedName>
    <definedName name="rectif_cores">#REF!</definedName>
    <definedName name="rectifier">#REF!</definedName>
    <definedName name="RECTOT">#REF!</definedName>
    <definedName name="Redevances">#REF!</definedName>
    <definedName name="Reference">#REF!</definedName>
    <definedName name="Region">#REF!</definedName>
    <definedName name="Relay_4VLS">#REF!</definedName>
    <definedName name="rembsc">#REF!</definedName>
    <definedName name="rembts">#REF!</definedName>
    <definedName name="remise2000">#REF!</definedName>
    <definedName name="remise2001">#REF!</definedName>
    <definedName name="remise99">#REF!</definedName>
    <definedName name="ResolSysteme">#REF!</definedName>
    <definedName name="Reve_impact">#REF!</definedName>
    <definedName name="rez" hidden="1">{"COST",#N/A,FALSE,"SYNTHESE";"MARGIN",#N/A,FALSE,"SYNTHESE";"LOT_COM",#N/A,FALSE,"SYNTHESE"}</definedName>
    <definedName name="RF_status">#REF!</definedName>
    <definedName name="RFBSS">#REF!,#REF!,#REF!,#REF!,#REF!,#REF!,#REF!,#REF!,#REF!,#REF!,#REF!,#REF!,#REF!</definedName>
    <definedName name="RFMW">#REF!,#REF!,#REF!,#REF!,#REF!,#REF!,#REF!,#REF!,#REF!,#REF!,#REF!,#REF!,#REF!</definedName>
    <definedName name="RFNCIT">#REF!,#REF!,#REF!,#REF!,#REF!,#REF!,#REF!,#REF!,#REF!,#REF!,#REF!,#REF!,#REF!</definedName>
    <definedName name="RFNSEL">#REF!,#REF!,#REF!,#REF!,#REF!,#REF!,#REF!,#REF!,#REF!,#REF!,#REF!,#REF!,#REF!</definedName>
    <definedName name="RFOT">#REF!,#REF!,#REF!,#REF!,#REF!,#REF!,#REF!,#REF!,#REF!,#REF!,#REF!,#REF!,#REF!</definedName>
    <definedName name="Root_Cause1">#REF!</definedName>
    <definedName name="Root_Cause1_">#REF!</definedName>
    <definedName name="Root_Cause2">#REF!</definedName>
    <definedName name="Root_Cause3">#REF!</definedName>
    <definedName name="rr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RR_rule">#REF!</definedName>
    <definedName name="rrr" hidden="1">{"COST",#N/A,FALSE,"SYNTHESE";"MARGIN",#N/A,FALSE,"SYNTHESE";"LOT_COM",#N/A,FALSE,"SYNTHESE"}</definedName>
    <definedName name="RS485_Comm">#REF!</definedName>
    <definedName name="RS485ComPort">#REF!</definedName>
    <definedName name="RS485ReceiverAddr">#REF!</definedName>
    <definedName name="RS485TransmitterAddr">#REF!</definedName>
    <definedName name="rtt" hidden="1">{#N/A,#N/A,TRUE,"Config1";#N/A,#N/A,TRUE,"Config2";#N/A,#N/A,TRUE,"Config3";#N/A,#N/A,TRUE,"Config4";#N/A,#N/A,TRUE,"Config5";#N/A,#N/A,TRUE,"Config6";#N/A,#N/A,TRUE,"Config7"}</definedName>
    <definedName name="RunSelfTest">#REF!</definedName>
    <definedName name="s">!#REF!</definedName>
    <definedName name="SAPFuncF4Help" localSheetId="1" hidden="1">Main.SAPF4Help()</definedName>
    <definedName name="SAPFuncF4Help" hidden="1">Main.SAPF4Help()</definedName>
    <definedName name="SC">#REF!</definedName>
    <definedName name="Scenario">#REF!</definedName>
    <definedName name="ScopeChan_Io1">#REF!</definedName>
    <definedName name="ScopeChan_Vaux">#REF!</definedName>
    <definedName name="ScopeChan_Vo1">#REF!</definedName>
    <definedName name="SD">#REF!</definedName>
    <definedName name="SDDSQ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sencount" hidden="1">1</definedName>
    <definedName name="SeU">#REF!</definedName>
    <definedName name="Severity">#REF!</definedName>
    <definedName name="sheha" hidden="1">#REF!</definedName>
    <definedName name="shortc2">#REF!</definedName>
    <definedName name="ShortedOutput">#REF!</definedName>
    <definedName name="ShortHiccup">#REF!</definedName>
    <definedName name="ShuntValue_Ii">#REF!</definedName>
    <definedName name="ShuntValue_Io1">#REF!</definedName>
    <definedName name="Site_Purpose">#REF!</definedName>
    <definedName name="site_status">#REF!</definedName>
    <definedName name="SiteID">#REF!</definedName>
    <definedName name="SiteName">#REF!</definedName>
    <definedName name="soc_range">#REF!</definedName>
    <definedName name="sol_list">#REF!</definedName>
    <definedName name="solar_module">#REF!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mp" hidden="1">#REF!</definedName>
    <definedName name="solver_typ" hidden="1">1</definedName>
    <definedName name="solver_val" hidden="1">0</definedName>
    <definedName name="Sommaire_BTS">#REF!</definedName>
    <definedName name="spares">#REF!</definedName>
    <definedName name="SPBCTIN">#REF!</definedName>
    <definedName name="SPBIL1">#REF!</definedName>
    <definedName name="SPBIL2">#REF!</definedName>
    <definedName name="SPBINRTU">#REF!</definedName>
    <definedName name="SPBREC">#REF!</definedName>
    <definedName name="SPBTD">#REF!</definedName>
    <definedName name="SPECHO1">#REF!</definedName>
    <definedName name="SPECHO2">#REF!</definedName>
    <definedName name="SPEIR1">#REF!</definedName>
    <definedName name="SPEIR2">#REF!</definedName>
    <definedName name="SPENVE1">#REF!</definedName>
    <definedName name="SPENVE2">#REF!</definedName>
    <definedName name="SPHLR1">#REF!</definedName>
    <definedName name="SPHLR2">#REF!</definedName>
    <definedName name="SPIN1">#REF!</definedName>
    <definedName name="SPIN2">#REF!</definedName>
    <definedName name="SPINTER1">#REF!</definedName>
    <definedName name="SPINTER2">#REF!</definedName>
    <definedName name="SPMSC1">#REF!</definedName>
    <definedName name="SPMSC2">#REF!</definedName>
    <definedName name="SPNCTIN1">#REF!</definedName>
    <definedName name="SPNCTIN2">#REF!</definedName>
    <definedName name="SPNDEPLO1">#REF!</definedName>
    <definedName name="SPNDEPLO2">#REF!</definedName>
    <definedName name="SPNFREI1">#REF!</definedName>
    <definedName name="SPNFREI2">#REF!</definedName>
    <definedName name="SPNFTS1">#REF!</definedName>
    <definedName name="SPNFTS2">#REF!</definedName>
    <definedName name="SPNINRTU1">#REF!</definedName>
    <definedName name="SPNINRTU2">#REF!</definedName>
    <definedName name="SPNLOG1">#REF!</definedName>
    <definedName name="SPNLOG2">#REF!</definedName>
    <definedName name="SPNMARK1">#REF!</definedName>
    <definedName name="SPNMARK2">#REF!</definedName>
    <definedName name="SPNMIS1">#REF!</definedName>
    <definedName name="SPNMIS2">#REF!</definedName>
    <definedName name="SPNPREIN1">#REF!</definedName>
    <definedName name="SPNPREIN2">#REF!</definedName>
    <definedName name="SPNPROJ1">#REF!</definedName>
    <definedName name="SPNPROJ2">#REF!</definedName>
    <definedName name="SPNREC1">#REF!</definedName>
    <definedName name="SPNREC2">#REF!</definedName>
    <definedName name="SPNRETRO1">#REF!</definedName>
    <definedName name="SPNRETRO2">#REF!</definedName>
    <definedName name="SPNSPEC1">#REF!</definedName>
    <definedName name="SPNSPEC2">#REF!</definedName>
    <definedName name="SPNSSON1">#REF!</definedName>
    <definedName name="SPNSSON2">#REF!</definedName>
    <definedName name="SPNSTDOC1">#REF!</definedName>
    <definedName name="SPNSTDOC2">#REF!</definedName>
    <definedName name="SPNTD1">#REF!</definedName>
    <definedName name="SPNTD2">#REF!</definedName>
    <definedName name="SPNTRAIN1">#REF!</definedName>
    <definedName name="SPNTRAIN2">#REF!</definedName>
    <definedName name="SPNWAR1">#REF!</definedName>
    <definedName name="SPNWAR2">#REF!</definedName>
    <definedName name="SPOMC1">#REF!</definedName>
    <definedName name="SPOMC2">#REF!</definedName>
    <definedName name="SPOTVAS1">#REF!</definedName>
    <definedName name="SPOTVAS2">#REF!</definedName>
    <definedName name="SPRESAL">#REF!</definedName>
    <definedName name="SPSMIM1">#REF!</definedName>
    <definedName name="SPSMIM2">#REF!</definedName>
    <definedName name="SPSPARE1">#REF!</definedName>
    <definedName name="SPSPARE2">#REF!</definedName>
    <definedName name="SPTVASCIT">#REF!</definedName>
    <definedName name="SPTVASSEL">#REF!</definedName>
    <definedName name="SPVM1">#REF!</definedName>
    <definedName name="SPVM2">#REF!</definedName>
    <definedName name="ss" hidden="1">{"COST",#N/A,FALSE,"SYNTHESE";"MARGIN",#N/A,FALSE,"SYNTHESE";"LOT_COM",#N/A,FALSE,"SYNTHESE"}</definedName>
    <definedName name="sss">#REF!</definedName>
    <definedName name="ssssssssssssssssssssssssssssssssssssssssssssssssss">!#REF!</definedName>
    <definedName name="status">#REF!</definedName>
    <definedName name="strings">#REF!</definedName>
    <definedName name="Structure_type">#REF!</definedName>
    <definedName name="SUBNR1">#REF!</definedName>
    <definedName name="SUBNR2">#REF!</definedName>
    <definedName name="SUPNSS">#REF!</definedName>
    <definedName name="Supplier">#REF!</definedName>
    <definedName name="Synth">#REF!</definedName>
    <definedName name="t">!#REF!</definedName>
    <definedName name="TB">#REF!</definedName>
    <definedName name="tbl_Data">OFFSET(#REF!,0,0,COUNTA(#REF!)-1,COUNTA(#REF!))</definedName>
    <definedName name="tbl_ValueWeights_Item">#REF!</definedName>
    <definedName name="tbl_ValueWeights_UnitClass">#REF!</definedName>
    <definedName name="Téléphone1">#REF!</definedName>
    <definedName name="Temp1">#REF!</definedName>
    <definedName name="Temp2" hidden="1">#REF!</definedName>
    <definedName name="Temp3" hidden="1">#REF!</definedName>
    <definedName name="Temp4">#REF!</definedName>
    <definedName name="Temp5">#REF!</definedName>
    <definedName name="Temp6">#REF!</definedName>
    <definedName name="ten_DC">#REF!</definedName>
    <definedName name="TestOverTemp">#REF!</definedName>
    <definedName name="TextRefCopyRangeCount" hidden="1">4</definedName>
    <definedName name="thcing">#REF!</definedName>
    <definedName name="to_whom">#REF!</definedName>
    <definedName name="tot_cost">#REF!</definedName>
    <definedName name="total">#REF!</definedName>
    <definedName name="TPROD">#REF!</definedName>
    <definedName name="TRXNR">#REF!</definedName>
    <definedName name="ttttttttttttttttttttttttttttttttttttttttttttttttttttttttttt">!#REF!</definedName>
    <definedName name="tttttttttttttttttttttttttttttttttttttttttttttttttttttttttttttt">!#REF!</definedName>
    <definedName name="TurnOnOff">#REF!</definedName>
    <definedName name="TVA">Summary!#REF!</definedName>
    <definedName name="TY">#REF!</definedName>
    <definedName name="type_nrj">#REF!</definedName>
    <definedName name="typology">#REF!</definedName>
    <definedName name="TYPOS">#REF!</definedName>
    <definedName name="ù">#REF!</definedName>
    <definedName name="UnderVoltage">#REF!</definedName>
    <definedName name="USDtoLEones">#REF!</definedName>
    <definedName name="uuuuuuuuuuuuuuuuuuuuuuuuuuuuuuuuuuuuuuuuuuuuu">!#REF!</definedName>
    <definedName name="VALDOL">#REF!</definedName>
    <definedName name="Vauxnom">#REF!</definedName>
    <definedName name="VGFCD" hidden="1">{#N/A,#N/A,TRUE,"Config1";#N/A,#N/A,TRUE,"Config2";#N/A,#N/A,TRUE,"Config3";#N/A,#N/A,TRUE,"Config4";#N/A,#N/A,TRUE,"Config5";#N/A,#N/A,TRUE,"Config6";#N/A,#N/A,TRUE,"Config7"}</definedName>
    <definedName name="ViAmin">#REF!</definedName>
    <definedName name="ViBmin">#REF!</definedName>
    <definedName name="ViBrownOut">#REF!</definedName>
    <definedName name="ViCmin">#REF!</definedName>
    <definedName name="ViDipSag">#REF!</definedName>
    <definedName name="Ville">#REF!</definedName>
    <definedName name="Vimax">#REF!</definedName>
    <definedName name="Vinom">#REF!</definedName>
    <definedName name="ViStep">#REF!</definedName>
    <definedName name="Viuvoff">#REF!</definedName>
    <definedName name="Viuvon">#REF!</definedName>
    <definedName name="Vo1ilim10">#REF!</definedName>
    <definedName name="Vo1ilim100">#REF!</definedName>
    <definedName name="Vo1nom">#REF!</definedName>
    <definedName name="Vo1offsetmax">#REF!</definedName>
    <definedName name="Vo1offsetmin">#REF!</definedName>
    <definedName name="Vo1plim">#REF!</definedName>
    <definedName name="Vo1rangemax">#REF!</definedName>
    <definedName name="Vo1rangemin">#REF!</definedName>
    <definedName name="Vo1setmax">#REF!</definedName>
    <definedName name="Vo1setmin">#REF!</definedName>
    <definedName name="Vo1SetpointAcc">#REF!</definedName>
    <definedName name="VoRBTol">#REF!</definedName>
    <definedName name="VVµ">#REF!</definedName>
    <definedName name="w">#REF!</definedName>
    <definedName name="wrn.Alle._.Risiken._.der._.Kategorie._.1." hidden="1">{"A 1.2",#N/A,FALSE,"Kat. 1";"A 1.1",#N/A,FALSE,"Kat. 1";"A 1_3",#N/A,FALSE,"Kat. 1"}</definedName>
    <definedName name="wrn.BSS.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.BTS." hidden="1">{#N/A,#N/A,TRUE,"Config1";#N/A,#N/A,TRUE,"Config2";#N/A,#N/A,TRUE,"Config3";#N/A,#N/A,TRUE,"Config4";#N/A,#N/A,TRUE,"Config5";#N/A,#N/A,TRUE,"Config6";#N/A,#N/A,TRUE,"Config7"}</definedName>
    <definedName name="wrn.DEV_SYNTHESE." hidden="1">{"COST",#N/A,FALSE,"SYNTHESE";"MARGIN",#N/A,FALSE,"SYNTHESE";"LOT_COM",#N/A,FALSE,"SYNTHESE"}</definedName>
    <definedName name="wrn.Sensitivity." hidden="1">{#N/A,#N/A,FALSE,"Sensitivity"}</definedName>
    <definedName name="wrn.Übersicht._.Kategorie._.1." hidden="1">{"Übersicht 1",#N/A,FALSE,"Kat. 1"}</definedName>
    <definedName name="WrnBSS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SS2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rnBTS" hidden="1">{#N/A,#N/A,TRUE,"Config1";#N/A,#N/A,TRUE,"Config2";#N/A,#N/A,TRUE,"Config3";#N/A,#N/A,TRUE,"Config4";#N/A,#N/A,TRUE,"Config5";#N/A,#N/A,TRUE,"Config6";#N/A,#N/A,TRUE,"Config7"}</definedName>
    <definedName name="WrnBTS2" hidden="1">{#N/A,#N/A,TRUE,"Config1";#N/A,#N/A,TRUE,"Config2";#N/A,#N/A,TRUE,"Config3";#N/A,#N/A,TRUE,"Config4";#N/A,#N/A,TRUE,"Config5";#N/A,#N/A,TRUE,"Config6";#N/A,#N/A,TRUE,"Config7"}</definedName>
    <definedName name="WrnDevSynthese" hidden="1">{"COST",#N/A,FALSE,"SYNTHESE";"MARGIN",#N/A,FALSE,"SYNTHESE";"LOT_COM",#N/A,FALSE,"SYNTHESE"}</definedName>
    <definedName name="WrnDevSynthese2" hidden="1">{"COST",#N/A,FALSE,"SYNTHESE";"MARGIN",#N/A,FALSE,"SYNTHESE";"LOT_COM",#N/A,FALSE,"SYNTHESE"}</definedName>
    <definedName name="WX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WXC" hidden="1">{"COST",#N/A,FALSE,"SYNTHESE";"MARGIN",#N/A,FALSE,"SYNTHESE";"LOT_COM",#N/A,FALSE,"SYNTHESE"}</definedName>
    <definedName name="WXQS" hidden="1">{#N/A,#N/A,TRUE,"Config1";#N/A,#N/A,TRUE,"Config2";#N/A,#N/A,TRUE,"Config3";#N/A,#N/A,TRUE,"Config4";#N/A,#N/A,TRUE,"Config5";#N/A,#N/A,TRUE,"Config6";#N/A,#N/A,TRUE,"Config7"}</definedName>
    <definedName name="WXXSQA" hidden="1">{#N/A,#N/A,TRUE,"Discount";#N/A,#N/A,TRUE,"Sommaire";#N/A,#N/A,TRUE,"Services";#N/A,#N/A,TRUE,"RNP";#N/A,#N/A,TRUE,"Support";#N/A,#N/A,TRUE,"BSS";#N/A,#N/A,TRUE,"BTS";#N/A,#N/A,TRUE,"BSC";#N/A,#N/A,TRUE,"BSC1";#N/A,#N/A,TRUE,"TRANSCODER";#N/A,#N/A,TRUE,"OMC-R";#N/A,#N/A,TRUE,"MW";#N/A,#N/A,TRUE,"DIESEL";#N/A,#N/A,TRUE,"TOWERS";#N/A,#N/A,TRUE,"ANTENNAS";#N/A,#N/A,TRUE,"SHELTERS";#N/A,#N/A,TRUE,"SPARES";#N/A,#N/A,TRUE,"SP_item";#N/A,#N/A,TRUE,"TOOLS";#N/A,#N/A,TRUE,"DOC";#N/A,#N/A,TRUE,"Mobile"}</definedName>
    <definedName name="x">#REF!</definedName>
    <definedName name="XRefColumnsCount" hidden="1">1</definedName>
    <definedName name="XRefCopyRangeCount" hidden="1">2</definedName>
    <definedName name="XRefPasteRangeCount" hidden="1">1</definedName>
    <definedName name="xyz" hidden="1">{"COST",#N/A,FALSE,"SYNTHESE";"MARGIN",#N/A,FALSE,"SYNTHESE";"LOT_COM",#N/A,FALSE,"SYNTHESE"}</definedName>
    <definedName name="year">#REF!</definedName>
    <definedName name="yearlyA">#REF!</definedName>
    <definedName name="yr1leave">#REF!</definedName>
    <definedName name="yr2leave">#REF!</definedName>
    <definedName name="yr3leave">#REF!</definedName>
    <definedName name="yr4leave">#REF!</definedName>
    <definedName name="yr5leave">#REF!</definedName>
    <definedName name="yr6leave">#REF!</definedName>
    <definedName name="yr7leave">#REF!</definedName>
    <definedName name="yyyy">#REF!</definedName>
    <definedName name="yyyyyyyyyyyyyyyyyyyyyyyyyyyyyyyyyyyyyyyyyyyyy">!#REF!</definedName>
    <definedName name="ze">#REF!</definedName>
    <definedName name="zerzerzerzrr" hidden="1">#REF!</definedName>
    <definedName name="_xlnm.Print_Area">#REF!</definedName>
    <definedName name="ZoneLivraison">#REF!</definedName>
    <definedName name="zz" hidden="1">{"COST",#N/A,FALSE,"SYNTHESE";"MARGIN",#N/A,FALSE,"SYNTHESE";"LOT_COM",#N/A,FALSE,"SYNTHESE"}</definedName>
    <definedName name="zzer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22" l="1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K33" i="22"/>
  <c r="K34" i="22"/>
  <c r="K35" i="22"/>
  <c r="K36" i="22"/>
  <c r="K37" i="22"/>
  <c r="K38" i="22"/>
  <c r="K39" i="22"/>
  <c r="K40" i="22"/>
  <c r="K41" i="22"/>
  <c r="K42" i="22"/>
  <c r="K43" i="22"/>
  <c r="K44" i="22"/>
  <c r="K45" i="22"/>
  <c r="K46" i="22"/>
  <c r="K47" i="22"/>
  <c r="K48" i="22"/>
  <c r="K49" i="22"/>
  <c r="K50" i="22"/>
  <c r="K51" i="22"/>
  <c r="K52" i="22"/>
  <c r="K53" i="22"/>
  <c r="K54" i="22"/>
  <c r="K55" i="22"/>
  <c r="K56" i="22"/>
  <c r="K57" i="22"/>
  <c r="K58" i="22"/>
  <c r="K59" i="22"/>
  <c r="K60" i="22"/>
  <c r="K61" i="22"/>
  <c r="K62" i="22"/>
  <c r="K63" i="22"/>
  <c r="K64" i="22"/>
  <c r="K65" i="22"/>
  <c r="K66" i="22"/>
  <c r="K67" i="22"/>
  <c r="K68" i="22"/>
  <c r="K69" i="22"/>
  <c r="K70" i="22"/>
  <c r="K71" i="22"/>
  <c r="K72" i="22"/>
  <c r="K73" i="22"/>
  <c r="K74" i="22"/>
  <c r="K75" i="22"/>
  <c r="K76" i="22"/>
  <c r="K77" i="22"/>
  <c r="K78" i="22"/>
  <c r="K79" i="22"/>
  <c r="K80" i="22"/>
  <c r="K81" i="22"/>
  <c r="K82" i="22"/>
  <c r="K83" i="22"/>
  <c r="K84" i="22"/>
  <c r="K85" i="22"/>
  <c r="K86" i="22"/>
  <c r="K87" i="22"/>
  <c r="K88" i="22"/>
  <c r="K89" i="22"/>
  <c r="K90" i="22"/>
  <c r="K91" i="22"/>
  <c r="K92" i="22"/>
  <c r="K93" i="22"/>
  <c r="K94" i="22"/>
  <c r="K95" i="22"/>
  <c r="K96" i="22"/>
  <c r="K97" i="22"/>
  <c r="K98" i="22"/>
  <c r="K99" i="22"/>
  <c r="K100" i="22"/>
  <c r="K101" i="22"/>
  <c r="K102" i="22"/>
  <c r="K103" i="22"/>
  <c r="K104" i="22"/>
  <c r="K105" i="22"/>
  <c r="K106" i="22"/>
  <c r="K107" i="22"/>
  <c r="K108" i="22"/>
  <c r="K109" i="22"/>
  <c r="K110" i="22"/>
  <c r="K111" i="22"/>
  <c r="K112" i="22"/>
  <c r="K113" i="22"/>
  <c r="K114" i="22"/>
  <c r="K115" i="22"/>
  <c r="K116" i="22"/>
  <c r="K117" i="22"/>
  <c r="K118" i="22"/>
  <c r="K119" i="22"/>
  <c r="K120" i="22"/>
  <c r="K121" i="22"/>
  <c r="K122" i="22"/>
  <c r="K123" i="22"/>
  <c r="K124" i="22"/>
  <c r="K125" i="22"/>
  <c r="K126" i="22"/>
  <c r="K127" i="22"/>
  <c r="K128" i="22"/>
  <c r="K129" i="22"/>
  <c r="K130" i="22"/>
  <c r="K131" i="22"/>
  <c r="K132" i="22"/>
  <c r="K133" i="22"/>
  <c r="K134" i="22"/>
  <c r="K135" i="22"/>
  <c r="K136" i="22"/>
  <c r="K137" i="22"/>
  <c r="K138" i="22"/>
  <c r="K139" i="22"/>
  <c r="K140" i="22"/>
  <c r="K141" i="22"/>
  <c r="K142" i="22"/>
  <c r="K143" i="22"/>
  <c r="K144" i="22"/>
  <c r="K145" i="22"/>
  <c r="K146" i="22"/>
  <c r="K147" i="22"/>
  <c r="K148" i="22"/>
  <c r="K149" i="22"/>
  <c r="K150" i="22"/>
  <c r="K151" i="22"/>
  <c r="K152" i="22"/>
  <c r="K153" i="22"/>
  <c r="K154" i="22"/>
  <c r="K155" i="22"/>
  <c r="K156" i="22"/>
  <c r="K157" i="22"/>
  <c r="K158" i="22"/>
  <c r="K159" i="22"/>
  <c r="K160" i="22"/>
  <c r="K161" i="22"/>
  <c r="K162" i="22"/>
  <c r="K163" i="22"/>
  <c r="K164" i="22"/>
  <c r="K165" i="22"/>
  <c r="K166" i="22"/>
  <c r="K167" i="22"/>
  <c r="K168" i="22"/>
  <c r="K169" i="22"/>
  <c r="K170" i="22"/>
  <c r="K171" i="22"/>
  <c r="K172" i="22"/>
  <c r="K173" i="22"/>
  <c r="K174" i="22"/>
  <c r="K175" i="22"/>
  <c r="K176" i="22"/>
  <c r="K177" i="22"/>
  <c r="K178" i="22"/>
  <c r="K179" i="22"/>
  <c r="K180" i="22"/>
  <c r="K181" i="22"/>
  <c r="K182" i="22"/>
  <c r="K183" i="22"/>
  <c r="K184" i="22"/>
  <c r="K185" i="22"/>
  <c r="K186" i="22"/>
  <c r="K187" i="22"/>
  <c r="K188" i="22"/>
  <c r="K189" i="22"/>
  <c r="K190" i="22"/>
  <c r="K191" i="22"/>
  <c r="K192" i="22"/>
  <c r="K193" i="22"/>
  <c r="K194" i="22"/>
  <c r="K195" i="22"/>
  <c r="K196" i="22"/>
  <c r="K197" i="22"/>
  <c r="K198" i="22"/>
  <c r="K199" i="22"/>
  <c r="K200" i="22"/>
  <c r="K201" i="22"/>
  <c r="K202" i="22"/>
  <c r="K203" i="22"/>
  <c r="K204" i="22"/>
  <c r="K205" i="22"/>
  <c r="K206" i="22"/>
  <c r="K207" i="22"/>
  <c r="K208" i="22"/>
  <c r="K209" i="22"/>
  <c r="K210" i="22"/>
  <c r="K211" i="22"/>
  <c r="K212" i="22"/>
  <c r="K213" i="22"/>
  <c r="K214" i="22"/>
  <c r="K215" i="22"/>
  <c r="K216" i="22"/>
  <c r="K217" i="22"/>
  <c r="K218" i="22"/>
  <c r="K219" i="22"/>
  <c r="K220" i="22"/>
  <c r="K221" i="22"/>
  <c r="K222" i="22"/>
  <c r="K223" i="22"/>
  <c r="K224" i="22"/>
  <c r="K225" i="22"/>
  <c r="K226" i="22"/>
  <c r="K227" i="22"/>
  <c r="K228" i="22"/>
  <c r="K229" i="22"/>
  <c r="K230" i="22"/>
  <c r="K231" i="22"/>
  <c r="K232" i="22"/>
  <c r="K233" i="22"/>
  <c r="K234" i="22"/>
  <c r="K235" i="22"/>
  <c r="K236" i="22"/>
  <c r="K237" i="22"/>
  <c r="K238" i="22"/>
  <c r="K239" i="22"/>
  <c r="K240" i="22"/>
  <c r="K241" i="22"/>
  <c r="K242" i="22"/>
  <c r="K243" i="22"/>
  <c r="K244" i="22"/>
  <c r="K245" i="22"/>
  <c r="K246" i="22"/>
  <c r="K247" i="22"/>
  <c r="K248" i="22"/>
  <c r="K249" i="22"/>
  <c r="K250" i="22"/>
  <c r="K251" i="22"/>
  <c r="K252" i="22"/>
  <c r="K253" i="22"/>
  <c r="K254" i="22"/>
  <c r="K255" i="22"/>
  <c r="K256" i="22"/>
  <c r="K257" i="22"/>
  <c r="K258" i="22"/>
  <c r="K259" i="22"/>
  <c r="K260" i="22"/>
  <c r="K261" i="22"/>
  <c r="K262" i="22"/>
  <c r="K263" i="22"/>
  <c r="K264" i="22"/>
  <c r="K265" i="22"/>
  <c r="K266" i="22"/>
  <c r="K267" i="22"/>
  <c r="K268" i="22"/>
  <c r="K269" i="22"/>
  <c r="K270" i="22"/>
  <c r="K271" i="22"/>
  <c r="K272" i="22"/>
  <c r="K273" i="22"/>
  <c r="K274" i="22"/>
  <c r="K275" i="22"/>
  <c r="K276" i="22"/>
  <c r="K277" i="22"/>
  <c r="K278" i="22"/>
  <c r="K279" i="22"/>
  <c r="K280" i="22"/>
  <c r="K281" i="22"/>
  <c r="K282" i="22"/>
  <c r="K283" i="22"/>
  <c r="K284" i="22"/>
  <c r="K285" i="22"/>
  <c r="K286" i="22"/>
  <c r="K287" i="22"/>
  <c r="K288" i="22"/>
  <c r="K289" i="22"/>
  <c r="K290" i="22"/>
  <c r="K291" i="22"/>
  <c r="K292" i="22"/>
  <c r="K293" i="22"/>
  <c r="K294" i="22"/>
  <c r="K295" i="22"/>
  <c r="K296" i="22"/>
  <c r="K297" i="22"/>
  <c r="K298" i="22"/>
  <c r="K299" i="22"/>
  <c r="K300" i="22"/>
  <c r="K301" i="22"/>
  <c r="K302" i="22"/>
  <c r="K303" i="22"/>
  <c r="K304" i="22"/>
  <c r="K305" i="22"/>
  <c r="K306" i="22"/>
  <c r="K307" i="22"/>
  <c r="K308" i="22"/>
  <c r="K309" i="22"/>
  <c r="K310" i="22"/>
  <c r="K311" i="22"/>
  <c r="K312" i="22"/>
  <c r="K313" i="22"/>
  <c r="K314" i="22"/>
  <c r="K315" i="22"/>
  <c r="K316" i="22"/>
  <c r="K317" i="22"/>
  <c r="K318" i="22"/>
  <c r="K319" i="22"/>
  <c r="K320" i="22"/>
  <c r="K321" i="22"/>
  <c r="K322" i="22"/>
  <c r="K323" i="22"/>
  <c r="K324" i="22"/>
  <c r="K325" i="22"/>
  <c r="K326" i="22"/>
  <c r="K327" i="22"/>
  <c r="K328" i="22"/>
  <c r="K329" i="22"/>
  <c r="K330" i="22"/>
  <c r="K331" i="22"/>
  <c r="K332" i="22"/>
  <c r="K333" i="22"/>
  <c r="K334" i="22"/>
  <c r="K335" i="22"/>
  <c r="K336" i="22"/>
  <c r="K337" i="22"/>
  <c r="K338" i="22"/>
  <c r="K339" i="22"/>
  <c r="K340" i="22"/>
  <c r="K341" i="22"/>
  <c r="K342" i="22"/>
  <c r="K343" i="22"/>
  <c r="K344" i="22"/>
  <c r="K345" i="22"/>
  <c r="K346" i="22"/>
  <c r="K347" i="22"/>
  <c r="K348" i="22"/>
  <c r="K349" i="22"/>
  <c r="K350" i="22"/>
  <c r="K351" i="22"/>
  <c r="K352" i="22"/>
  <c r="K353" i="22"/>
  <c r="K354" i="22"/>
  <c r="K355" i="22"/>
  <c r="K356" i="22"/>
  <c r="K357" i="22"/>
  <c r="K358" i="22"/>
  <c r="K359" i="22"/>
  <c r="K360" i="22"/>
  <c r="K361" i="22"/>
  <c r="K362" i="22"/>
  <c r="K363" i="22"/>
  <c r="K364" i="22"/>
  <c r="K365" i="22"/>
  <c r="K366" i="22"/>
  <c r="K367" i="22"/>
  <c r="K368" i="22"/>
  <c r="K369" i="22"/>
  <c r="K370" i="22"/>
  <c r="K371" i="22"/>
  <c r="K372" i="22"/>
  <c r="K373" i="22"/>
  <c r="K374" i="22"/>
  <c r="K375" i="22"/>
  <c r="K376" i="22"/>
  <c r="K377" i="22"/>
  <c r="K378" i="22"/>
  <c r="K379" i="22"/>
  <c r="K380" i="22"/>
  <c r="K381" i="22"/>
  <c r="K382" i="22"/>
  <c r="K383" i="22"/>
  <c r="K384" i="22"/>
  <c r="K385" i="22"/>
  <c r="K386" i="22"/>
  <c r="K387" i="22"/>
  <c r="K388" i="22"/>
  <c r="K389" i="22"/>
  <c r="K390" i="22"/>
  <c r="K391" i="22"/>
  <c r="K392" i="22"/>
  <c r="K393" i="22"/>
  <c r="K394" i="22"/>
  <c r="K395" i="22"/>
  <c r="K396" i="22"/>
  <c r="K397" i="22"/>
  <c r="K398" i="22"/>
  <c r="K399" i="22"/>
  <c r="K400" i="22"/>
  <c r="K401" i="22"/>
  <c r="K402" i="22"/>
  <c r="K403" i="22"/>
  <c r="K404" i="22"/>
  <c r="K405" i="22"/>
  <c r="K406" i="22"/>
  <c r="K407" i="22"/>
  <c r="K408" i="22"/>
  <c r="K409" i="22"/>
  <c r="K410" i="22"/>
  <c r="K411" i="22"/>
  <c r="K412" i="22"/>
  <c r="K413" i="22"/>
  <c r="K414" i="22"/>
  <c r="K415" i="22"/>
  <c r="K416" i="22"/>
  <c r="K417" i="22"/>
  <c r="K418" i="22"/>
  <c r="K419" i="22"/>
  <c r="K420" i="22"/>
  <c r="K421" i="22"/>
  <c r="K422" i="22"/>
  <c r="K423" i="22"/>
  <c r="K424" i="22"/>
  <c r="K425" i="22"/>
  <c r="K426" i="22"/>
  <c r="K427" i="22"/>
  <c r="K428" i="22"/>
  <c r="K429" i="22"/>
  <c r="K430" i="22"/>
  <c r="K431" i="22"/>
  <c r="K432" i="22"/>
  <c r="K433" i="22"/>
  <c r="K434" i="22"/>
  <c r="K435" i="22"/>
  <c r="K436" i="22"/>
  <c r="K437" i="22"/>
  <c r="K438" i="22"/>
  <c r="K439" i="22"/>
  <c r="K440" i="22"/>
  <c r="K441" i="22"/>
  <c r="K442" i="22"/>
  <c r="K443" i="22"/>
  <c r="K444" i="22"/>
  <c r="K445" i="22"/>
  <c r="K446" i="22"/>
  <c r="K447" i="22"/>
  <c r="K448" i="22"/>
  <c r="K449" i="22"/>
  <c r="K7" i="22"/>
  <c r="D43" i="23"/>
  <c r="D42" i="23"/>
  <c r="D41" i="23"/>
  <c r="D40" i="23"/>
  <c r="D39" i="23"/>
  <c r="D38" i="23"/>
  <c r="D37" i="23"/>
  <c r="D36" i="23"/>
  <c r="D35" i="23"/>
  <c r="D34" i="23"/>
  <c r="D33" i="23"/>
  <c r="D32" i="23"/>
  <c r="D31" i="23"/>
  <c r="D30" i="23"/>
  <c r="D29" i="23"/>
  <c r="D28" i="23"/>
  <c r="D27" i="23"/>
  <c r="D26" i="23"/>
  <c r="D25" i="23"/>
  <c r="D24" i="23"/>
  <c r="D23" i="23"/>
  <c r="D22" i="23"/>
  <c r="D21" i="23"/>
  <c r="D20" i="23"/>
  <c r="D19" i="23"/>
  <c r="D18" i="23"/>
  <c r="D17" i="23"/>
  <c r="D16" i="23"/>
  <c r="D15" i="23"/>
  <c r="D14" i="23"/>
  <c r="D13" i="23"/>
  <c r="D12" i="23"/>
  <c r="D11" i="23"/>
  <c r="D10" i="23"/>
  <c r="D9" i="23"/>
  <c r="D8" i="23"/>
  <c r="D7" i="23"/>
  <c r="D6" i="23"/>
  <c r="D5" i="23"/>
  <c r="D4" i="23"/>
  <c r="D3" i="23"/>
  <c r="A4" i="22" l="1"/>
  <c r="B2" i="8" s="1"/>
  <c r="O5" i="22" l="1"/>
  <c r="O4" i="22" s="1"/>
  <c r="B10" i="8" s="1"/>
  <c r="L5" i="22"/>
  <c r="L4" i="22" s="1"/>
  <c r="J5" i="22"/>
  <c r="B3" i="8" s="1"/>
  <c r="N5" i="22"/>
  <c r="N4" i="22" s="1"/>
  <c r="B8" i="8" s="1"/>
  <c r="M5" i="22"/>
  <c r="M4" i="22" s="1"/>
  <c r="B6" i="8" s="1"/>
  <c r="B5" i="8" l="1"/>
  <c r="J4" i="22"/>
  <c r="B4" i="8" s="1"/>
  <c r="B9" i="8"/>
  <c r="B7" i="8"/>
</calcChain>
</file>

<file path=xl/sharedStrings.xml><?xml version="1.0" encoding="utf-8"?>
<sst xmlns="http://schemas.openxmlformats.org/spreadsheetml/2006/main" count="3216" uniqueCount="1008">
  <si>
    <t>A_Ax_HGB</t>
  </si>
  <si>
    <t>A_Ax_S1</t>
  </si>
  <si>
    <t>A_Ax_S2</t>
  </si>
  <si>
    <t>A_Ax_S3</t>
  </si>
  <si>
    <t>A_Ax_S4</t>
  </si>
  <si>
    <t>A_Ax_S5</t>
  </si>
  <si>
    <t>A_Ax_S6</t>
  </si>
  <si>
    <t>A_Ax_S7</t>
  </si>
  <si>
    <t>A_Ax_S8</t>
  </si>
  <si>
    <t>A_Ax_S9</t>
  </si>
  <si>
    <t>A_Ax_S10</t>
  </si>
  <si>
    <t>A_Ax_PS</t>
  </si>
  <si>
    <t>A_Ax_GG GE</t>
  </si>
  <si>
    <t>A_Ax_GG S0 GE</t>
  </si>
  <si>
    <t>A_Ax_GG S1 GE</t>
  </si>
  <si>
    <t>A_Ax_GG S2 GE</t>
  </si>
  <si>
    <t>A_Ax_GG S3 GE</t>
  </si>
  <si>
    <t>A_Ax_GG</t>
  </si>
  <si>
    <t>A_Ax_GG S0</t>
  </si>
  <si>
    <t>A_Ax_GG S1</t>
  </si>
  <si>
    <t>A_Ax_GG S2</t>
  </si>
  <si>
    <t>A_Ax_GG S3</t>
  </si>
  <si>
    <t>A_Ax_MG GE</t>
  </si>
  <si>
    <t>A_Ax_MG S0 GE</t>
  </si>
  <si>
    <t>A_Ax_MG S1 GE</t>
  </si>
  <si>
    <t>A_Ax_BG GE</t>
  </si>
  <si>
    <t>A_Ax_BG S0 GE</t>
  </si>
  <si>
    <t>A_Ax_BG S1 GE</t>
  </si>
  <si>
    <t>Ar_S1</t>
  </si>
  <si>
    <t>Ar_S2</t>
  </si>
  <si>
    <t>Ar_PS</t>
  </si>
  <si>
    <t>Ar_GG GE</t>
  </si>
  <si>
    <t>Ar_GG S0 GE</t>
  </si>
  <si>
    <t>Ar_GG S1 GE</t>
  </si>
  <si>
    <t>Ar_GG</t>
  </si>
  <si>
    <t xml:space="preserve">Ar_GG S0 </t>
  </si>
  <si>
    <t xml:space="preserve">Ar_GG S1 </t>
  </si>
  <si>
    <t>C4_HGB</t>
  </si>
  <si>
    <t>C4_S1</t>
  </si>
  <si>
    <t>C4_S2</t>
  </si>
  <si>
    <t>C4_PS</t>
  </si>
  <si>
    <t>C4_GG</t>
  </si>
  <si>
    <t xml:space="preserve">C4_GG S0 </t>
  </si>
  <si>
    <t xml:space="preserve">C4_GG S1 </t>
  </si>
  <si>
    <t>D2_HGB</t>
  </si>
  <si>
    <t>D2_S1</t>
  </si>
  <si>
    <t>D2_S2</t>
  </si>
  <si>
    <t>D2_S4</t>
  </si>
  <si>
    <t>D2_S8</t>
  </si>
  <si>
    <t>D2_PS</t>
  </si>
  <si>
    <t>D2_GG GE</t>
  </si>
  <si>
    <t>D2_GG S0 GE</t>
  </si>
  <si>
    <t>D2_GG S1 GE</t>
  </si>
  <si>
    <t>D2_GG S2 GE</t>
  </si>
  <si>
    <t>D2_GG S3 GE</t>
  </si>
  <si>
    <t>D2_GG</t>
  </si>
  <si>
    <t xml:space="preserve">D2_GG S0 </t>
  </si>
  <si>
    <t xml:space="preserve">D2_GG S1 </t>
  </si>
  <si>
    <t>D2_GG S2</t>
  </si>
  <si>
    <t>D2_GG S3</t>
  </si>
  <si>
    <t>E1_E2_GG GE</t>
  </si>
  <si>
    <t>E1_E2_GG S0 GE</t>
  </si>
  <si>
    <t>E1_E2_GG S1 GE</t>
  </si>
  <si>
    <t>E1_E2_GG S2 GE</t>
  </si>
  <si>
    <t>E1_E2_GG S3 GE</t>
  </si>
  <si>
    <t>E1_E2_GG</t>
  </si>
  <si>
    <t xml:space="preserve">E1_E2_GG S0 </t>
  </si>
  <si>
    <t xml:space="preserve">E1_E2_GG S1 </t>
  </si>
  <si>
    <t>E1_E2_GG S2</t>
  </si>
  <si>
    <t>E1_E2_GG S3</t>
  </si>
  <si>
    <t>Site ID</t>
  </si>
  <si>
    <t>Site Name</t>
  </si>
  <si>
    <t>Statut Facturation</t>
  </si>
  <si>
    <t>Batch opérationnel</t>
  </si>
  <si>
    <t>Configuration</t>
  </si>
  <si>
    <t>Oui</t>
  </si>
  <si>
    <t>Sites activation</t>
  </si>
  <si>
    <t>2672 sites</t>
  </si>
  <si>
    <t>Outdoor</t>
  </si>
  <si>
    <t>P5</t>
  </si>
  <si>
    <t>THS_0046</t>
  </si>
  <si>
    <t>AUTOROUTE_AIBD</t>
  </si>
  <si>
    <t>P3</t>
  </si>
  <si>
    <t>DKR_0047</t>
  </si>
  <si>
    <t>AUTOROUTE_CICAD01</t>
  </si>
  <si>
    <t>THS_0051</t>
  </si>
  <si>
    <t>AUTOROUTE_KIRENE</t>
  </si>
  <si>
    <t>DKR_0053</t>
  </si>
  <si>
    <t>AUTOROUTE_PEAGE01</t>
  </si>
  <si>
    <t>DKR_0059</t>
  </si>
  <si>
    <t>AUTOROUTE_PEAGE08</t>
  </si>
  <si>
    <t>DKR_0060</t>
  </si>
  <si>
    <t>AUTOROUTE_PEAGE09</t>
  </si>
  <si>
    <t>DKR_0061</t>
  </si>
  <si>
    <t>AUTOROUTE_PEAGE10</t>
  </si>
  <si>
    <t>THS_0063</t>
  </si>
  <si>
    <t>AUTOROUTE_THICKY</t>
  </si>
  <si>
    <t>Indoor</t>
  </si>
  <si>
    <t>P2</t>
  </si>
  <si>
    <t>DBL_0069</t>
  </si>
  <si>
    <t>BACCO_SERERE</t>
  </si>
  <si>
    <t>KLK_0071</t>
  </si>
  <si>
    <t>BACK_SAMBA_DIOR</t>
  </si>
  <si>
    <t>MBR_0072</t>
  </si>
  <si>
    <t>BADD</t>
  </si>
  <si>
    <t>ZIG_0079</t>
  </si>
  <si>
    <t>BAGHAGHA</t>
  </si>
  <si>
    <t>THS_0084</t>
  </si>
  <si>
    <t>BAITY_DIOUF</t>
  </si>
  <si>
    <t>TMB_0096</t>
  </si>
  <si>
    <t>BALLA</t>
  </si>
  <si>
    <t>MBR_0097</t>
  </si>
  <si>
    <t>BALLABOUGOU</t>
  </si>
  <si>
    <t>KDG_0100</t>
  </si>
  <si>
    <t>BAMBARAYA</t>
  </si>
  <si>
    <t>DBL_0102</t>
  </si>
  <si>
    <t>BAMBEY01</t>
  </si>
  <si>
    <t>TMB_0115</t>
  </si>
  <si>
    <t>BANI_ISRAEL</t>
  </si>
  <si>
    <t>KDG_0116</t>
  </si>
  <si>
    <t>BANTAKHO_COUTA</t>
  </si>
  <si>
    <t>TMB_0119</t>
  </si>
  <si>
    <t>BANTANTINTI</t>
  </si>
  <si>
    <t>KLD_0120</t>
  </si>
  <si>
    <t>BANTANTO</t>
  </si>
  <si>
    <t>P4</t>
  </si>
  <si>
    <t>ZIG_0148</t>
  </si>
  <si>
    <t>BEMET_BIDJINI</t>
  </si>
  <si>
    <t>ZIG_0157</t>
  </si>
  <si>
    <t>BIGNONA01</t>
  </si>
  <si>
    <t>STL_0167</t>
  </si>
  <si>
    <t>BISNABE_P_Y</t>
  </si>
  <si>
    <t>ORG_0176</t>
  </si>
  <si>
    <t>BOGUEL_BELLY_EDY</t>
  </si>
  <si>
    <t>ORG_0182</t>
  </si>
  <si>
    <t>BOKIDIAWE</t>
  </si>
  <si>
    <t>ZIG_0192</t>
  </si>
  <si>
    <t>BOUCOTTE_OUOLOF</t>
  </si>
  <si>
    <t>STL_0195</t>
  </si>
  <si>
    <t>BOUDY_SAKHO</t>
  </si>
  <si>
    <t>KLD_0203</t>
  </si>
  <si>
    <t>BOUNKILING</t>
  </si>
  <si>
    <t>STL_0206</t>
  </si>
  <si>
    <t>BOUSSOURA_LO</t>
  </si>
  <si>
    <t>KDG_0212</t>
  </si>
  <si>
    <t>BRANSAN</t>
  </si>
  <si>
    <t>ZIG_0236</t>
  </si>
  <si>
    <t>CAP_SKIRING01</t>
  </si>
  <si>
    <t>TMB_0266</t>
  </si>
  <si>
    <t>CISSE_COUNDA</t>
  </si>
  <si>
    <t>DKR_0297</t>
  </si>
  <si>
    <t>CITE_SAPCO02</t>
  </si>
  <si>
    <t>KLD_0317</t>
  </si>
  <si>
    <t>COUMBACARA</t>
  </si>
  <si>
    <t>KLK_0325</t>
  </si>
  <si>
    <t>DAGA_DAOUR</t>
  </si>
  <si>
    <t>NDM_0326</t>
  </si>
  <si>
    <t>DAGANA</t>
  </si>
  <si>
    <t>DBL_0329</t>
  </si>
  <si>
    <t>DAHRA01</t>
  </si>
  <si>
    <t>Non</t>
  </si>
  <si>
    <t>KDG_0336</t>
  </si>
  <si>
    <t>DAKATELI</t>
  </si>
  <si>
    <t>KDG_0347</t>
  </si>
  <si>
    <t>DALOTO</t>
  </si>
  <si>
    <t>KDG_0348</t>
  </si>
  <si>
    <t>DAMBALA_SEKHOTO</t>
  </si>
  <si>
    <t>DBL_0368</t>
  </si>
  <si>
    <t>DAROU_MARNANE</t>
  </si>
  <si>
    <t>TMB_0390</t>
  </si>
  <si>
    <t>DAROU_SALAM_MANDA</t>
  </si>
  <si>
    <t>DBL_0408</t>
  </si>
  <si>
    <t>DAROU_TANZIL06</t>
  </si>
  <si>
    <t>ZIG_0447</t>
  </si>
  <si>
    <t>DIACOUNDA_DIOLENE</t>
  </si>
  <si>
    <t>TMB_0461</t>
  </si>
  <si>
    <t>DIALACOTO</t>
  </si>
  <si>
    <t>THS_0472</t>
  </si>
  <si>
    <t>DIAMA_THIENDOU</t>
  </si>
  <si>
    <t>KLD_0479</t>
  </si>
  <si>
    <t>DIAMBATI</t>
  </si>
  <si>
    <t>DKR_0484</t>
  </si>
  <si>
    <t>DIAMNIADIO_CENTRAL</t>
  </si>
  <si>
    <t>KLK_0497</t>
  </si>
  <si>
    <t>DIANKE_SOUF</t>
  </si>
  <si>
    <t>ZIG_0512</t>
  </si>
  <si>
    <t>DIATTACOUNDA</t>
  </si>
  <si>
    <t>TMB_0525</t>
  </si>
  <si>
    <t>DIENOUDIALA</t>
  </si>
  <si>
    <t>TMB_0526</t>
  </si>
  <si>
    <t>DIENOUDIALA_FH</t>
  </si>
  <si>
    <t>KLD_0530</t>
  </si>
  <si>
    <t>DIGANTE</t>
  </si>
  <si>
    <t>MBR_0536</t>
  </si>
  <si>
    <t>DIOFIOR</t>
  </si>
  <si>
    <t>KLK_0540</t>
  </si>
  <si>
    <t>DIOKOUL</t>
  </si>
  <si>
    <t>KLK_0541</t>
  </si>
  <si>
    <t>DIOKOUL_MBELBOUCK</t>
  </si>
  <si>
    <t>MBR_0544</t>
  </si>
  <si>
    <t>DIONEWAR</t>
  </si>
  <si>
    <t>ZIG_0568</t>
  </si>
  <si>
    <t>DJONDJI</t>
  </si>
  <si>
    <t>KLD_0574</t>
  </si>
  <si>
    <t>DOUBIROU</t>
  </si>
  <si>
    <t>TMB_0578</t>
  </si>
  <si>
    <t>DOUGUE</t>
  </si>
  <si>
    <t>KDG_0587</t>
  </si>
  <si>
    <t>DOUTA</t>
  </si>
  <si>
    <t>KDG_0595</t>
  </si>
  <si>
    <t>ELIMALO</t>
  </si>
  <si>
    <t>TMB_0632</t>
  </si>
  <si>
    <t>FASS_NDIMBELANE</t>
  </si>
  <si>
    <t>KLK_0664</t>
  </si>
  <si>
    <t>GAINTH_PEULH</t>
  </si>
  <si>
    <t>ORG_0665</t>
  </si>
  <si>
    <t>GALOYA</t>
  </si>
  <si>
    <t>KLK_0667</t>
  </si>
  <si>
    <t>GAMBOUL_THIEDO</t>
  </si>
  <si>
    <t>KLK_0668</t>
  </si>
  <si>
    <t>GAMMA</t>
  </si>
  <si>
    <t>KLK_0670</t>
  </si>
  <si>
    <t>GANDIAYE</t>
  </si>
  <si>
    <t>BKL_0675</t>
  </si>
  <si>
    <t>GANGUEL_MAKA</t>
  </si>
  <si>
    <t>BKL_0681</t>
  </si>
  <si>
    <t>GATHIARY</t>
  </si>
  <si>
    <t>DKR_0696</t>
  </si>
  <si>
    <t>GD_YOFF06</t>
  </si>
  <si>
    <t>DKR_0698</t>
  </si>
  <si>
    <t>GDW01</t>
  </si>
  <si>
    <t>DBL_0728</t>
  </si>
  <si>
    <t>GOSSAS</t>
  </si>
  <si>
    <t>TMB_0730</t>
  </si>
  <si>
    <t>GOUDIRY</t>
  </si>
  <si>
    <t>TMB_0731</t>
  </si>
  <si>
    <t>GOUDIRY02</t>
  </si>
  <si>
    <t>ZIG_0732</t>
  </si>
  <si>
    <t>GOUDOMP</t>
  </si>
  <si>
    <t>ORG_0733</t>
  </si>
  <si>
    <t>GOUDOUBE_NDOUDBE</t>
  </si>
  <si>
    <t>KLK_0763</t>
  </si>
  <si>
    <t>GUINGUINEO</t>
  </si>
  <si>
    <t>TMB_0774</t>
  </si>
  <si>
    <t>HAMDALLAYE_TESSANG</t>
  </si>
  <si>
    <t>KDG_0802</t>
  </si>
  <si>
    <t>HOREFOLO</t>
  </si>
  <si>
    <t>MBR_0819</t>
  </si>
  <si>
    <t>JOAL01</t>
  </si>
  <si>
    <t>KLK_0832</t>
  </si>
  <si>
    <t>KAFFRINE01</t>
  </si>
  <si>
    <t>ZIG_0843</t>
  </si>
  <si>
    <t>KAGUITTE</t>
  </si>
  <si>
    <t>THS_0849</t>
  </si>
  <si>
    <t>KAM_DIACK</t>
  </si>
  <si>
    <t>KLD_0857</t>
  </si>
  <si>
    <t>KANDIA</t>
  </si>
  <si>
    <t>KLK_0870</t>
  </si>
  <si>
    <t>KARANG_POSTE</t>
  </si>
  <si>
    <t>KLD_0873</t>
  </si>
  <si>
    <t>KAROUMBOU</t>
  </si>
  <si>
    <t>THS_0876</t>
  </si>
  <si>
    <t>KAYAR01</t>
  </si>
  <si>
    <t>STL_0879</t>
  </si>
  <si>
    <t>KEBEMER_AGENCE</t>
  </si>
  <si>
    <t>STL_0880</t>
  </si>
  <si>
    <t>KEBEMER01</t>
  </si>
  <si>
    <t>KDG_0884</t>
  </si>
  <si>
    <t>KEDOUGOU01</t>
  </si>
  <si>
    <t>KDG_0890</t>
  </si>
  <si>
    <t>KEDOUGOU07</t>
  </si>
  <si>
    <t>THS_0892</t>
  </si>
  <si>
    <t>KELLE</t>
  </si>
  <si>
    <t>BKL_0893</t>
  </si>
  <si>
    <t>KENIEBA</t>
  </si>
  <si>
    <t>THS_0902</t>
  </si>
  <si>
    <t>KEUR_ASS02</t>
  </si>
  <si>
    <t>KLK_0903</t>
  </si>
  <si>
    <t>KEUR_AYIP_GUEYE</t>
  </si>
  <si>
    <t>KLK_0908</t>
  </si>
  <si>
    <t>KEUR_BIRANE_KHOREDIA</t>
  </si>
  <si>
    <t>THS_0964</t>
  </si>
  <si>
    <t>KEUR_MBAYE_SENEBA</t>
  </si>
  <si>
    <t>STL_0968</t>
  </si>
  <si>
    <t>KEUR_MOR_ABDOU_SEYE</t>
  </si>
  <si>
    <t>KLK_0980</t>
  </si>
  <si>
    <t>KEUR_SAMBA_NDIAYE</t>
  </si>
  <si>
    <t>KDG_0998</t>
  </si>
  <si>
    <t>KHARAKHAYNI</t>
  </si>
  <si>
    <t>DBL_1000</t>
  </si>
  <si>
    <t>KHELCOM</t>
  </si>
  <si>
    <t>STL_1002</t>
  </si>
  <si>
    <t>KHEUNE</t>
  </si>
  <si>
    <t>THS_1006</t>
  </si>
  <si>
    <t>KHOMBOLE</t>
  </si>
  <si>
    <t>KDG_1008</t>
  </si>
  <si>
    <t>KHOSSANTO</t>
  </si>
  <si>
    <t>BKL_1012</t>
  </si>
  <si>
    <t>KIDIRA01</t>
  </si>
  <si>
    <t>MBR_1018</t>
  </si>
  <si>
    <t>KINIAMBOUR_I</t>
  </si>
  <si>
    <t>THS_1019</t>
  </si>
  <si>
    <t>KIRENE</t>
  </si>
  <si>
    <t>KLK_1023</t>
  </si>
  <si>
    <t>KLK01_FH</t>
  </si>
  <si>
    <t>KLD_1072</t>
  </si>
  <si>
    <t>KOLDA01</t>
  </si>
  <si>
    <t>DBL_1092</t>
  </si>
  <si>
    <t>KOLOBANE</t>
  </si>
  <si>
    <t>KDG_1094</t>
  </si>
  <si>
    <t>KONDOKHOU</t>
  </si>
  <si>
    <t>TMB_1111</t>
  </si>
  <si>
    <t>KOUMPENTOUM</t>
  </si>
  <si>
    <t>KLK_1115</t>
  </si>
  <si>
    <t>KOUNGHEUL01</t>
  </si>
  <si>
    <t>KLD_1118</t>
  </si>
  <si>
    <t>KOUNKANE</t>
  </si>
  <si>
    <t>THS_1122</t>
  </si>
  <si>
    <t>KOURE_DIAL</t>
  </si>
  <si>
    <t>DBL_1135</t>
  </si>
  <si>
    <t>LAGBAR_OUOLOF</t>
  </si>
  <si>
    <t>DBL_1166</t>
  </si>
  <si>
    <t>LINGUERE01</t>
  </si>
  <si>
    <t>KLD_1171</t>
  </si>
  <si>
    <t>LINKERING</t>
  </si>
  <si>
    <t>KLD_1172</t>
  </si>
  <si>
    <t>LINKERINGTO</t>
  </si>
  <si>
    <t>NDM_1177</t>
  </si>
  <si>
    <t>LOUBOUDU_DOUE</t>
  </si>
  <si>
    <t>STL_1179</t>
  </si>
  <si>
    <t>LOUGA01</t>
  </si>
  <si>
    <t>STL_1180</t>
  </si>
  <si>
    <t>LOUGA02</t>
  </si>
  <si>
    <t>KDG_1208</t>
  </si>
  <si>
    <t>MADINA_BAFFE</t>
  </si>
  <si>
    <t>KLK_1226</t>
  </si>
  <si>
    <t>MAKAN_DRAME</t>
  </si>
  <si>
    <t>KDG_1228</t>
  </si>
  <si>
    <t>MAKO</t>
  </si>
  <si>
    <t>TMB_1229</t>
  </si>
  <si>
    <t>MAKO_FH</t>
  </si>
  <si>
    <t>KDG_1250</t>
  </si>
  <si>
    <t>MAMAKHONO</t>
  </si>
  <si>
    <t>KLD_1259</t>
  </si>
  <si>
    <t>MAMPATIM</t>
  </si>
  <si>
    <t>KLD_1261</t>
  </si>
  <si>
    <t>MANCONOMBA</t>
  </si>
  <si>
    <t>KLD_1270</t>
  </si>
  <si>
    <t>MANSABANG</t>
  </si>
  <si>
    <t>MBR_1272</t>
  </si>
  <si>
    <t>MAR_FAFACO</t>
  </si>
  <si>
    <t>THS_1301</t>
  </si>
  <si>
    <t>MBABOU</t>
  </si>
  <si>
    <t>DBL_1332</t>
  </si>
  <si>
    <t>MBAR_FORAGE</t>
  </si>
  <si>
    <t>KLK_1353</t>
  </si>
  <si>
    <t>MBIRKILANE</t>
  </si>
  <si>
    <t>MBR_1356</t>
  </si>
  <si>
    <t>MBODIENE</t>
  </si>
  <si>
    <t>NDM_1362</t>
  </si>
  <si>
    <t>MBOROBE</t>
  </si>
  <si>
    <t>NDM_1367</t>
  </si>
  <si>
    <t>MBOUMBA</t>
  </si>
  <si>
    <t>STL_1369</t>
  </si>
  <si>
    <t>MBOUNDOUM_BARRAGE</t>
  </si>
  <si>
    <t>MBR_1371</t>
  </si>
  <si>
    <t>MBOUR01</t>
  </si>
  <si>
    <t>MBR_1372</t>
  </si>
  <si>
    <t>MBOUR02</t>
  </si>
  <si>
    <t>KLK_1422</t>
  </si>
  <si>
    <t>MEDINA_THIECKENE</t>
  </si>
  <si>
    <t>THS_1435</t>
  </si>
  <si>
    <t>MEKHE01</t>
  </si>
  <si>
    <t>TMB_1459</t>
  </si>
  <si>
    <t>MISSIRAH</t>
  </si>
  <si>
    <t>KDG_1460</t>
  </si>
  <si>
    <t>MISSIRAH_DANTILA</t>
  </si>
  <si>
    <t>THS_1471</t>
  </si>
  <si>
    <t>MONT_ROLLAND</t>
  </si>
  <si>
    <t>BKL_1474</t>
  </si>
  <si>
    <t>MOUDERY</t>
  </si>
  <si>
    <t>STL_1482</t>
  </si>
  <si>
    <t>MPAL</t>
  </si>
  <si>
    <t>STL_1493</t>
  </si>
  <si>
    <t>NAYOBE</t>
  </si>
  <si>
    <t>KLK_1495</t>
  </si>
  <si>
    <t>NDAKHAR_PEULH</t>
  </si>
  <si>
    <t>STL_1505</t>
  </si>
  <si>
    <t>NDAME_MOR_FADEMBA</t>
  </si>
  <si>
    <t>KLK_1522</t>
  </si>
  <si>
    <t>NDIAFFATE_ESCALE</t>
  </si>
  <si>
    <t>MBR_1523</t>
  </si>
  <si>
    <t>NDIAGANIAO</t>
  </si>
  <si>
    <t>DBL_1530</t>
  </si>
  <si>
    <t>NDIAKHATE</t>
  </si>
  <si>
    <t>KLD_1533</t>
  </si>
  <si>
    <t>NDIAMACOUTA</t>
  </si>
  <si>
    <t>DKR_1540</t>
  </si>
  <si>
    <t>NDIASS01_CENTRAL</t>
  </si>
  <si>
    <t>KLK_1551</t>
  </si>
  <si>
    <t>NDIBA_NDIAYENE</t>
  </si>
  <si>
    <t>KLK_1567</t>
  </si>
  <si>
    <t>NDIOBENE_GALLO</t>
  </si>
  <si>
    <t>MBR_1572</t>
  </si>
  <si>
    <t>NDIOL_MANGANE</t>
  </si>
  <si>
    <t>MBR_1574</t>
  </si>
  <si>
    <t>NDIONGOLOR</t>
  </si>
  <si>
    <t>BKL_1576</t>
  </si>
  <si>
    <t>NDIOTT</t>
  </si>
  <si>
    <t>NDM_1578</t>
  </si>
  <si>
    <t>NDIOUM</t>
  </si>
  <si>
    <t>KLD_1591</t>
  </si>
  <si>
    <t>NDORNA</t>
  </si>
  <si>
    <t>THS_1605</t>
  </si>
  <si>
    <t>NGAKHAM</t>
  </si>
  <si>
    <t>STL_1607</t>
  </si>
  <si>
    <t>NGALLELE</t>
  </si>
  <si>
    <t>KLK_1608</t>
  </si>
  <si>
    <t>NGANDA</t>
  </si>
  <si>
    <t>KLK_1615</t>
  </si>
  <si>
    <t>NGAYENE</t>
  </si>
  <si>
    <t>STL_1619</t>
  </si>
  <si>
    <t>NGOMENE</t>
  </si>
  <si>
    <t>DKR_1628</t>
  </si>
  <si>
    <t>NGOROM</t>
  </si>
  <si>
    <t>KLK_1634</t>
  </si>
  <si>
    <t>NGOUYE_DIARAF</t>
  </si>
  <si>
    <t>DKR_1649</t>
  </si>
  <si>
    <t>NIAGUE</t>
  </si>
  <si>
    <t>KLK_1651</t>
  </si>
  <si>
    <t>NIAHENE</t>
  </si>
  <si>
    <t>MBR_1652</t>
  </si>
  <si>
    <t>NIAKHAR</t>
  </si>
  <si>
    <t>THS_1653</t>
  </si>
  <si>
    <t>NIAKHENE_DAROU</t>
  </si>
  <si>
    <t>STL_1671</t>
  </si>
  <si>
    <t>NIASSANTE</t>
  </si>
  <si>
    <t>STL_1682</t>
  </si>
  <si>
    <t>NIOMRE</t>
  </si>
  <si>
    <t>KLK_1684</t>
  </si>
  <si>
    <t>NIORO01</t>
  </si>
  <si>
    <t>DKR_1688</t>
  </si>
  <si>
    <t>NORD_FOIRE02_REMP</t>
  </si>
  <si>
    <t>ORG_1703</t>
  </si>
  <si>
    <t>OREFONDE</t>
  </si>
  <si>
    <t>DBL_1707</t>
  </si>
  <si>
    <t>OUADIOUR</t>
  </si>
  <si>
    <t>ZIG_1749</t>
  </si>
  <si>
    <t>OUSSOUYE</t>
  </si>
  <si>
    <t>KLK_1752</t>
  </si>
  <si>
    <t>PAFFA</t>
  </si>
  <si>
    <t>KLK_1772</t>
  </si>
  <si>
    <t>PASSY</t>
  </si>
  <si>
    <t>KLD_1775</t>
  </si>
  <si>
    <t>PATA</t>
  </si>
  <si>
    <t>THS_1791</t>
  </si>
  <si>
    <t>PEKESSE</t>
  </si>
  <si>
    <t>THS_1803</t>
  </si>
  <si>
    <t>PIRE</t>
  </si>
  <si>
    <t>NDM_1814</t>
  </si>
  <si>
    <t>PODOR</t>
  </si>
  <si>
    <t>THS_1836</t>
  </si>
  <si>
    <t>POUT</t>
  </si>
  <si>
    <t>KDG_1855</t>
  </si>
  <si>
    <t>RANDGOLD</t>
  </si>
  <si>
    <t>STL_1881</t>
  </si>
  <si>
    <t>ROSS_BETHIO01</t>
  </si>
  <si>
    <t>STL_1883</t>
  </si>
  <si>
    <t>ROSSO01</t>
  </si>
  <si>
    <t>DKR_1893</t>
  </si>
  <si>
    <t>RUF01</t>
  </si>
  <si>
    <t>DKR_1927</t>
  </si>
  <si>
    <t>SABLUX</t>
  </si>
  <si>
    <t>DKR_1933</t>
  </si>
  <si>
    <t>SACRE_COEUR01</t>
  </si>
  <si>
    <t>DBL_1939</t>
  </si>
  <si>
    <t>SADIO</t>
  </si>
  <si>
    <t>STL_1941</t>
  </si>
  <si>
    <t>SAGATTA</t>
  </si>
  <si>
    <t>STL_1946</t>
  </si>
  <si>
    <t>SAKAL</t>
  </si>
  <si>
    <t>MBR_1958</t>
  </si>
  <si>
    <t>SALY03</t>
  </si>
  <si>
    <t>DBL_1975</t>
  </si>
  <si>
    <t>SAMBE</t>
  </si>
  <si>
    <t>KDG_1977</t>
  </si>
  <si>
    <t>SAMECOUTA</t>
  </si>
  <si>
    <t>TMB_1991</t>
  </si>
  <si>
    <t>SANKAGNE</t>
  </si>
  <si>
    <t>SANSAMBA</t>
  </si>
  <si>
    <t>KDG_2002</t>
  </si>
  <si>
    <t>SARAYA</t>
  </si>
  <si>
    <t>ORG_2020</t>
  </si>
  <si>
    <t>SARE_LIOU</t>
  </si>
  <si>
    <t>DBL_2027</t>
  </si>
  <si>
    <t>SARE_SARA</t>
  </si>
  <si>
    <t>KLD_2035</t>
  </si>
  <si>
    <t>SARE_YOBA</t>
  </si>
  <si>
    <t>DKR_2042</t>
  </si>
  <si>
    <t>SEA_PLAZA</t>
  </si>
  <si>
    <t>DKR_2045</t>
  </si>
  <si>
    <t>SEBIKHOTANE02</t>
  </si>
  <si>
    <t>KLD_2049</t>
  </si>
  <si>
    <t>SEDHIOU</t>
  </si>
  <si>
    <t>ZIG_2058</t>
  </si>
  <si>
    <t>SELETY</t>
  </si>
  <si>
    <t>ORG_2060</t>
  </si>
  <si>
    <t>SEMME01</t>
  </si>
  <si>
    <t>STL_2066</t>
  </si>
  <si>
    <t>SENHUILE</t>
  </si>
  <si>
    <t>TMB_2068</t>
  </si>
  <si>
    <t>SEOUDJI</t>
  </si>
  <si>
    <t>THS_2080</t>
  </si>
  <si>
    <t>SINDIA01</t>
  </si>
  <si>
    <t>ORG_2102</t>
  </si>
  <si>
    <t>SINTHIOU_GARBA</t>
  </si>
  <si>
    <t>KLK_2116</t>
  </si>
  <si>
    <t>SIWOL</t>
  </si>
  <si>
    <t>DBL_2123</t>
  </si>
  <si>
    <t>SOKANO</t>
  </si>
  <si>
    <t>MBR_2127</t>
  </si>
  <si>
    <t>SOMONE01</t>
  </si>
  <si>
    <t>MBR_2140</t>
  </si>
  <si>
    <t>SOUM</t>
  </si>
  <si>
    <t>MBR_2148</t>
  </si>
  <si>
    <t>SOUSSANE_SANDIARA</t>
  </si>
  <si>
    <t>KLD_2195</t>
  </si>
  <si>
    <t>TABAWAL_MADY</t>
  </si>
  <si>
    <t>KLK_2202</t>
  </si>
  <si>
    <t>TAIBA_NIANGHENE</t>
  </si>
  <si>
    <t>DBL_2206</t>
  </si>
  <si>
    <t>TAIF</t>
  </si>
  <si>
    <t>TMB_2220</t>
  </si>
  <si>
    <t>TAMBA05</t>
  </si>
  <si>
    <t>KLD_2236</t>
  </si>
  <si>
    <t>TANAFF</t>
  </si>
  <si>
    <t>MBR_2240</t>
  </si>
  <si>
    <t>TATAGUINE_BAMBARA</t>
  </si>
  <si>
    <t>ZIG_2247</t>
  </si>
  <si>
    <t>TENDIMANE</t>
  </si>
  <si>
    <t>THS_2250</t>
  </si>
  <si>
    <t>TER_AIBD</t>
  </si>
  <si>
    <t>MBR_2259</t>
  </si>
  <si>
    <t>THIADIAYE</t>
  </si>
  <si>
    <t>STL_2266</t>
  </si>
  <si>
    <t>THIAMENE</t>
  </si>
  <si>
    <t>DBL_2291</t>
  </si>
  <si>
    <t>THIAWENE_NDICKOU</t>
  </si>
  <si>
    <t>KLK_2292</t>
  </si>
  <si>
    <t>THICATTDIERY</t>
  </si>
  <si>
    <t>NDM_2294</t>
  </si>
  <si>
    <t>THIE_LAO</t>
  </si>
  <si>
    <t>DBL_2295</t>
  </si>
  <si>
    <t>THIEL</t>
  </si>
  <si>
    <t>DBL_2300</t>
  </si>
  <si>
    <t>THIENDIEGNE</t>
  </si>
  <si>
    <t>NDM_2306</t>
  </si>
  <si>
    <t>THIEWLE</t>
  </si>
  <si>
    <t>NDM_2308</t>
  </si>
  <si>
    <t>THILE_BOUBACAR2</t>
  </si>
  <si>
    <t>ORG_2312</t>
  </si>
  <si>
    <t>THILOGNE</t>
  </si>
  <si>
    <t>ORG_2313</t>
  </si>
  <si>
    <t>THILOGNE_CGFO</t>
  </si>
  <si>
    <t>ZIG_2315</t>
  </si>
  <si>
    <t>THIOBON</t>
  </si>
  <si>
    <t>DBL_2318</t>
  </si>
  <si>
    <t>THIOLOM_TENEFOUL</t>
  </si>
  <si>
    <t>DBL_2323</t>
  </si>
  <si>
    <t>THIONOKH_SANGUE</t>
  </si>
  <si>
    <t>NDM_2328</t>
  </si>
  <si>
    <t>THIOUBALEL</t>
  </si>
  <si>
    <t>THS_2337</t>
  </si>
  <si>
    <t>THS08_AR</t>
  </si>
  <si>
    <t>STL_2384</t>
  </si>
  <si>
    <t>TIGUET</t>
  </si>
  <si>
    <t>KDG_2385</t>
  </si>
  <si>
    <t>TINKOTO</t>
  </si>
  <si>
    <t>KDG_2386</t>
  </si>
  <si>
    <t>TINKOTO_TANDA</t>
  </si>
  <si>
    <t>THS_2388</t>
  </si>
  <si>
    <t>TIVAOUANE_FH</t>
  </si>
  <si>
    <t>KDG_2398</t>
  </si>
  <si>
    <t>TOMBORONKOTO</t>
  </si>
  <si>
    <t>KLK_2446</t>
  </si>
  <si>
    <t>TOUBA_SALOUM</t>
  </si>
  <si>
    <t>DBL_2450</t>
  </si>
  <si>
    <t>TOUBA_SAMALY</t>
  </si>
  <si>
    <t>THS_2454</t>
  </si>
  <si>
    <t>TOUBA_TOUL</t>
  </si>
  <si>
    <t>STL_2467</t>
  </si>
  <si>
    <t>TOUBE_FALL</t>
  </si>
  <si>
    <t>DBL_2527</t>
  </si>
  <si>
    <t>VELINGARA_OUOLOF</t>
  </si>
  <si>
    <t>KLD_2528</t>
  </si>
  <si>
    <t>VELINGARA01</t>
  </si>
  <si>
    <t>NDM_2547</t>
  </si>
  <si>
    <t>WINDOU_THINGOLY</t>
  </si>
  <si>
    <t>STL_2551</t>
  </si>
  <si>
    <t>YAMANE</t>
  </si>
  <si>
    <t>KLD_2558</t>
  </si>
  <si>
    <t>YEDOULAYE_LAMSAR</t>
  </si>
  <si>
    <t>DKR_2559</t>
  </si>
  <si>
    <t>YENNE01</t>
  </si>
  <si>
    <t>DKR_2562</t>
  </si>
  <si>
    <t>YEUMBEUL01</t>
  </si>
  <si>
    <t>STL_2573</t>
  </si>
  <si>
    <t>YODI_DAO</t>
  </si>
  <si>
    <t>DKR_2574</t>
  </si>
  <si>
    <t>YOFF_CENTRAL</t>
  </si>
  <si>
    <t>DBL_2592</t>
  </si>
  <si>
    <t>YOUNOUFERE</t>
  </si>
  <si>
    <t>ZIG_2597</t>
  </si>
  <si>
    <t>ZIG01</t>
  </si>
  <si>
    <t>KLK_2682</t>
  </si>
  <si>
    <t>KEUR_SADER</t>
  </si>
  <si>
    <t>THS_2694</t>
  </si>
  <si>
    <t>KEUR_AMAR_MANE</t>
  </si>
  <si>
    <t>DKR_0003</t>
  </si>
  <si>
    <t>ACAD</t>
  </si>
  <si>
    <t>ZIG_0005</t>
  </si>
  <si>
    <t>ADEANE</t>
  </si>
  <si>
    <t>NDM_0006</t>
  </si>
  <si>
    <t>AERE_LAO</t>
  </si>
  <si>
    <t>ZIG_0008</t>
  </si>
  <si>
    <t>AFFINIAM</t>
  </si>
  <si>
    <t>DKR_0022</t>
  </si>
  <si>
    <t>ALMADIES_AGENCE</t>
  </si>
  <si>
    <t>THS_0036</t>
  </si>
  <si>
    <t>ANDALL</t>
  </si>
  <si>
    <t>DKR_0039</t>
  </si>
  <si>
    <t>ARCADES</t>
  </si>
  <si>
    <t>DKR_0049</t>
  </si>
  <si>
    <t>AUTOROUTE_DOUGAR</t>
  </si>
  <si>
    <t>MBR_0050</t>
  </si>
  <si>
    <t>AUTOROUTE_GANDIGAL</t>
  </si>
  <si>
    <t>MBR_0052</t>
  </si>
  <si>
    <t>AUTOROUTE_NGUEKHOH</t>
  </si>
  <si>
    <t>THS_0062</t>
  </si>
  <si>
    <t>AUTOROUTE_SINDIA</t>
  </si>
  <si>
    <t>TMB_0067</t>
  </si>
  <si>
    <t>AYNOUMADI_FH</t>
  </si>
  <si>
    <t>BKL_0086</t>
  </si>
  <si>
    <t>BAKEL01</t>
  </si>
  <si>
    <t>DBL_0091</t>
  </si>
  <si>
    <t>BAKOURA</t>
  </si>
  <si>
    <t>DKR_0125</t>
  </si>
  <si>
    <t>BARGNY01_CENTRAL</t>
  </si>
  <si>
    <t>KLK_0201</t>
  </si>
  <si>
    <t>BOULEL_GOUMACK</t>
  </si>
  <si>
    <t>DBL_0205</t>
  </si>
  <si>
    <t>BOUSRAH</t>
  </si>
  <si>
    <t>ZIG_0215</t>
  </si>
  <si>
    <t>BRINDIAGO</t>
  </si>
  <si>
    <t>DKR_0226</t>
  </si>
  <si>
    <t>CAMBERENE07_REMP</t>
  </si>
  <si>
    <t>DKR_0250</t>
  </si>
  <si>
    <t>CENTRE_EMETTEUR</t>
  </si>
  <si>
    <t>DKR_0262</t>
  </si>
  <si>
    <t>CICAD</t>
  </si>
  <si>
    <t>DBL_0359</t>
  </si>
  <si>
    <t>DAROU_KHOUDOSS01</t>
  </si>
  <si>
    <t>DBL_0376</t>
  </si>
  <si>
    <t>DAROU_MOUSTY01</t>
  </si>
  <si>
    <t>DBL_0416</t>
  </si>
  <si>
    <t>DBL_AGENCE</t>
  </si>
  <si>
    <t>MBR_0458</t>
  </si>
  <si>
    <t>DIAKHAO</t>
  </si>
  <si>
    <t>DBL_0493</t>
  </si>
  <si>
    <t>DIANE</t>
  </si>
  <si>
    <t>THS_0537</t>
  </si>
  <si>
    <t>DIOGO_MDL</t>
  </si>
  <si>
    <t>ZIG_0548</t>
  </si>
  <si>
    <t>DIOULOULOU</t>
  </si>
  <si>
    <t>STL_0633</t>
  </si>
  <si>
    <t>FASS_NGOM</t>
  </si>
  <si>
    <t>MBR_0638</t>
  </si>
  <si>
    <t>FATICK01</t>
  </si>
  <si>
    <t>MBR_0639</t>
  </si>
  <si>
    <t>FATICK02</t>
  </si>
  <si>
    <t>MBR_0654</t>
  </si>
  <si>
    <t>FOUNDIOUGNE01</t>
  </si>
  <si>
    <t>TMB_0687</t>
  </si>
  <si>
    <t>GAYPARADJI</t>
  </si>
  <si>
    <t>DKR_0778</t>
  </si>
  <si>
    <t>HANN_CENTRAL</t>
  </si>
  <si>
    <t>DKR_0818</t>
  </si>
  <si>
    <t>JET_DEAU</t>
  </si>
  <si>
    <t>STL_0864</t>
  </si>
  <si>
    <t>KANENE_NDIOB</t>
  </si>
  <si>
    <t>KLD_0872</t>
  </si>
  <si>
    <t>KARCIA</t>
  </si>
  <si>
    <t>DBL_0910</t>
  </si>
  <si>
    <t>KEUR_DAOUR_SALL</t>
  </si>
  <si>
    <t>KLK_0912</t>
  </si>
  <si>
    <t>KEUR_ELHADJ_MACOUMBA</t>
  </si>
  <si>
    <t>THS_0915</t>
  </si>
  <si>
    <t>KEUR_KHAR_DIEYE</t>
  </si>
  <si>
    <t>KLK_0918</t>
  </si>
  <si>
    <t>KEUR_MADIABEL</t>
  </si>
  <si>
    <t>STL_0982</t>
  </si>
  <si>
    <t>KEUR_SIDY_MBENGUE_I</t>
  </si>
  <si>
    <t>MBR_0988</t>
  </si>
  <si>
    <t>KEUR_YOUNGAR</t>
  </si>
  <si>
    <t>DBL_0990</t>
  </si>
  <si>
    <t>KHAMNANE</t>
  </si>
  <si>
    <t>KLK_1009</t>
  </si>
  <si>
    <t>KHOUBE</t>
  </si>
  <si>
    <t>KLD_1071</t>
  </si>
  <si>
    <t>KOLDA_AGENCE</t>
  </si>
  <si>
    <t>TMB_1125</t>
  </si>
  <si>
    <t>KOUSSANAR</t>
  </si>
  <si>
    <t>DBL_1163</t>
  </si>
  <si>
    <t>LINDE_TIDIANE</t>
  </si>
  <si>
    <t>DBL_1165</t>
  </si>
  <si>
    <t>LINGUERE_AGENCE</t>
  </si>
  <si>
    <t>BKL_1173</t>
  </si>
  <si>
    <t>LOBALY</t>
  </si>
  <si>
    <t>STL_1178</t>
  </si>
  <si>
    <t>LOUGA_AGENCE</t>
  </si>
  <si>
    <t>MBR_1197</t>
  </si>
  <si>
    <t>LOULY_NDIA</t>
  </si>
  <si>
    <t>DBL_1215</t>
  </si>
  <si>
    <t>MADYANA01</t>
  </si>
  <si>
    <t>THS_1225</t>
  </si>
  <si>
    <t>MAKA_SARR</t>
  </si>
  <si>
    <t>DKR_1282</t>
  </si>
  <si>
    <t>MARISTES_CENTRAL</t>
  </si>
  <si>
    <t>ZIG_1292</t>
  </si>
  <si>
    <t>MARSASSOUM</t>
  </si>
  <si>
    <t>ORG_1294</t>
  </si>
  <si>
    <t>MATAM01</t>
  </si>
  <si>
    <t>THS_1359</t>
  </si>
  <si>
    <t>MBORO01</t>
  </si>
  <si>
    <t>STL_1364</t>
  </si>
  <si>
    <t>MBOUBENE</t>
  </si>
  <si>
    <t>TMB_1409</t>
  </si>
  <si>
    <t>MEDINA_GOUNASS</t>
  </si>
  <si>
    <t>KLK_1416</t>
  </si>
  <si>
    <t>MEDINA_MOUNAWARA</t>
  </si>
  <si>
    <t>STL_1445</t>
  </si>
  <si>
    <t>MERINA_SARR</t>
  </si>
  <si>
    <t>KDG_1479</t>
  </si>
  <si>
    <t>MOUSSALA_NAHINAMINE</t>
  </si>
  <si>
    <t>DBL_1494</t>
  </si>
  <si>
    <t>NDAGDAM</t>
  </si>
  <si>
    <t>STL_1512</t>
  </si>
  <si>
    <t>NDANDE01</t>
  </si>
  <si>
    <t>TMB_1548</t>
  </si>
  <si>
    <t>NDIAYENE_DIAM_DIAM</t>
  </si>
  <si>
    <t>DBL_1561</t>
  </si>
  <si>
    <t>NDIMB_NGOYE</t>
  </si>
  <si>
    <t>DBL_1562</t>
  </si>
  <si>
    <t>NDINDY</t>
  </si>
  <si>
    <t>THS_1575</t>
  </si>
  <si>
    <t>NDIOP_SAO</t>
  </si>
  <si>
    <t>DBL_1577</t>
  </si>
  <si>
    <t>NDIOUDIOUF</t>
  </si>
  <si>
    <t>STL_1579</t>
  </si>
  <si>
    <t>NDIOUM_CGFO</t>
  </si>
  <si>
    <t>KLK_1580</t>
  </si>
  <si>
    <t>NDIOUM_GAINTH</t>
  </si>
  <si>
    <t>MBR_1582</t>
  </si>
  <si>
    <t>NDJILASSEME_THIEURIGNE</t>
  </si>
  <si>
    <t>STL_1588</t>
  </si>
  <si>
    <t>NDOGAL</t>
  </si>
  <si>
    <t>KLK_1595</t>
  </si>
  <si>
    <t>NDOUMBOUDJI</t>
  </si>
  <si>
    <t>STL_1631</t>
  </si>
  <si>
    <t>NGOUMBALA</t>
  </si>
  <si>
    <t>MBR_1636</t>
  </si>
  <si>
    <t>NGUEKHOKH01</t>
  </si>
  <si>
    <t>KLK_1643</t>
  </si>
  <si>
    <t>NGUERANE_FASS</t>
  </si>
  <si>
    <t>THS_1690</t>
  </si>
  <si>
    <t>NOTO_GOUYE_DIAMA</t>
  </si>
  <si>
    <t>DKR_1702</t>
  </si>
  <si>
    <t>ORANGE_BODY_TRAINING</t>
  </si>
  <si>
    <t>STL_1745</t>
  </si>
  <si>
    <t>OUROSSOGUI_AGENCE</t>
  </si>
  <si>
    <t>ORG_1747</t>
  </si>
  <si>
    <t>OUROSSOGUI02</t>
  </si>
  <si>
    <t>DBL_1755</t>
  </si>
  <si>
    <t>PALENE</t>
  </si>
  <si>
    <t>NDM_1778</t>
  </si>
  <si>
    <t>PATHE_GALLO</t>
  </si>
  <si>
    <t>STL_1792</t>
  </si>
  <si>
    <t>PELOUR_I</t>
  </si>
  <si>
    <t>MBR_1821</t>
  </si>
  <si>
    <t>POPENGUINE01</t>
  </si>
  <si>
    <t>KLK_1826</t>
  </si>
  <si>
    <t>POROKHANE</t>
  </si>
  <si>
    <t>DKR_1834</t>
  </si>
  <si>
    <t>POTOU01</t>
  </si>
  <si>
    <t>DKR_1848</t>
  </si>
  <si>
    <t>PU8_UAMB</t>
  </si>
  <si>
    <t>STL_1857</t>
  </si>
  <si>
    <t>RAO</t>
  </si>
  <si>
    <t>DKR_1863</t>
  </si>
  <si>
    <t>REPUBLIQUE_AGENCE</t>
  </si>
  <si>
    <t>STL_1869</t>
  </si>
  <si>
    <t>RICHARD_TOLL01</t>
  </si>
  <si>
    <t>DKR_1892</t>
  </si>
  <si>
    <t>RUF_AGENCE</t>
  </si>
  <si>
    <t>KDG_1945</t>
  </si>
  <si>
    <t>SAIENSOUTOU</t>
  </si>
  <si>
    <t>MBR_1954</t>
  </si>
  <si>
    <t>SALY_MUX</t>
  </si>
  <si>
    <t>KDG_1976</t>
  </si>
  <si>
    <t>SAMBRANBOUBOU</t>
  </si>
  <si>
    <t>DKR_1985</t>
  </si>
  <si>
    <t>SANGALKAM_CENTRAL</t>
  </si>
  <si>
    <t>ORG_2059</t>
  </si>
  <si>
    <t>SEMME_CGFO</t>
  </si>
  <si>
    <t>ZIG_2082</t>
  </si>
  <si>
    <t>SINDIAN</t>
  </si>
  <si>
    <t>TMB_2089</t>
  </si>
  <si>
    <t>SINTHIANG_KOUNDARA</t>
  </si>
  <si>
    <t>ORG_2094</t>
  </si>
  <si>
    <t>SINTHIOU_BAMAMBE</t>
  </si>
  <si>
    <t>KLK_2124</t>
  </si>
  <si>
    <t>SOKONE01</t>
  </si>
  <si>
    <t>DKR_2132</t>
  </si>
  <si>
    <t>SONATEL_ACADEMY</t>
  </si>
  <si>
    <t>DKR_2153</t>
  </si>
  <si>
    <t>STATION_GANDOUL02</t>
  </si>
  <si>
    <t>STL_2157</t>
  </si>
  <si>
    <t>STL02_AR</t>
  </si>
  <si>
    <t>DKR_2184</t>
  </si>
  <si>
    <t>SUD_FOIRE01</t>
  </si>
  <si>
    <t>KLK_2203</t>
  </si>
  <si>
    <t>TAIBA_NIASSENE</t>
  </si>
  <si>
    <t>TMB_2216</t>
  </si>
  <si>
    <t>TAMBA01</t>
  </si>
  <si>
    <t>DKR_2272</t>
  </si>
  <si>
    <t>THIAROYE_AGENCE</t>
  </si>
  <si>
    <t>THS_2297</t>
  </si>
  <si>
    <t>THIENABA</t>
  </si>
  <si>
    <t>DBL_2298</t>
  </si>
  <si>
    <t>THIENABA_GOSSAS</t>
  </si>
  <si>
    <t>KLK_2310</t>
  </si>
  <si>
    <t>THILLA_GARANG</t>
  </si>
  <si>
    <t>DBL_2316</t>
  </si>
  <si>
    <t>THIOLE_FALL</t>
  </si>
  <si>
    <t>THS_2331</t>
  </si>
  <si>
    <t>THS01_FH</t>
  </si>
  <si>
    <t>THS_2394</t>
  </si>
  <si>
    <t>TIVAOUANE01</t>
  </si>
  <si>
    <t>DBL_2403</t>
  </si>
  <si>
    <t>TOUBA_ALIA</t>
  </si>
  <si>
    <t>DBL_2437</t>
  </si>
  <si>
    <t>TOUBA_MOSQUEE01_CENTRAL</t>
  </si>
  <si>
    <t>DBL_2463</t>
  </si>
  <si>
    <t>TOUBA01</t>
  </si>
  <si>
    <t>KLK_2466</t>
  </si>
  <si>
    <t>TOUBACOUTA</t>
  </si>
  <si>
    <t>ZIG_2594</t>
  </si>
  <si>
    <t>ZIG_AGENCE</t>
  </si>
  <si>
    <t>ZIG_2598</t>
  </si>
  <si>
    <t>ZIG02</t>
  </si>
  <si>
    <t>KLK_2654</t>
  </si>
  <si>
    <t>MBOULOUGNE_DIAWANDOU</t>
  </si>
  <si>
    <t>STL_2655</t>
  </si>
  <si>
    <t>NDIMB_MBODIENE</t>
  </si>
  <si>
    <t>STL_2669</t>
  </si>
  <si>
    <t>DAROU NDIAYE</t>
  </si>
  <si>
    <t>KLK_2680</t>
  </si>
  <si>
    <t>KEUR_MABA_DIAKHOU</t>
  </si>
  <si>
    <t>KLK_2717</t>
  </si>
  <si>
    <t>DIAKSAO_SALOUM</t>
  </si>
  <si>
    <t>STL_2727</t>
  </si>
  <si>
    <t>GASSANE_SEYE</t>
  </si>
  <si>
    <t>TMB_2725</t>
  </si>
  <si>
    <t>BANTAKHO_COUTA02</t>
  </si>
  <si>
    <t>OG23</t>
  </si>
  <si>
    <t>BTS-23</t>
  </si>
  <si>
    <t>KLK_2723</t>
  </si>
  <si>
    <t>DJILEKHAR</t>
  </si>
  <si>
    <t>KLK_2726</t>
  </si>
  <si>
    <t>KEUR_ALY_SAMBA</t>
  </si>
  <si>
    <t>DBL_2733</t>
  </si>
  <si>
    <t>KHOURR_MBACKE</t>
  </si>
  <si>
    <t>KLK_2731</t>
  </si>
  <si>
    <t>KOUYANNE_KANDJI</t>
  </si>
  <si>
    <t>STL_2754</t>
  </si>
  <si>
    <t>NGANA_SALL</t>
  </si>
  <si>
    <t>STL_2760</t>
  </si>
  <si>
    <t>PALLENE_DEDE</t>
  </si>
  <si>
    <t>KLK_2739</t>
  </si>
  <si>
    <t>SEGRE_SECCO</t>
  </si>
  <si>
    <t>KLK_2742</t>
  </si>
  <si>
    <t>TOUBA_MBELLA</t>
  </si>
  <si>
    <t>STL_2735</t>
  </si>
  <si>
    <t>DAROU_SALAM_MAURE</t>
  </si>
  <si>
    <t>STL_2744</t>
  </si>
  <si>
    <t>KEBE_NDEUTH</t>
  </si>
  <si>
    <t>KDG_2700</t>
  </si>
  <si>
    <t>KHARAKHAYNI02</t>
  </si>
  <si>
    <t>KDG_2702</t>
  </si>
  <si>
    <t>LAMINIA</t>
  </si>
  <si>
    <t>KDG_2701</t>
  </si>
  <si>
    <t>BAYTILAYE</t>
  </si>
  <si>
    <t>THS_2743</t>
  </si>
  <si>
    <t>BITIVE</t>
  </si>
  <si>
    <t>STL_2758</t>
  </si>
  <si>
    <t>OUASSA_MASSA</t>
  </si>
  <si>
    <t>STL_2763</t>
  </si>
  <si>
    <t>PEKH_TALL</t>
  </si>
  <si>
    <t>STL_2745</t>
  </si>
  <si>
    <t>NDIAOUSSIR_LEBOU (Ex_KEUR_BARKA)</t>
  </si>
  <si>
    <t>STL_2750</t>
  </si>
  <si>
    <t>MAKA_BRA_GUEYE_I</t>
  </si>
  <si>
    <t>STL_2764</t>
  </si>
  <si>
    <t>SAMBA_SADIO_PEULH</t>
  </si>
  <si>
    <t>ZIG_2706</t>
  </si>
  <si>
    <t>NIAMBALANG</t>
  </si>
  <si>
    <t>STL_2773</t>
  </si>
  <si>
    <t>THIEYENE_DJOLOF</t>
  </si>
  <si>
    <t>OG24</t>
  </si>
  <si>
    <t>KDG_2707</t>
  </si>
  <si>
    <t>Bondala</t>
  </si>
  <si>
    <t>KDG_2712</t>
  </si>
  <si>
    <t>DYABOUGOU_Frontiere</t>
  </si>
  <si>
    <t>KDG_2709</t>
  </si>
  <si>
    <t>Mouran</t>
  </si>
  <si>
    <t>KLK_2789</t>
  </si>
  <si>
    <t>DIAMAGADIO</t>
  </si>
  <si>
    <t>BKL_2751</t>
  </si>
  <si>
    <t>AROUNDOU</t>
  </si>
  <si>
    <t>Sites existants  Batch 2</t>
  </si>
  <si>
    <t>THS_2751</t>
  </si>
  <si>
    <t>HOTEL_RIU</t>
  </si>
  <si>
    <t>THS_2747</t>
  </si>
  <si>
    <t>KEUR_BALLA_LO</t>
  </si>
  <si>
    <t>KLK_2747</t>
  </si>
  <si>
    <t>KHELCOM_BIRAME</t>
  </si>
  <si>
    <t>KLK_2744</t>
  </si>
  <si>
    <t>MEDINA_SY</t>
  </si>
  <si>
    <t>KLK_2745</t>
  </si>
  <si>
    <t>NDAIWARA_AL_KALY</t>
  </si>
  <si>
    <t>KDG_2714</t>
  </si>
  <si>
    <t>Bokhodi</t>
  </si>
  <si>
    <t>OG25</t>
  </si>
  <si>
    <t>KDG_2723</t>
  </si>
  <si>
    <t>DIAKHALING</t>
  </si>
  <si>
    <t>KLK_2727</t>
  </si>
  <si>
    <t>KEUR_SABASSY_THIAM</t>
  </si>
  <si>
    <t>THS_2757</t>
  </si>
  <si>
    <t>MBEURLEUP</t>
  </si>
  <si>
    <t>KDG_2725</t>
  </si>
  <si>
    <t>BOTO_GOLD</t>
  </si>
  <si>
    <t>KDG_2717</t>
  </si>
  <si>
    <t>TINKOTO_TANDA02</t>
  </si>
  <si>
    <t>OG26</t>
  </si>
  <si>
    <t>Sites existants Batch 3</t>
  </si>
  <si>
    <t>ZIG_2722</t>
  </si>
  <si>
    <t>MANGAGOULACK_RS</t>
  </si>
  <si>
    <t>KDG_2713</t>
  </si>
  <si>
    <t>LAFIYA</t>
  </si>
  <si>
    <t>KDG_2715</t>
  </si>
  <si>
    <t>DAMBALA_SEKHOTO02</t>
  </si>
  <si>
    <t>DKR_2842</t>
  </si>
  <si>
    <t>FONDATION_SONATEL_REMP</t>
  </si>
  <si>
    <t>Sites existants Batch 4</t>
  </si>
  <si>
    <t>OG27</t>
  </si>
  <si>
    <t>OG28</t>
  </si>
  <si>
    <t>OG29</t>
  </si>
  <si>
    <t>OG30</t>
  </si>
  <si>
    <t>OG31</t>
  </si>
  <si>
    <t>OG32</t>
  </si>
  <si>
    <t>OG33</t>
  </si>
  <si>
    <t>OG34</t>
  </si>
  <si>
    <t>OG35</t>
  </si>
  <si>
    <t>KDG_2748</t>
  </si>
  <si>
    <t>BONDALA02</t>
  </si>
  <si>
    <t xml:space="preserve">		KDG_2763	</t>
  </si>
  <si>
    <t>GAREBOUREA</t>
  </si>
  <si>
    <t>KDG_2750</t>
  </si>
  <si>
    <t>KHARAKHAYN03</t>
  </si>
  <si>
    <t>KDG_2751</t>
  </si>
  <si>
    <t>MOURAN02</t>
  </si>
  <si>
    <t>KDG_2747</t>
  </si>
  <si>
    <t>BANTANKHO</t>
  </si>
  <si>
    <t>KDG_2749</t>
  </si>
  <si>
    <t>BOUNTOUNG</t>
  </si>
  <si>
    <t>KDG_2752</t>
  </si>
  <si>
    <t>KDG_2753</t>
  </si>
  <si>
    <t>TINKOTO_TANDA03</t>
  </si>
  <si>
    <t>Zone</t>
  </si>
  <si>
    <t>zone 3</t>
  </si>
  <si>
    <t>typo</t>
  </si>
  <si>
    <t>Load (load reelle used)</t>
  </si>
  <si>
    <t>Genset Production [kWh/y]--&gt;</t>
  </si>
  <si>
    <t>Genset fuel conso [L/y] --&gt;</t>
  </si>
  <si>
    <t>Genset running time [hrs/yr] --&gt;</t>
  </si>
  <si>
    <t>PV Prodution [kWh/y]-&gt;</t>
  </si>
  <si>
    <t>Grid Purchase [kWh/y]--&gt;</t>
  </si>
  <si>
    <t>Genset fuel conso [L/m] --&gt;</t>
  </si>
  <si>
    <t>no of sites</t>
  </si>
  <si>
    <t>PV Prodution [kWh/m]-&gt;</t>
  </si>
  <si>
    <t>Grid Purchase [kWh/m]--&gt;</t>
  </si>
  <si>
    <t>Genset Production [kWh/m]--&gt;</t>
  </si>
  <si>
    <t>DC outdoor load</t>
  </si>
  <si>
    <t>Additional load cooling</t>
  </si>
  <si>
    <t>round up</t>
  </si>
  <si>
    <t>zone 1</t>
  </si>
  <si>
    <t>zone 4</t>
  </si>
  <si>
    <t>zone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</si>
</sst>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-* #,##0.00_-;\-* #,##0.00_-;_-* &quot;-&quot;??_-;_-@_-"/>
    <numFmt numFmtId="164" formatCode="_(* #,##0.00_);_(* \(#,##0.00\);_(* &quot;-&quot;??_);_(@_)"/>
    <numFmt numFmtId="165" formatCode="_-* #,##0.00\ _€_-;\-* #,##0.00\ _€_-;_-* &quot;-&quot;??\ _€_-;_-@_-"/>
    <numFmt numFmtId="166" formatCode="_-* #,##0_-;\-* #,##0_-;_-* &quot;-&quot;??_-;_-@_-"/>
    <numFmt numFmtId="167" formatCode="dd/mm/yy;@"/>
    <numFmt numFmtId="168" formatCode="_-* #,##0.00\ _X_D_R_-;\-* #,##0.00\ _X_D_R_-;_-* &quot;-&quot;??\ _X_D_R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color theme="0" tint="-4.9989318521683403E-2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8"/>
      <color rgb="FF000000"/>
      <name val="Aptos Narrow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2">
    <xf numFmtId="0" fontId="0" fillId="0" borderId="0"/>
    <xf numFmtId="164" fontId="1" fillId="0" borderId="0" applyFont="0" applyFill="0" applyBorder="0" applyAlignment="0" applyProtection="0"/>
    <xf numFmtId="0" fontId="2" fillId="3" borderId="0" applyNumberFormat="0" applyBorder="0" applyAlignment="0" applyProtection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1" fillId="8" borderId="0" applyNumberFormat="0" applyBorder="0" applyAlignment="0" applyProtection="0"/>
    <xf numFmtId="0" fontId="12" fillId="9" borderId="0" applyNumberFormat="0" applyBorder="0" applyAlignment="0" applyProtection="0"/>
  </cellStyleXfs>
  <cellXfs count="46">
    <xf numFmtId="0" fontId="0" fillId="0" borderId="0" xfId="0"/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horizontal="center"/>
    </xf>
    <xf numFmtId="164" fontId="3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7" fontId="3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 wrapText="1"/>
    </xf>
    <xf numFmtId="166" fontId="3" fillId="0" borderId="0" xfId="1" applyNumberFormat="1" applyFont="1"/>
    <xf numFmtId="0" fontId="3" fillId="2" borderId="0" xfId="0" applyFont="1" applyFill="1"/>
    <xf numFmtId="0" fontId="5" fillId="6" borderId="1" xfId="0" applyFont="1" applyFill="1" applyBorder="1" applyAlignment="1">
      <alignment horizontal="left" vertical="center"/>
    </xf>
    <xf numFmtId="0" fontId="0" fillId="0" borderId="0" xfId="0" applyAlignment="1">
      <alignment vertical="center" wrapText="1"/>
    </xf>
    <xf numFmtId="0" fontId="5" fillId="6" borderId="1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" fillId="0" borderId="1" xfId="0" applyFont="1" applyBorder="1"/>
    <xf numFmtId="164" fontId="3" fillId="0" borderId="0" xfId="1" applyFont="1" applyAlignment="1">
      <alignment vertical="center"/>
    </xf>
    <xf numFmtId="0" fontId="3" fillId="0" borderId="1" xfId="0" applyFont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168" fontId="3" fillId="0" borderId="0" xfId="0" applyNumberFormat="1" applyFont="1" applyAlignment="1">
      <alignment vertical="center"/>
    </xf>
    <xf numFmtId="0" fontId="0" fillId="0" borderId="1" xfId="0" applyBorder="1"/>
    <xf numFmtId="164" fontId="0" fillId="0" borderId="1" xfId="1" applyFont="1" applyBorder="1"/>
    <xf numFmtId="0" fontId="13" fillId="0" borderId="2" xfId="0" applyFont="1" applyBorder="1"/>
    <xf numFmtId="0" fontId="13" fillId="0" borderId="2" xfId="0" applyFont="1" applyBorder="1" applyAlignment="1">
      <alignment horizontal="center"/>
    </xf>
    <xf numFmtId="0" fontId="13" fillId="0" borderId="3" xfId="0" applyFont="1" applyBorder="1"/>
    <xf numFmtId="3" fontId="11" fillId="8" borderId="4" xfId="20" applyNumberFormat="1" applyBorder="1"/>
    <xf numFmtId="3" fontId="12" fillId="9" borderId="5" xfId="21" applyNumberFormat="1" applyBorder="1" applyAlignment="1">
      <alignment horizontal="center"/>
    </xf>
    <xf numFmtId="3" fontId="11" fillId="8" borderId="6" xfId="20" applyNumberFormat="1" applyBorder="1"/>
    <xf numFmtId="3" fontId="11" fillId="8" borderId="7" xfId="20" applyNumberFormat="1" applyBorder="1"/>
    <xf numFmtId="3" fontId="12" fillId="9" borderId="1" xfId="21" applyNumberFormat="1" applyBorder="1" applyAlignment="1">
      <alignment horizontal="center"/>
    </xf>
    <xf numFmtId="3" fontId="11" fillId="8" borderId="8" xfId="20" applyNumberFormat="1" applyBorder="1"/>
    <xf numFmtId="3" fontId="11" fillId="8" borderId="9" xfId="20" applyNumberFormat="1" applyBorder="1"/>
    <xf numFmtId="3" fontId="12" fillId="9" borderId="10" xfId="21" applyNumberFormat="1" applyBorder="1" applyAlignment="1">
      <alignment horizontal="center"/>
    </xf>
    <xf numFmtId="3" fontId="11" fillId="8" borderId="11" xfId="20" applyNumberFormat="1" applyBorder="1"/>
    <xf numFmtId="3" fontId="11" fillId="8" borderId="12" xfId="20" applyNumberFormat="1" applyBorder="1"/>
    <xf numFmtId="3" fontId="12" fillId="9" borderId="12" xfId="21" applyNumberFormat="1" applyBorder="1" applyAlignment="1">
      <alignment horizontal="center"/>
    </xf>
    <xf numFmtId="3" fontId="11" fillId="8" borderId="1" xfId="20" applyNumberFormat="1" applyBorder="1"/>
    <xf numFmtId="3" fontId="11" fillId="8" borderId="1" xfId="20" applyNumberFormat="1" applyBorder="1" applyAlignment="1">
      <alignment horizontal="right"/>
    </xf>
    <xf numFmtId="166" fontId="3" fillId="0" borderId="1" xfId="0" applyNumberFormat="1" applyFont="1" applyBorder="1" applyAlignment="1">
      <alignment vertical="center"/>
    </xf>
    <xf numFmtId="166" fontId="3" fillId="7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</cellXfs>
  <cellStyles count="22">
    <cellStyle name="20 % - Accent1 3" xfId="2" xr:uid="{3B5728A3-DD1F-4032-A549-344BC6533020}"/>
    <cellStyle name="Comma 2" xfId="3" xr:uid="{51122BB6-E0B0-4467-9179-AE6A660155A0}"/>
    <cellStyle name="Comma 2 2" xfId="13" xr:uid="{59056CE1-A9EA-4ECF-B360-712F53CA3ED5}"/>
    <cellStyle name="Comma 2 2 2" xfId="18" xr:uid="{0D99B851-2314-4751-AFD2-47C06FBB66B1}"/>
    <cellStyle name="Comma 2 3" xfId="15" xr:uid="{0236105B-DA5C-4323-9166-8ACFF7BC73D1}"/>
    <cellStyle name="Comma 3" xfId="10" xr:uid="{80943F4B-09AD-4DB4-B63F-0EEF0FF999EC}"/>
    <cellStyle name="Comma 3 2" xfId="16" xr:uid="{2BB336FF-25A6-40DA-B6E8-AD4CE43AF20B}"/>
    <cellStyle name="Comma 4" xfId="12" xr:uid="{08B68EC0-6F1A-495A-8073-9E1C0AA84179}"/>
    <cellStyle name="Comma 4 2" xfId="17" xr:uid="{F0632854-F150-469B-8C91-92B8F346109D}"/>
    <cellStyle name="Comma 5" xfId="14" xr:uid="{349173A8-2BBA-475E-952C-1640A1FC626B}"/>
    <cellStyle name="Insatisfaisant" xfId="21" builtinId="27"/>
    <cellStyle name="Milliers" xfId="1" builtinId="3"/>
    <cellStyle name="Milliers 10" xfId="4" xr:uid="{EC81BBF1-73C8-4D4D-BEB7-2F1B63D874A0}"/>
    <cellStyle name="Milliers 10 2" xfId="5" xr:uid="{E23850A5-CF86-4F79-87FF-C745D137C4E0}"/>
    <cellStyle name="Normal" xfId="0" builtinId="0"/>
    <cellStyle name="Normal 2" xfId="9" xr:uid="{35EBDC11-EAFB-45C6-9428-923B94AAD233}"/>
    <cellStyle name="Normal 2 86" xfId="6" xr:uid="{9E1FC89F-1864-4034-A931-0423741F7CC3}"/>
    <cellStyle name="Normal 3" xfId="8" xr:uid="{4D906431-4030-49DB-A757-CF881A61B41D}"/>
    <cellStyle name="Normal 3 2" xfId="19" xr:uid="{58EAB6E2-0765-4E6B-AA95-4E462DD65804}"/>
    <cellStyle name="Normal 4" xfId="7" xr:uid="{ADE91865-95FF-4CCF-B8A0-D348FBFC7DA0}"/>
    <cellStyle name="Per cent 2" xfId="11" xr:uid="{94F6545A-F099-4B34-9EDF-6506A4CCAB85}"/>
    <cellStyle name="Satisfaisant" xfId="20" builtinId="2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8C9B2AC5-51A7-484C-B6BD-E32D7BFE28D1}"/>
  </tableStyles>
  <colors>
    <mruColors>
      <color rgb="FFFC4C02"/>
      <color rgb="FF7578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ED985-3CF7-4BCA-BF80-EE683C8A3B85}">
  <dimension ref="A2:B10"/>
  <sheetViews>
    <sheetView showGridLines="0" workbookViewId="0">
      <selection activeCell="B19" sqref="B19"/>
    </sheetView>
  </sheetViews>
  <sheetFormatPr baseColWidth="10" defaultColWidth="11.36328125" defaultRowHeight="14.5"/>
  <cols>
    <col min="1" max="1" width="26.54296875" bestFit="1" customWidth="1"/>
    <col min="2" max="2" width="13.6328125" bestFit="1" customWidth="1"/>
  </cols>
  <sheetData>
    <row r="2" spans="1:2">
      <c r="A2" s="25" t="s">
        <v>998</v>
      </c>
      <c r="B2" s="25">
        <f>'KPIs par site'!A4</f>
        <v>443</v>
      </c>
    </row>
    <row r="3" spans="1:2">
      <c r="A3" s="25" t="s">
        <v>993</v>
      </c>
      <c r="B3" s="26">
        <f>'KPIs par site'!J5</f>
        <v>1465148</v>
      </c>
    </row>
    <row r="4" spans="1:2">
      <c r="A4" s="25" t="s">
        <v>997</v>
      </c>
      <c r="B4" s="26">
        <f>'KPIs par site'!J4</f>
        <v>122095.66666666667</v>
      </c>
    </row>
    <row r="5" spans="1:2">
      <c r="A5" s="25" t="s">
        <v>995</v>
      </c>
      <c r="B5" s="26">
        <f>'KPIs par site'!M5</f>
        <v>13710055</v>
      </c>
    </row>
    <row r="6" spans="1:2">
      <c r="A6" s="25" t="s">
        <v>999</v>
      </c>
      <c r="B6" s="26">
        <f>'KPIs par site'!M4</f>
        <v>1142504.5833333333</v>
      </c>
    </row>
    <row r="7" spans="1:2">
      <c r="A7" s="25" t="s">
        <v>996</v>
      </c>
      <c r="B7" s="26">
        <f>'KPIs par site'!N5</f>
        <v>15913782</v>
      </c>
    </row>
    <row r="8" spans="1:2">
      <c r="A8" s="25" t="s">
        <v>1000</v>
      </c>
      <c r="B8" s="26">
        <f>'KPIs par site'!N4</f>
        <v>1326148.5</v>
      </c>
    </row>
    <row r="9" spans="1:2">
      <c r="A9" s="25" t="s">
        <v>992</v>
      </c>
      <c r="B9" s="26">
        <f>'KPIs par site'!O5</f>
        <v>3706776.3</v>
      </c>
    </row>
    <row r="10" spans="1:2">
      <c r="A10" s="25" t="s">
        <v>1001</v>
      </c>
      <c r="B10" s="26">
        <f>'KPIs par site'!O4</f>
        <v>308898.02499999997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43D03-F3FA-46CA-9339-67136B2BFE5C}">
  <dimension ref="A1:O1952"/>
  <sheetViews>
    <sheetView showGridLines="0" tabSelected="1" zoomScaleNormal="100" workbookViewId="0">
      <pane xSplit="2" ySplit="6" topLeftCell="C7" activePane="bottomRight" state="frozen"/>
      <selection pane="topRight" activeCell="E1" sqref="E1"/>
      <selection pane="bottomLeft" activeCell="A8" sqref="A8"/>
      <selection pane="bottomRight" activeCell="J17" sqref="J17"/>
    </sheetView>
  </sheetViews>
  <sheetFormatPr baseColWidth="10" defaultColWidth="11.36328125" defaultRowHeight="10"/>
  <cols>
    <col min="1" max="1" width="11.36328125" style="1" customWidth="1"/>
    <col min="2" max="2" width="22.90625" style="1" customWidth="1"/>
    <col min="3" max="3" width="10.36328125" style="1" customWidth="1"/>
    <col min="4" max="4" width="17.90625" style="2" customWidth="1"/>
    <col min="5" max="5" width="11.453125" style="3" customWidth="1"/>
    <col min="6" max="6" width="11.36328125" style="1"/>
    <col min="7" max="7" width="15.08984375" style="1" customWidth="1"/>
    <col min="8" max="9" width="11.36328125" style="1"/>
    <col min="10" max="11" width="18" style="1" customWidth="1"/>
    <col min="12" max="12" width="23.90625" style="1" bestFit="1" customWidth="1"/>
    <col min="13" max="13" width="19" style="1" bestFit="1" customWidth="1"/>
    <col min="14" max="14" width="20.1796875" style="1" bestFit="1" customWidth="1"/>
    <col min="15" max="15" width="23" style="1" bestFit="1" customWidth="1"/>
    <col min="16" max="16384" width="11.36328125" style="1"/>
  </cols>
  <sheetData>
    <row r="1" spans="1:15" ht="16.649999999999999" customHeight="1">
      <c r="B1" s="7"/>
      <c r="C1" s="12"/>
      <c r="D1" s="12"/>
    </row>
    <row r="2" spans="1:15" s="5" customFormat="1" ht="16.649999999999999" customHeight="1">
      <c r="B2" s="7"/>
      <c r="E2" s="4"/>
    </row>
    <row r="3" spans="1:15" s="5" customFormat="1" ht="12" customHeight="1">
      <c r="A3" s="6"/>
      <c r="B3" s="7"/>
      <c r="C3" s="7"/>
      <c r="D3" s="7"/>
      <c r="E3" s="6"/>
      <c r="J3" s="24"/>
      <c r="K3" s="24"/>
      <c r="L3" s="24"/>
      <c r="M3" s="24"/>
      <c r="N3" s="24"/>
      <c r="O3" s="24"/>
    </row>
    <row r="4" spans="1:15" s="5" customFormat="1" ht="12.5" customHeight="1">
      <c r="A4" s="8">
        <f>+SUBTOTAL(3,A7:A654)</f>
        <v>443</v>
      </c>
      <c r="B4" s="7"/>
      <c r="C4" s="7"/>
      <c r="D4" s="7"/>
      <c r="E4" s="6"/>
      <c r="J4" s="24">
        <f>J5/12</f>
        <v>122095.66666666667</v>
      </c>
      <c r="K4" s="24"/>
      <c r="L4" s="24">
        <f t="shared" ref="L4:O4" si="0">L5/12</f>
        <v>28474.416666666668</v>
      </c>
      <c r="M4" s="24">
        <f t="shared" si="0"/>
        <v>1142504.5833333333</v>
      </c>
      <c r="N4" s="24">
        <f t="shared" si="0"/>
        <v>1326148.5</v>
      </c>
      <c r="O4" s="24">
        <f t="shared" si="0"/>
        <v>308898.02499999997</v>
      </c>
    </row>
    <row r="5" spans="1:15" s="5" customFormat="1" ht="9.75" customHeight="1">
      <c r="A5" s="6"/>
      <c r="B5" s="7"/>
      <c r="C5" s="7"/>
      <c r="D5" s="7"/>
      <c r="E5" s="6"/>
      <c r="J5" s="19">
        <f>SUBTOTAL(9,J7:J449)</f>
        <v>1465148</v>
      </c>
      <c r="K5" s="19">
        <f>SUBTOTAL(9,K7:K449)</f>
        <v>122095.66666666669</v>
      </c>
      <c r="L5" s="19">
        <f>SUBTOTAL(9,L7:L449)</f>
        <v>341693</v>
      </c>
      <c r="M5" s="19">
        <f>SUBTOTAL(9,M7:M449)</f>
        <v>13710055</v>
      </c>
      <c r="N5" s="19">
        <f>SUBTOTAL(9,N7:N449)</f>
        <v>15913782</v>
      </c>
      <c r="O5" s="19">
        <f>SUBTOTAL(9,O7:O449)</f>
        <v>3706776.3</v>
      </c>
    </row>
    <row r="6" spans="1:15" s="5" customFormat="1" ht="64.25" customHeight="1">
      <c r="A6" s="11" t="s">
        <v>70</v>
      </c>
      <c r="B6" s="11" t="s">
        <v>71</v>
      </c>
      <c r="C6" s="11" t="s">
        <v>72</v>
      </c>
      <c r="D6" s="11" t="s">
        <v>73</v>
      </c>
      <c r="E6" s="11" t="s">
        <v>74</v>
      </c>
      <c r="F6" s="11" t="s">
        <v>988</v>
      </c>
      <c r="G6" s="11" t="s">
        <v>990</v>
      </c>
      <c r="H6" s="11" t="s">
        <v>991</v>
      </c>
      <c r="I6" s="11"/>
      <c r="J6" s="11" t="s">
        <v>993</v>
      </c>
      <c r="K6" s="11"/>
      <c r="L6" s="11" t="s">
        <v>994</v>
      </c>
      <c r="M6" s="11" t="s">
        <v>995</v>
      </c>
      <c r="N6" s="11" t="s">
        <v>996</v>
      </c>
      <c r="O6" s="11" t="s">
        <v>992</v>
      </c>
    </row>
    <row r="7" spans="1:15" s="5" customFormat="1" ht="12.65" customHeight="1">
      <c r="A7" s="22" t="s">
        <v>80</v>
      </c>
      <c r="B7" s="21" t="s">
        <v>81</v>
      </c>
      <c r="C7" s="23" t="s">
        <v>75</v>
      </c>
      <c r="D7" s="23" t="s">
        <v>77</v>
      </c>
      <c r="E7" s="9" t="s">
        <v>78</v>
      </c>
      <c r="F7" s="20" t="s">
        <v>1005</v>
      </c>
      <c r="G7" s="43" t="s">
        <v>6</v>
      </c>
      <c r="H7" s="20">
        <v>3000</v>
      </c>
      <c r="I7" s="20"/>
      <c r="J7" s="20">
        <v>3488</v>
      </c>
      <c r="K7" s="20">
        <f>J7/12</f>
        <v>290.66666666666669</v>
      </c>
      <c r="L7" s="20">
        <v>664</v>
      </c>
      <c r="M7" s="20">
        <v>41967</v>
      </c>
      <c r="N7" s="20">
        <v>0</v>
      </c>
      <c r="O7" s="20">
        <v>9737</v>
      </c>
    </row>
    <row r="8" spans="1:15" s="5" customFormat="1" ht="12.65" customHeight="1">
      <c r="A8" s="22" t="s">
        <v>83</v>
      </c>
      <c r="B8" s="21" t="s">
        <v>84</v>
      </c>
      <c r="C8" s="23" t="s">
        <v>75</v>
      </c>
      <c r="D8" s="23" t="s">
        <v>77</v>
      </c>
      <c r="E8" s="9" t="s">
        <v>78</v>
      </c>
      <c r="F8" s="20" t="s">
        <v>1005</v>
      </c>
      <c r="G8" s="43" t="s">
        <v>2</v>
      </c>
      <c r="H8" s="20">
        <v>4000</v>
      </c>
      <c r="I8" s="20"/>
      <c r="J8" s="20">
        <v>10189</v>
      </c>
      <c r="K8" s="20">
        <f t="shared" ref="K8:K71" si="1">J8/12</f>
        <v>849.08333333333337</v>
      </c>
      <c r="L8" s="20">
        <v>1667</v>
      </c>
      <c r="M8" s="20">
        <v>16411</v>
      </c>
      <c r="N8" s="20">
        <v>0</v>
      </c>
      <c r="O8" s="20">
        <v>26062</v>
      </c>
    </row>
    <row r="9" spans="1:15" s="5" customFormat="1" ht="12.65" customHeight="1">
      <c r="A9" s="22" t="s">
        <v>85</v>
      </c>
      <c r="B9" s="21" t="s">
        <v>86</v>
      </c>
      <c r="C9" s="23" t="s">
        <v>75</v>
      </c>
      <c r="D9" s="23" t="s">
        <v>77</v>
      </c>
      <c r="E9" s="9" t="s">
        <v>78</v>
      </c>
      <c r="F9" s="20" t="s">
        <v>1005</v>
      </c>
      <c r="G9" s="43" t="s">
        <v>6</v>
      </c>
      <c r="H9" s="20">
        <v>3500</v>
      </c>
      <c r="I9" s="20"/>
      <c r="J9" s="20">
        <v>2649</v>
      </c>
      <c r="K9" s="20">
        <f t="shared" si="1"/>
        <v>220.75</v>
      </c>
      <c r="L9" s="20">
        <v>529</v>
      </c>
      <c r="M9" s="20">
        <v>41967</v>
      </c>
      <c r="N9" s="20">
        <v>0</v>
      </c>
      <c r="O9" s="20">
        <v>6292</v>
      </c>
    </row>
    <row r="10" spans="1:15" s="5" customFormat="1" ht="12.65" customHeight="1">
      <c r="A10" s="22" t="s">
        <v>87</v>
      </c>
      <c r="B10" s="21" t="s">
        <v>88</v>
      </c>
      <c r="C10" s="23" t="s">
        <v>75</v>
      </c>
      <c r="D10" s="23" t="s">
        <v>77</v>
      </c>
      <c r="E10" s="9" t="s">
        <v>78</v>
      </c>
      <c r="F10" s="20" t="s">
        <v>1005</v>
      </c>
      <c r="G10" s="43" t="s">
        <v>6</v>
      </c>
      <c r="H10" s="20">
        <v>3500</v>
      </c>
      <c r="I10" s="20"/>
      <c r="J10" s="20">
        <v>2483</v>
      </c>
      <c r="K10" s="20">
        <f t="shared" si="1"/>
        <v>206.91666666666666</v>
      </c>
      <c r="L10" s="20">
        <v>492</v>
      </c>
      <c r="M10" s="20">
        <v>41967</v>
      </c>
      <c r="N10" s="20">
        <v>0</v>
      </c>
      <c r="O10" s="20">
        <v>6791</v>
      </c>
    </row>
    <row r="11" spans="1:15" s="5" customFormat="1" ht="12.65" customHeight="1">
      <c r="A11" s="22" t="s">
        <v>89</v>
      </c>
      <c r="B11" s="21" t="s">
        <v>90</v>
      </c>
      <c r="C11" s="23" t="s">
        <v>75</v>
      </c>
      <c r="D11" s="23" t="s">
        <v>77</v>
      </c>
      <c r="E11" s="9" t="s">
        <v>78</v>
      </c>
      <c r="F11" s="20" t="s">
        <v>1005</v>
      </c>
      <c r="G11" s="43" t="s">
        <v>6</v>
      </c>
      <c r="H11" s="20">
        <v>3000</v>
      </c>
      <c r="I11" s="20"/>
      <c r="J11" s="20">
        <v>3740</v>
      </c>
      <c r="K11" s="20">
        <f t="shared" si="1"/>
        <v>311.66666666666669</v>
      </c>
      <c r="L11" s="20">
        <v>716</v>
      </c>
      <c r="M11" s="20">
        <v>41967</v>
      </c>
      <c r="N11" s="20">
        <v>0</v>
      </c>
      <c r="O11" s="20">
        <v>9026</v>
      </c>
    </row>
    <row r="12" spans="1:15" s="5" customFormat="1" ht="12.65" customHeight="1">
      <c r="A12" s="22" t="s">
        <v>91</v>
      </c>
      <c r="B12" s="21" t="s">
        <v>92</v>
      </c>
      <c r="C12" s="23" t="s">
        <v>75</v>
      </c>
      <c r="D12" s="23" t="s">
        <v>77</v>
      </c>
      <c r="E12" s="9" t="s">
        <v>78</v>
      </c>
      <c r="F12" s="20" t="s">
        <v>1005</v>
      </c>
      <c r="G12" s="43" t="s">
        <v>6</v>
      </c>
      <c r="H12" s="20">
        <v>3500</v>
      </c>
      <c r="I12" s="20"/>
      <c r="J12" s="20">
        <v>2483</v>
      </c>
      <c r="K12" s="20">
        <f t="shared" si="1"/>
        <v>206.91666666666666</v>
      </c>
      <c r="L12" s="20">
        <v>492</v>
      </c>
      <c r="M12" s="20">
        <v>41967</v>
      </c>
      <c r="N12" s="20">
        <v>0</v>
      </c>
      <c r="O12" s="20">
        <v>6791</v>
      </c>
    </row>
    <row r="13" spans="1:15" s="5" customFormat="1" ht="12.65" customHeight="1">
      <c r="A13" s="22" t="s">
        <v>93</v>
      </c>
      <c r="B13" s="21" t="s">
        <v>94</v>
      </c>
      <c r="C13" s="23" t="s">
        <v>75</v>
      </c>
      <c r="D13" s="23" t="s">
        <v>77</v>
      </c>
      <c r="E13" s="9" t="s">
        <v>78</v>
      </c>
      <c r="F13" s="20" t="s">
        <v>1005</v>
      </c>
      <c r="G13" s="43" t="s">
        <v>6</v>
      </c>
      <c r="H13" s="20">
        <v>3500</v>
      </c>
      <c r="I13" s="20"/>
      <c r="J13" s="20">
        <v>2483</v>
      </c>
      <c r="K13" s="20">
        <f t="shared" si="1"/>
        <v>206.91666666666666</v>
      </c>
      <c r="L13" s="20">
        <v>492</v>
      </c>
      <c r="M13" s="20">
        <v>41967</v>
      </c>
      <c r="N13" s="20">
        <v>0</v>
      </c>
      <c r="O13" s="20">
        <v>6791</v>
      </c>
    </row>
    <row r="14" spans="1:15" s="5" customFormat="1" ht="12.65" customHeight="1">
      <c r="A14" s="22" t="s">
        <v>548</v>
      </c>
      <c r="B14" s="21" t="s">
        <v>549</v>
      </c>
      <c r="C14" s="23" t="s">
        <v>75</v>
      </c>
      <c r="D14" s="23" t="s">
        <v>77</v>
      </c>
      <c r="E14" s="9" t="s">
        <v>78</v>
      </c>
      <c r="F14" s="20" t="s">
        <v>1005</v>
      </c>
      <c r="G14" s="43" t="s">
        <v>8</v>
      </c>
      <c r="H14" s="20">
        <v>3000</v>
      </c>
      <c r="I14" s="20"/>
      <c r="J14" s="20">
        <v>2957</v>
      </c>
      <c r="K14" s="20">
        <f t="shared" si="1"/>
        <v>246.41666666666666</v>
      </c>
      <c r="L14" s="20">
        <v>553</v>
      </c>
      <c r="M14" s="20">
        <v>54703</v>
      </c>
      <c r="N14" s="20">
        <v>0</v>
      </c>
      <c r="O14" s="20">
        <v>7457</v>
      </c>
    </row>
    <row r="15" spans="1:15" s="5" customFormat="1" ht="12.65" customHeight="1">
      <c r="A15" s="22" t="s">
        <v>99</v>
      </c>
      <c r="B15" s="21" t="s">
        <v>100</v>
      </c>
      <c r="C15" s="23" t="s">
        <v>75</v>
      </c>
      <c r="D15" s="23" t="s">
        <v>77</v>
      </c>
      <c r="E15" s="9" t="s">
        <v>78</v>
      </c>
      <c r="F15" s="20" t="s">
        <v>1005</v>
      </c>
      <c r="G15" s="43" t="s">
        <v>6</v>
      </c>
      <c r="H15" s="20">
        <v>4000</v>
      </c>
      <c r="I15" s="20"/>
      <c r="J15" s="20">
        <v>4397</v>
      </c>
      <c r="K15" s="20">
        <f t="shared" si="1"/>
        <v>366.41666666666669</v>
      </c>
      <c r="L15" s="20">
        <v>820</v>
      </c>
      <c r="M15" s="20">
        <v>41967</v>
      </c>
      <c r="N15" s="20">
        <v>0</v>
      </c>
      <c r="O15" s="20">
        <v>10701</v>
      </c>
    </row>
    <row r="16" spans="1:15" s="5" customFormat="1" ht="12.65" customHeight="1">
      <c r="A16" s="22" t="s">
        <v>101</v>
      </c>
      <c r="B16" s="21" t="s">
        <v>102</v>
      </c>
      <c r="C16" s="23" t="s">
        <v>75</v>
      </c>
      <c r="D16" s="23" t="s">
        <v>77</v>
      </c>
      <c r="E16" s="9" t="s">
        <v>78</v>
      </c>
      <c r="F16" s="20" t="s">
        <v>1005</v>
      </c>
      <c r="G16" s="43" t="s">
        <v>6</v>
      </c>
      <c r="H16" s="20">
        <v>4000</v>
      </c>
      <c r="I16" s="20"/>
      <c r="J16" s="20">
        <v>3939</v>
      </c>
      <c r="K16" s="20">
        <f t="shared" si="1"/>
        <v>328.25</v>
      </c>
      <c r="L16" s="20">
        <v>711</v>
      </c>
      <c r="M16" s="20">
        <v>41967</v>
      </c>
      <c r="N16" s="20">
        <v>0</v>
      </c>
      <c r="O16" s="20">
        <v>11275</v>
      </c>
    </row>
    <row r="17" spans="1:15" s="5" customFormat="1" ht="12.65" customHeight="1">
      <c r="A17" s="22" t="s">
        <v>103</v>
      </c>
      <c r="B17" s="21" t="s">
        <v>104</v>
      </c>
      <c r="C17" s="23" t="s">
        <v>75</v>
      </c>
      <c r="D17" s="23" t="s">
        <v>77</v>
      </c>
      <c r="E17" s="9" t="s">
        <v>78</v>
      </c>
      <c r="F17" s="20" t="s">
        <v>1005</v>
      </c>
      <c r="G17" s="43" t="s">
        <v>6</v>
      </c>
      <c r="H17" s="20">
        <v>3500</v>
      </c>
      <c r="I17" s="20"/>
      <c r="J17" s="20">
        <v>2483</v>
      </c>
      <c r="K17" s="20">
        <f t="shared" si="1"/>
        <v>206.91666666666666</v>
      </c>
      <c r="L17" s="20">
        <v>492</v>
      </c>
      <c r="M17" s="20">
        <v>41967</v>
      </c>
      <c r="N17" s="20">
        <v>0</v>
      </c>
      <c r="O17" s="20">
        <v>6791</v>
      </c>
    </row>
    <row r="18" spans="1:15" s="5" customFormat="1" ht="12.65" customHeight="1">
      <c r="A18" s="22" t="s">
        <v>538</v>
      </c>
      <c r="B18" s="21" t="s">
        <v>539</v>
      </c>
      <c r="C18" s="23" t="s">
        <v>75</v>
      </c>
      <c r="D18" s="23" t="s">
        <v>77</v>
      </c>
      <c r="E18" s="9" t="s">
        <v>78</v>
      </c>
      <c r="F18" s="20" t="s">
        <v>1006</v>
      </c>
      <c r="G18" s="43" t="s">
        <v>6</v>
      </c>
      <c r="H18" s="20">
        <v>1500</v>
      </c>
      <c r="I18" s="20"/>
      <c r="J18" s="20">
        <v>1272</v>
      </c>
      <c r="K18" s="20">
        <f t="shared" si="1"/>
        <v>106</v>
      </c>
      <c r="L18" s="20">
        <v>351</v>
      </c>
      <c r="M18" s="20">
        <v>40792</v>
      </c>
      <c r="N18" s="20">
        <v>0</v>
      </c>
      <c r="O18" s="20">
        <v>2456</v>
      </c>
    </row>
    <row r="19" spans="1:15" s="5" customFormat="1" ht="12.65" customHeight="1">
      <c r="A19" s="22" t="s">
        <v>107</v>
      </c>
      <c r="B19" s="21" t="s">
        <v>108</v>
      </c>
      <c r="C19" s="23" t="s">
        <v>75</v>
      </c>
      <c r="D19" s="23" t="s">
        <v>77</v>
      </c>
      <c r="E19" s="9" t="s">
        <v>78</v>
      </c>
      <c r="F19" s="20" t="s">
        <v>1005</v>
      </c>
      <c r="G19" s="43" t="s">
        <v>6</v>
      </c>
      <c r="H19" s="20">
        <v>2000</v>
      </c>
      <c r="I19" s="20"/>
      <c r="J19" s="20">
        <v>1198</v>
      </c>
      <c r="K19" s="20">
        <f t="shared" si="1"/>
        <v>99.833333333333329</v>
      </c>
      <c r="L19" s="20">
        <v>381</v>
      </c>
      <c r="M19" s="20">
        <v>41967</v>
      </c>
      <c r="N19" s="20">
        <v>0</v>
      </c>
      <c r="O19" s="20">
        <v>2423</v>
      </c>
    </row>
    <row r="20" spans="1:15" s="5" customFormat="1" ht="12.65" customHeight="1">
      <c r="A20" s="22" t="s">
        <v>109</v>
      </c>
      <c r="B20" s="21" t="s">
        <v>110</v>
      </c>
      <c r="C20" s="23" t="s">
        <v>75</v>
      </c>
      <c r="D20" s="23" t="s">
        <v>77</v>
      </c>
      <c r="E20" s="9" t="s">
        <v>97</v>
      </c>
      <c r="F20" s="20" t="s">
        <v>989</v>
      </c>
      <c r="G20" s="43" t="s">
        <v>54</v>
      </c>
      <c r="H20" s="20">
        <v>7000</v>
      </c>
      <c r="I20" s="20"/>
      <c r="J20" s="20">
        <v>348</v>
      </c>
      <c r="K20" s="20">
        <f t="shared" si="1"/>
        <v>29</v>
      </c>
      <c r="L20" s="20">
        <v>93</v>
      </c>
      <c r="M20" s="20">
        <v>22596</v>
      </c>
      <c r="N20" s="20">
        <v>42611</v>
      </c>
      <c r="O20" s="20">
        <v>791</v>
      </c>
    </row>
    <row r="21" spans="1:15" s="5" customFormat="1" ht="12.65" customHeight="1">
      <c r="A21" s="22" t="s">
        <v>111</v>
      </c>
      <c r="B21" s="21" t="s">
        <v>112</v>
      </c>
      <c r="C21" s="23" t="s">
        <v>75</v>
      </c>
      <c r="D21" s="23" t="s">
        <v>77</v>
      </c>
      <c r="E21" s="9" t="s">
        <v>78</v>
      </c>
      <c r="F21" s="20" t="s">
        <v>1005</v>
      </c>
      <c r="G21" s="43" t="s">
        <v>6</v>
      </c>
      <c r="H21" s="20">
        <v>3500</v>
      </c>
      <c r="I21" s="20"/>
      <c r="J21" s="20">
        <v>2483</v>
      </c>
      <c r="K21" s="20">
        <f t="shared" si="1"/>
        <v>206.91666666666666</v>
      </c>
      <c r="L21" s="20">
        <v>492</v>
      </c>
      <c r="M21" s="20">
        <v>41967</v>
      </c>
      <c r="N21" s="20">
        <v>0</v>
      </c>
      <c r="O21" s="20">
        <v>6791</v>
      </c>
    </row>
    <row r="22" spans="1:15" s="5" customFormat="1" ht="12.65" customHeight="1">
      <c r="A22" s="22" t="s">
        <v>113</v>
      </c>
      <c r="B22" s="21" t="s">
        <v>114</v>
      </c>
      <c r="C22" s="23" t="s">
        <v>75</v>
      </c>
      <c r="D22" s="23" t="s">
        <v>77</v>
      </c>
      <c r="E22" s="9" t="s">
        <v>78</v>
      </c>
      <c r="F22" s="20" t="s">
        <v>989</v>
      </c>
      <c r="G22" s="43" t="s">
        <v>6</v>
      </c>
      <c r="H22" s="20">
        <v>3000</v>
      </c>
      <c r="I22" s="20"/>
      <c r="J22" s="20">
        <v>2885</v>
      </c>
      <c r="K22" s="20">
        <f t="shared" si="1"/>
        <v>240.41666666666666</v>
      </c>
      <c r="L22" s="20">
        <v>843</v>
      </c>
      <c r="M22" s="20">
        <v>43331</v>
      </c>
      <c r="N22" s="20">
        <v>0</v>
      </c>
      <c r="O22" s="20">
        <v>6637</v>
      </c>
    </row>
    <row r="23" spans="1:15" s="5" customFormat="1" ht="12.65" customHeight="1">
      <c r="A23" s="22" t="s">
        <v>115</v>
      </c>
      <c r="B23" s="21" t="s">
        <v>116</v>
      </c>
      <c r="C23" s="23" t="s">
        <v>75</v>
      </c>
      <c r="D23" s="23" t="s">
        <v>77</v>
      </c>
      <c r="E23" s="9" t="s">
        <v>97</v>
      </c>
      <c r="F23" s="20" t="s">
        <v>1005</v>
      </c>
      <c r="G23" s="43" t="s">
        <v>54</v>
      </c>
      <c r="H23" s="20">
        <v>15500</v>
      </c>
      <c r="I23" s="20"/>
      <c r="J23" s="20">
        <v>700</v>
      </c>
      <c r="K23" s="20">
        <f t="shared" si="1"/>
        <v>58.333333333333336</v>
      </c>
      <c r="L23" s="20">
        <v>130</v>
      </c>
      <c r="M23" s="20">
        <v>21677</v>
      </c>
      <c r="N23" s="20">
        <v>122154</v>
      </c>
      <c r="O23" s="20">
        <v>1664</v>
      </c>
    </row>
    <row r="24" spans="1:15" s="5" customFormat="1" ht="12.65" customHeight="1">
      <c r="A24" s="22" t="s">
        <v>117</v>
      </c>
      <c r="B24" s="21" t="s">
        <v>118</v>
      </c>
      <c r="C24" s="23" t="s">
        <v>75</v>
      </c>
      <c r="D24" s="23" t="s">
        <v>77</v>
      </c>
      <c r="E24" s="9" t="s">
        <v>97</v>
      </c>
      <c r="F24" s="20" t="s">
        <v>989</v>
      </c>
      <c r="G24" s="43" t="s">
        <v>6</v>
      </c>
      <c r="H24" s="20">
        <v>5500</v>
      </c>
      <c r="I24" s="20"/>
      <c r="J24" s="20">
        <v>8126</v>
      </c>
      <c r="K24" s="20">
        <f t="shared" si="1"/>
        <v>677.16666666666663</v>
      </c>
      <c r="L24" s="20">
        <v>1129</v>
      </c>
      <c r="M24" s="20">
        <v>43331</v>
      </c>
      <c r="N24" s="20">
        <v>0</v>
      </c>
      <c r="O24" s="20">
        <v>24395</v>
      </c>
    </row>
    <row r="25" spans="1:15" s="5" customFormat="1" ht="12.65" customHeight="1">
      <c r="A25" s="22" t="s">
        <v>119</v>
      </c>
      <c r="B25" s="21" t="s">
        <v>120</v>
      </c>
      <c r="C25" s="23" t="s">
        <v>75</v>
      </c>
      <c r="D25" s="23" t="s">
        <v>77</v>
      </c>
      <c r="E25" s="9" t="s">
        <v>78</v>
      </c>
      <c r="F25" s="20" t="s">
        <v>989</v>
      </c>
      <c r="G25" s="43" t="s">
        <v>10</v>
      </c>
      <c r="H25" s="20">
        <v>8500</v>
      </c>
      <c r="I25" s="20"/>
      <c r="J25" s="20">
        <v>15697</v>
      </c>
      <c r="K25" s="20">
        <f t="shared" si="1"/>
        <v>1308.0833333333333</v>
      </c>
      <c r="L25" s="20">
        <v>2557</v>
      </c>
      <c r="M25" s="20">
        <v>79087</v>
      </c>
      <c r="N25" s="20">
        <v>0</v>
      </c>
      <c r="O25" s="20">
        <v>40177</v>
      </c>
    </row>
    <row r="26" spans="1:15" s="5" customFormat="1" ht="12.65" customHeight="1">
      <c r="A26" s="22" t="s">
        <v>121</v>
      </c>
      <c r="B26" s="21" t="s">
        <v>122</v>
      </c>
      <c r="C26" s="23" t="s">
        <v>75</v>
      </c>
      <c r="D26" s="23" t="s">
        <v>77</v>
      </c>
      <c r="E26" s="9" t="s">
        <v>78</v>
      </c>
      <c r="F26" s="20" t="s">
        <v>989</v>
      </c>
      <c r="G26" s="43" t="s">
        <v>6</v>
      </c>
      <c r="H26" s="20">
        <v>3000</v>
      </c>
      <c r="I26" s="20"/>
      <c r="J26" s="20">
        <v>3343</v>
      </c>
      <c r="K26" s="20">
        <f t="shared" si="1"/>
        <v>278.58333333333331</v>
      </c>
      <c r="L26" s="20">
        <v>656</v>
      </c>
      <c r="M26" s="20">
        <v>43331</v>
      </c>
      <c r="N26" s="20">
        <v>0</v>
      </c>
      <c r="O26" s="20">
        <v>7987</v>
      </c>
    </row>
    <row r="27" spans="1:15" s="5" customFormat="1" ht="12.65" customHeight="1">
      <c r="A27" s="22" t="s">
        <v>347</v>
      </c>
      <c r="B27" s="21" t="s">
        <v>348</v>
      </c>
      <c r="C27" s="23" t="s">
        <v>75</v>
      </c>
      <c r="D27" s="23" t="s">
        <v>77</v>
      </c>
      <c r="E27" s="9" t="s">
        <v>78</v>
      </c>
      <c r="F27" s="20" t="s">
        <v>1006</v>
      </c>
      <c r="G27" s="43" t="s">
        <v>6</v>
      </c>
      <c r="H27" s="20">
        <v>2000</v>
      </c>
      <c r="I27" s="20"/>
      <c r="J27" s="20">
        <v>1542</v>
      </c>
      <c r="K27" s="20">
        <f t="shared" si="1"/>
        <v>128.5</v>
      </c>
      <c r="L27" s="20">
        <v>412</v>
      </c>
      <c r="M27" s="20">
        <v>40792</v>
      </c>
      <c r="N27" s="20">
        <v>0</v>
      </c>
      <c r="O27" s="20">
        <v>3125</v>
      </c>
    </row>
    <row r="28" spans="1:15" s="5" customFormat="1" ht="12.65" customHeight="1">
      <c r="A28" s="22" t="s">
        <v>914</v>
      </c>
      <c r="B28" s="21" t="s">
        <v>915</v>
      </c>
      <c r="C28" s="23" t="s">
        <v>75</v>
      </c>
      <c r="D28" s="23" t="s">
        <v>875</v>
      </c>
      <c r="E28" s="9" t="s">
        <v>78</v>
      </c>
      <c r="F28" s="20" t="s">
        <v>1006</v>
      </c>
      <c r="G28" s="43" t="s">
        <v>6</v>
      </c>
      <c r="H28" s="20">
        <v>2000</v>
      </c>
      <c r="I28" s="20"/>
      <c r="J28" s="20">
        <v>1542</v>
      </c>
      <c r="K28" s="20">
        <f t="shared" si="1"/>
        <v>128.5</v>
      </c>
      <c r="L28" s="20">
        <v>412</v>
      </c>
      <c r="M28" s="20">
        <v>40792</v>
      </c>
      <c r="N28" s="20">
        <v>0</v>
      </c>
      <c r="O28" s="20">
        <v>3125</v>
      </c>
    </row>
    <row r="29" spans="1:15" s="5" customFormat="1" ht="12.65" customHeight="1">
      <c r="A29" s="22" t="s">
        <v>128</v>
      </c>
      <c r="B29" s="21" t="s">
        <v>129</v>
      </c>
      <c r="C29" s="23" t="s">
        <v>75</v>
      </c>
      <c r="D29" s="23" t="s">
        <v>77</v>
      </c>
      <c r="E29" s="9" t="s">
        <v>97</v>
      </c>
      <c r="F29" s="20" t="s">
        <v>1006</v>
      </c>
      <c r="G29" s="43" t="s">
        <v>54</v>
      </c>
      <c r="H29" s="20">
        <v>10000</v>
      </c>
      <c r="I29" s="20"/>
      <c r="J29" s="20">
        <v>558</v>
      </c>
      <c r="K29" s="20">
        <f t="shared" si="1"/>
        <v>46.5</v>
      </c>
      <c r="L29" s="20">
        <v>122</v>
      </c>
      <c r="M29" s="20">
        <v>21275</v>
      </c>
      <c r="N29" s="20">
        <v>68644</v>
      </c>
      <c r="O29" s="20">
        <v>1436</v>
      </c>
    </row>
    <row r="30" spans="1:15" s="5" customFormat="1" ht="12.65" customHeight="1">
      <c r="A30" s="22" t="s">
        <v>291</v>
      </c>
      <c r="B30" s="21" t="s">
        <v>292</v>
      </c>
      <c r="C30" s="23" t="s">
        <v>75</v>
      </c>
      <c r="D30" s="23" t="s">
        <v>77</v>
      </c>
      <c r="E30" s="9" t="s">
        <v>78</v>
      </c>
      <c r="F30" s="20" t="s">
        <v>1007</v>
      </c>
      <c r="G30" s="43" t="s">
        <v>6</v>
      </c>
      <c r="H30" s="20">
        <v>2500</v>
      </c>
      <c r="I30" s="20"/>
      <c r="J30" s="20">
        <v>1552</v>
      </c>
      <c r="K30" s="20">
        <f t="shared" si="1"/>
        <v>129.33333333333334</v>
      </c>
      <c r="L30" s="20">
        <v>370</v>
      </c>
      <c r="M30" s="20">
        <v>43971</v>
      </c>
      <c r="N30" s="20">
        <v>0</v>
      </c>
      <c r="O30" s="20">
        <v>3794</v>
      </c>
    </row>
    <row r="31" spans="1:15" s="5" customFormat="1" ht="12.65" customHeight="1">
      <c r="A31" s="22" t="s">
        <v>132</v>
      </c>
      <c r="B31" s="21" t="s">
        <v>133</v>
      </c>
      <c r="C31" s="23" t="s">
        <v>75</v>
      </c>
      <c r="D31" s="23" t="s">
        <v>77</v>
      </c>
      <c r="E31" s="9" t="s">
        <v>78</v>
      </c>
      <c r="F31" s="20" t="s">
        <v>989</v>
      </c>
      <c r="G31" s="43" t="s">
        <v>6</v>
      </c>
      <c r="H31" s="20">
        <v>5000</v>
      </c>
      <c r="I31" s="20"/>
      <c r="J31" s="20">
        <v>5303</v>
      </c>
      <c r="K31" s="20">
        <f t="shared" si="1"/>
        <v>441.91666666666669</v>
      </c>
      <c r="L31" s="20">
        <v>770</v>
      </c>
      <c r="M31" s="20">
        <v>43331</v>
      </c>
      <c r="N31" s="20">
        <v>0</v>
      </c>
      <c r="O31" s="20">
        <v>15753</v>
      </c>
    </row>
    <row r="32" spans="1:15" s="5" customFormat="1" ht="12.65" customHeight="1">
      <c r="A32" s="22" t="s">
        <v>134</v>
      </c>
      <c r="B32" s="21" t="s">
        <v>135</v>
      </c>
      <c r="C32" s="23" t="s">
        <v>75</v>
      </c>
      <c r="D32" s="23" t="s">
        <v>77</v>
      </c>
      <c r="E32" s="9" t="s">
        <v>97</v>
      </c>
      <c r="F32" s="20" t="s">
        <v>989</v>
      </c>
      <c r="G32" s="43" t="s">
        <v>54</v>
      </c>
      <c r="H32" s="20">
        <v>9000</v>
      </c>
      <c r="I32" s="20"/>
      <c r="J32" s="20">
        <v>355</v>
      </c>
      <c r="K32" s="20">
        <f t="shared" si="1"/>
        <v>29.583333333333332</v>
      </c>
      <c r="L32" s="20">
        <v>101</v>
      </c>
      <c r="M32" s="20">
        <v>22596</v>
      </c>
      <c r="N32" s="20">
        <v>59004</v>
      </c>
      <c r="O32" s="20">
        <v>725</v>
      </c>
    </row>
    <row r="33" spans="1:15" s="5" customFormat="1" ht="12.65" customHeight="1">
      <c r="A33" s="22" t="s">
        <v>136</v>
      </c>
      <c r="B33" s="21" t="s">
        <v>137</v>
      </c>
      <c r="C33" s="23" t="s">
        <v>75</v>
      </c>
      <c r="D33" s="23" t="s">
        <v>77</v>
      </c>
      <c r="E33" s="9" t="s">
        <v>78</v>
      </c>
      <c r="F33" s="20" t="s">
        <v>1006</v>
      </c>
      <c r="G33" s="43" t="s">
        <v>6</v>
      </c>
      <c r="H33" s="20">
        <v>4500</v>
      </c>
      <c r="I33" s="20"/>
      <c r="J33" s="20">
        <v>7923</v>
      </c>
      <c r="K33" s="20">
        <f t="shared" si="1"/>
        <v>660.25</v>
      </c>
      <c r="L33" s="20">
        <v>1106</v>
      </c>
      <c r="M33" s="20">
        <v>40782</v>
      </c>
      <c r="N33" s="20">
        <v>0</v>
      </c>
      <c r="O33" s="20">
        <v>23155</v>
      </c>
    </row>
    <row r="34" spans="1:15" s="5" customFormat="1" ht="12.65" customHeight="1">
      <c r="A34" s="22" t="s">
        <v>556</v>
      </c>
      <c r="B34" s="21" t="s">
        <v>557</v>
      </c>
      <c r="C34" s="23" t="s">
        <v>75</v>
      </c>
      <c r="D34" s="23" t="s">
        <v>77</v>
      </c>
      <c r="E34" s="9" t="s">
        <v>78</v>
      </c>
      <c r="F34" s="20" t="s">
        <v>1007</v>
      </c>
      <c r="G34" s="43" t="s">
        <v>6</v>
      </c>
      <c r="H34" s="20">
        <v>3500</v>
      </c>
      <c r="I34" s="20"/>
      <c r="J34" s="20">
        <v>2465</v>
      </c>
      <c r="K34" s="20">
        <f t="shared" si="1"/>
        <v>205.41666666666666</v>
      </c>
      <c r="L34" s="20">
        <v>446</v>
      </c>
      <c r="M34" s="20">
        <v>43971</v>
      </c>
      <c r="N34" s="20">
        <v>0</v>
      </c>
      <c r="O34" s="20">
        <v>6610</v>
      </c>
    </row>
    <row r="35" spans="1:15" s="5" customFormat="1" ht="12.65" customHeight="1">
      <c r="A35" s="22" t="s">
        <v>140</v>
      </c>
      <c r="B35" s="21" t="s">
        <v>141</v>
      </c>
      <c r="C35" s="23" t="s">
        <v>75</v>
      </c>
      <c r="D35" s="23" t="s">
        <v>77</v>
      </c>
      <c r="E35" s="9" t="s">
        <v>97</v>
      </c>
      <c r="F35" s="20" t="s">
        <v>1006</v>
      </c>
      <c r="G35" s="43" t="s">
        <v>54</v>
      </c>
      <c r="H35" s="20">
        <v>19000</v>
      </c>
      <c r="I35" s="20"/>
      <c r="J35" s="20">
        <v>1171</v>
      </c>
      <c r="K35" s="20">
        <f t="shared" si="1"/>
        <v>97.583333333333329</v>
      </c>
      <c r="L35" s="20">
        <v>197</v>
      </c>
      <c r="M35" s="20">
        <v>21275</v>
      </c>
      <c r="N35" s="20">
        <v>158658</v>
      </c>
      <c r="O35" s="20">
        <v>3076</v>
      </c>
    </row>
    <row r="36" spans="1:15" s="5" customFormat="1" ht="12.65" customHeight="1">
      <c r="A36" s="22" t="s">
        <v>142</v>
      </c>
      <c r="B36" s="21" t="s">
        <v>143</v>
      </c>
      <c r="C36" s="23" t="s">
        <v>75</v>
      </c>
      <c r="D36" s="23" t="s">
        <v>77</v>
      </c>
      <c r="E36" s="9" t="s">
        <v>78</v>
      </c>
      <c r="F36" s="20" t="s">
        <v>1007</v>
      </c>
      <c r="G36" s="43" t="s">
        <v>6</v>
      </c>
      <c r="H36" s="20">
        <v>3500</v>
      </c>
      <c r="I36" s="20"/>
      <c r="J36" s="20">
        <v>2465</v>
      </c>
      <c r="K36" s="20">
        <f t="shared" si="1"/>
        <v>205.41666666666666</v>
      </c>
      <c r="L36" s="20">
        <v>446</v>
      </c>
      <c r="M36" s="20">
        <v>43971</v>
      </c>
      <c r="N36" s="20">
        <v>0</v>
      </c>
      <c r="O36" s="20">
        <v>6610</v>
      </c>
    </row>
    <row r="37" spans="1:15" s="5" customFormat="1" ht="12.65" customHeight="1">
      <c r="A37" s="22" t="s">
        <v>144</v>
      </c>
      <c r="B37" s="21" t="s">
        <v>145</v>
      </c>
      <c r="C37" s="23" t="s">
        <v>75</v>
      </c>
      <c r="D37" s="23" t="s">
        <v>77</v>
      </c>
      <c r="E37" s="9" t="s">
        <v>78</v>
      </c>
      <c r="F37" s="20" t="s">
        <v>989</v>
      </c>
      <c r="G37" s="43" t="s">
        <v>4</v>
      </c>
      <c r="H37" s="20">
        <v>3000</v>
      </c>
      <c r="I37" s="20"/>
      <c r="J37" s="20">
        <v>4431</v>
      </c>
      <c r="K37" s="20">
        <f t="shared" si="1"/>
        <v>369.25</v>
      </c>
      <c r="L37" s="20">
        <v>1193</v>
      </c>
      <c r="M37" s="20">
        <v>28245</v>
      </c>
      <c r="N37" s="20">
        <v>0</v>
      </c>
      <c r="O37" s="20">
        <v>10342</v>
      </c>
    </row>
    <row r="38" spans="1:15" s="5" customFormat="1" ht="12.65" customHeight="1">
      <c r="A38" s="22" t="s">
        <v>146</v>
      </c>
      <c r="B38" s="21" t="s">
        <v>147</v>
      </c>
      <c r="C38" s="23" t="s">
        <v>75</v>
      </c>
      <c r="D38" s="23" t="s">
        <v>77</v>
      </c>
      <c r="E38" s="9" t="s">
        <v>97</v>
      </c>
      <c r="F38" s="20" t="s">
        <v>1006</v>
      </c>
      <c r="G38" s="43" t="s">
        <v>54</v>
      </c>
      <c r="H38" s="20">
        <v>16000</v>
      </c>
      <c r="I38" s="20"/>
      <c r="J38" s="20">
        <v>1053</v>
      </c>
      <c r="K38" s="20">
        <f t="shared" si="1"/>
        <v>87.75</v>
      </c>
      <c r="L38" s="20">
        <v>183</v>
      </c>
      <c r="M38" s="20">
        <v>21275</v>
      </c>
      <c r="N38" s="20">
        <v>126153</v>
      </c>
      <c r="O38" s="20">
        <v>2704</v>
      </c>
    </row>
    <row r="39" spans="1:15" s="5" customFormat="1" ht="12.65" customHeight="1">
      <c r="A39" s="22" t="s">
        <v>148</v>
      </c>
      <c r="B39" s="21" t="s">
        <v>149</v>
      </c>
      <c r="C39" s="23" t="s">
        <v>75</v>
      </c>
      <c r="D39" s="23" t="s">
        <v>77</v>
      </c>
      <c r="E39" s="9" t="s">
        <v>78</v>
      </c>
      <c r="F39" s="20" t="s">
        <v>989</v>
      </c>
      <c r="G39" s="43" t="s">
        <v>6</v>
      </c>
      <c r="H39" s="20">
        <v>3500</v>
      </c>
      <c r="I39" s="20"/>
      <c r="J39" s="20">
        <v>2711</v>
      </c>
      <c r="K39" s="20">
        <f t="shared" si="1"/>
        <v>225.91666666666666</v>
      </c>
      <c r="L39" s="20">
        <v>542</v>
      </c>
      <c r="M39" s="20">
        <v>43331</v>
      </c>
      <c r="N39" s="20">
        <v>0</v>
      </c>
      <c r="O39" s="20">
        <v>6433</v>
      </c>
    </row>
    <row r="40" spans="1:15" s="5" customFormat="1" ht="12.65" customHeight="1">
      <c r="A40" s="22" t="s">
        <v>150</v>
      </c>
      <c r="B40" s="21" t="s">
        <v>151</v>
      </c>
      <c r="C40" s="23" t="s">
        <v>75</v>
      </c>
      <c r="D40" s="23" t="s">
        <v>77</v>
      </c>
      <c r="E40" s="9" t="s">
        <v>97</v>
      </c>
      <c r="F40" s="20" t="s">
        <v>1005</v>
      </c>
      <c r="G40" s="43" t="s">
        <v>50</v>
      </c>
      <c r="H40" s="20">
        <v>27000</v>
      </c>
      <c r="I40" s="20"/>
      <c r="J40" s="20">
        <v>1301</v>
      </c>
      <c r="K40" s="20">
        <f t="shared" si="1"/>
        <v>108.41666666666667</v>
      </c>
      <c r="L40" s="20">
        <v>138</v>
      </c>
      <c r="M40" s="20">
        <v>0</v>
      </c>
      <c r="N40" s="20">
        <v>252156</v>
      </c>
      <c r="O40" s="20">
        <v>3436</v>
      </c>
    </row>
    <row r="41" spans="1:15" s="5" customFormat="1" ht="12.65" customHeight="1">
      <c r="A41" s="22" t="s">
        <v>152</v>
      </c>
      <c r="B41" s="21" t="s">
        <v>153</v>
      </c>
      <c r="C41" s="23" t="s">
        <v>75</v>
      </c>
      <c r="D41" s="23" t="s">
        <v>77</v>
      </c>
      <c r="E41" s="9" t="s">
        <v>78</v>
      </c>
      <c r="F41" s="20" t="s">
        <v>989</v>
      </c>
      <c r="G41" s="43" t="s">
        <v>3</v>
      </c>
      <c r="H41" s="20">
        <v>2000</v>
      </c>
      <c r="I41" s="20"/>
      <c r="J41" s="20">
        <v>1843</v>
      </c>
      <c r="K41" s="20">
        <f t="shared" si="1"/>
        <v>153.58333333333334</v>
      </c>
      <c r="L41" s="20">
        <v>549</v>
      </c>
      <c r="M41" s="20">
        <v>22596</v>
      </c>
      <c r="N41" s="20">
        <v>0</v>
      </c>
      <c r="O41" s="20">
        <v>4135</v>
      </c>
    </row>
    <row r="42" spans="1:15" s="5" customFormat="1" ht="12.65" customHeight="1">
      <c r="A42" s="22" t="s">
        <v>154</v>
      </c>
      <c r="B42" s="21" t="s">
        <v>155</v>
      </c>
      <c r="C42" s="23" t="s">
        <v>75</v>
      </c>
      <c r="D42" s="23" t="s">
        <v>77</v>
      </c>
      <c r="E42" s="9" t="s">
        <v>78</v>
      </c>
      <c r="F42" s="20" t="s">
        <v>1005</v>
      </c>
      <c r="G42" s="43" t="s">
        <v>6</v>
      </c>
      <c r="H42" s="20">
        <v>3500</v>
      </c>
      <c r="I42" s="20"/>
      <c r="J42" s="20">
        <v>2483</v>
      </c>
      <c r="K42" s="20">
        <f t="shared" si="1"/>
        <v>206.91666666666666</v>
      </c>
      <c r="L42" s="20">
        <v>492</v>
      </c>
      <c r="M42" s="20">
        <v>41967</v>
      </c>
      <c r="N42" s="20">
        <v>0</v>
      </c>
      <c r="O42" s="20">
        <v>6791</v>
      </c>
    </row>
    <row r="43" spans="1:15" s="5" customFormat="1" ht="12.65" customHeight="1">
      <c r="A43" s="22" t="s">
        <v>329</v>
      </c>
      <c r="B43" s="21" t="s">
        <v>330</v>
      </c>
      <c r="C43" s="23" t="s">
        <v>75</v>
      </c>
      <c r="D43" s="23" t="s">
        <v>77</v>
      </c>
      <c r="E43" s="9" t="s">
        <v>97</v>
      </c>
      <c r="F43" s="20" t="s">
        <v>1007</v>
      </c>
      <c r="G43" s="43" t="s">
        <v>54</v>
      </c>
      <c r="H43" s="20">
        <v>14500</v>
      </c>
      <c r="I43" s="20"/>
      <c r="J43" s="20">
        <v>1024</v>
      </c>
      <c r="K43" s="20">
        <f t="shared" si="1"/>
        <v>85.333333333333329</v>
      </c>
      <c r="L43" s="20">
        <v>187</v>
      </c>
      <c r="M43" s="20">
        <v>22938</v>
      </c>
      <c r="N43" s="20">
        <v>110089</v>
      </c>
      <c r="O43" s="20">
        <v>2798</v>
      </c>
    </row>
    <row r="44" spans="1:15" s="5" customFormat="1" ht="12.65" customHeight="1">
      <c r="A44" s="22" t="s">
        <v>158</v>
      </c>
      <c r="B44" s="21" t="s">
        <v>159</v>
      </c>
      <c r="C44" s="23" t="s">
        <v>75</v>
      </c>
      <c r="D44" s="23" t="s">
        <v>77</v>
      </c>
      <c r="E44" s="9" t="s">
        <v>97</v>
      </c>
      <c r="F44" s="20" t="s">
        <v>989</v>
      </c>
      <c r="G44" s="43" t="s">
        <v>54</v>
      </c>
      <c r="H44" s="20">
        <v>26000</v>
      </c>
      <c r="I44" s="20"/>
      <c r="J44" s="20">
        <v>1627</v>
      </c>
      <c r="K44" s="20">
        <f t="shared" si="1"/>
        <v>135.58333333333334</v>
      </c>
      <c r="L44" s="20">
        <v>171</v>
      </c>
      <c r="M44" s="20">
        <v>22596</v>
      </c>
      <c r="N44" s="20">
        <v>217649</v>
      </c>
      <c r="O44" s="20">
        <v>4334</v>
      </c>
    </row>
    <row r="45" spans="1:15" s="5" customFormat="1" ht="12.65" customHeight="1">
      <c r="A45" s="22" t="s">
        <v>161</v>
      </c>
      <c r="B45" s="21" t="s">
        <v>162</v>
      </c>
      <c r="C45" s="23" t="s">
        <v>75</v>
      </c>
      <c r="D45" s="23" t="s">
        <v>77</v>
      </c>
      <c r="E45" s="9" t="s">
        <v>78</v>
      </c>
      <c r="F45" s="20" t="s">
        <v>989</v>
      </c>
      <c r="G45" s="43" t="s">
        <v>6</v>
      </c>
      <c r="H45" s="20">
        <v>4500</v>
      </c>
      <c r="I45" s="20"/>
      <c r="J45" s="20">
        <v>6895</v>
      </c>
      <c r="K45" s="20">
        <f t="shared" si="1"/>
        <v>574.58333333333337</v>
      </c>
      <c r="L45" s="20">
        <v>998</v>
      </c>
      <c r="M45" s="20">
        <v>43331</v>
      </c>
      <c r="N45" s="20">
        <v>0</v>
      </c>
      <c r="O45" s="20">
        <v>20499</v>
      </c>
    </row>
    <row r="46" spans="1:15" s="5" customFormat="1" ht="12.65" customHeight="1">
      <c r="A46" s="22" t="s">
        <v>163</v>
      </c>
      <c r="B46" s="21" t="s">
        <v>164</v>
      </c>
      <c r="C46" s="23" t="s">
        <v>75</v>
      </c>
      <c r="D46" s="23" t="s">
        <v>77</v>
      </c>
      <c r="E46" s="9" t="s">
        <v>78</v>
      </c>
      <c r="F46" s="20" t="s">
        <v>989</v>
      </c>
      <c r="G46" s="43" t="s">
        <v>8</v>
      </c>
      <c r="H46" s="20">
        <v>8000</v>
      </c>
      <c r="I46" s="20"/>
      <c r="J46" s="20">
        <v>16349</v>
      </c>
      <c r="K46" s="20">
        <f t="shared" si="1"/>
        <v>1362.4166666666667</v>
      </c>
      <c r="L46" s="20">
        <v>2662</v>
      </c>
      <c r="M46" s="20">
        <v>56491</v>
      </c>
      <c r="N46" s="20">
        <v>0</v>
      </c>
      <c r="O46" s="20">
        <v>41846</v>
      </c>
    </row>
    <row r="47" spans="1:15" s="5" customFormat="1" ht="12.65" customHeight="1">
      <c r="A47" s="22" t="s">
        <v>165</v>
      </c>
      <c r="B47" s="21" t="s">
        <v>166</v>
      </c>
      <c r="C47" s="23" t="s">
        <v>75</v>
      </c>
      <c r="D47" s="23" t="s">
        <v>77</v>
      </c>
      <c r="E47" s="9" t="s">
        <v>78</v>
      </c>
      <c r="F47" s="20" t="s">
        <v>989</v>
      </c>
      <c r="G47" s="43" t="s">
        <v>6</v>
      </c>
      <c r="H47" s="20">
        <v>6500</v>
      </c>
      <c r="I47" s="20"/>
      <c r="J47" s="20">
        <v>12287</v>
      </c>
      <c r="K47" s="20">
        <f t="shared" si="1"/>
        <v>1023.9166666666666</v>
      </c>
      <c r="L47" s="20">
        <v>1685</v>
      </c>
      <c r="M47" s="20">
        <v>43331</v>
      </c>
      <c r="N47" s="20">
        <v>0</v>
      </c>
      <c r="O47" s="20">
        <v>36982</v>
      </c>
    </row>
    <row r="48" spans="1:15" s="5" customFormat="1" ht="12.65" customHeight="1">
      <c r="A48" s="22" t="s">
        <v>167</v>
      </c>
      <c r="B48" s="21" t="s">
        <v>168</v>
      </c>
      <c r="C48" s="23" t="s">
        <v>75</v>
      </c>
      <c r="D48" s="23" t="s">
        <v>77</v>
      </c>
      <c r="E48" s="9" t="s">
        <v>97</v>
      </c>
      <c r="F48" s="20" t="s">
        <v>1005</v>
      </c>
      <c r="G48" s="43" t="s">
        <v>54</v>
      </c>
      <c r="H48" s="20">
        <v>7000</v>
      </c>
      <c r="I48" s="20"/>
      <c r="J48" s="20">
        <v>353</v>
      </c>
      <c r="K48" s="20">
        <f t="shared" si="1"/>
        <v>29.416666666666668</v>
      </c>
      <c r="L48" s="20">
        <v>107</v>
      </c>
      <c r="M48" s="20">
        <v>21677</v>
      </c>
      <c r="N48" s="20">
        <v>43091</v>
      </c>
      <c r="O48" s="20">
        <v>708</v>
      </c>
    </row>
    <row r="49" spans="1:15" s="5" customFormat="1" ht="12.65" customHeight="1">
      <c r="A49" s="22" t="s">
        <v>169</v>
      </c>
      <c r="B49" s="21" t="s">
        <v>170</v>
      </c>
      <c r="C49" s="23" t="s">
        <v>75</v>
      </c>
      <c r="D49" s="23" t="s">
        <v>77</v>
      </c>
      <c r="E49" s="9" t="s">
        <v>97</v>
      </c>
      <c r="F49" s="20" t="s">
        <v>989</v>
      </c>
      <c r="G49" s="43" t="s">
        <v>7</v>
      </c>
      <c r="H49" s="20">
        <v>7500</v>
      </c>
      <c r="I49" s="20"/>
      <c r="J49" s="20">
        <v>16067</v>
      </c>
      <c r="K49" s="20">
        <f t="shared" si="1"/>
        <v>1338.9166666666667</v>
      </c>
      <c r="L49" s="20">
        <v>2626</v>
      </c>
      <c r="M49" s="20">
        <v>50842</v>
      </c>
      <c r="N49" s="20">
        <v>0</v>
      </c>
      <c r="O49" s="20">
        <v>41068</v>
      </c>
    </row>
    <row r="50" spans="1:15" s="5" customFormat="1" ht="12.65" customHeight="1">
      <c r="A50" s="22" t="s">
        <v>702</v>
      </c>
      <c r="B50" s="21" t="s">
        <v>703</v>
      </c>
      <c r="C50" s="23" t="s">
        <v>75</v>
      </c>
      <c r="D50" s="23" t="s">
        <v>77</v>
      </c>
      <c r="E50" s="9" t="s">
        <v>78</v>
      </c>
      <c r="F50" s="20" t="s">
        <v>1005</v>
      </c>
      <c r="G50" s="43" t="s">
        <v>8</v>
      </c>
      <c r="H50" s="20">
        <v>3500</v>
      </c>
      <c r="I50" s="20"/>
      <c r="J50" s="20">
        <v>2106</v>
      </c>
      <c r="K50" s="20">
        <f t="shared" si="1"/>
        <v>175.5</v>
      </c>
      <c r="L50" s="20">
        <v>423</v>
      </c>
      <c r="M50" s="20">
        <v>54703</v>
      </c>
      <c r="N50" s="20">
        <v>0</v>
      </c>
      <c r="O50" s="20">
        <v>4465</v>
      </c>
    </row>
    <row r="51" spans="1:15" s="5" customFormat="1" ht="12.65" customHeight="1">
      <c r="A51" s="22" t="s">
        <v>279</v>
      </c>
      <c r="B51" s="21" t="s">
        <v>280</v>
      </c>
      <c r="C51" s="23" t="s">
        <v>75</v>
      </c>
      <c r="D51" s="23" t="s">
        <v>77</v>
      </c>
      <c r="E51" s="9" t="s">
        <v>78</v>
      </c>
      <c r="F51" s="20" t="s">
        <v>1006</v>
      </c>
      <c r="G51" s="43" t="s">
        <v>6</v>
      </c>
      <c r="H51" s="20">
        <v>2500</v>
      </c>
      <c r="I51" s="20"/>
      <c r="J51" s="20">
        <v>2002</v>
      </c>
      <c r="K51" s="20">
        <f t="shared" si="1"/>
        <v>166.83333333333334</v>
      </c>
      <c r="L51" s="20">
        <v>418</v>
      </c>
      <c r="M51" s="20">
        <v>40792</v>
      </c>
      <c r="N51" s="20">
        <v>0</v>
      </c>
      <c r="O51" s="20">
        <v>4730</v>
      </c>
    </row>
    <row r="52" spans="1:15" s="5" customFormat="1" ht="12.65" customHeight="1">
      <c r="A52" s="22" t="s">
        <v>175</v>
      </c>
      <c r="B52" s="21" t="s">
        <v>176</v>
      </c>
      <c r="C52" s="23" t="s">
        <v>75</v>
      </c>
      <c r="D52" s="23" t="s">
        <v>77</v>
      </c>
      <c r="E52" s="9" t="s">
        <v>78</v>
      </c>
      <c r="F52" s="20" t="s">
        <v>989</v>
      </c>
      <c r="G52" s="43" t="s">
        <v>6</v>
      </c>
      <c r="H52" s="20">
        <v>4500</v>
      </c>
      <c r="I52" s="20"/>
      <c r="J52" s="20">
        <v>7532</v>
      </c>
      <c r="K52" s="20">
        <f t="shared" si="1"/>
        <v>627.66666666666663</v>
      </c>
      <c r="L52" s="20">
        <v>1327</v>
      </c>
      <c r="M52" s="20">
        <v>43331</v>
      </c>
      <c r="N52" s="20">
        <v>0</v>
      </c>
      <c r="O52" s="20">
        <v>18739</v>
      </c>
    </row>
    <row r="53" spans="1:15" s="5" customFormat="1" ht="12.65" customHeight="1">
      <c r="A53" s="22" t="s">
        <v>177</v>
      </c>
      <c r="B53" s="21" t="s">
        <v>178</v>
      </c>
      <c r="C53" s="23" t="s">
        <v>75</v>
      </c>
      <c r="D53" s="23" t="s">
        <v>77</v>
      </c>
      <c r="E53" s="9" t="s">
        <v>78</v>
      </c>
      <c r="F53" s="20" t="s">
        <v>1005</v>
      </c>
      <c r="G53" s="43" t="s">
        <v>6</v>
      </c>
      <c r="H53" s="20">
        <v>4000</v>
      </c>
      <c r="I53" s="20"/>
      <c r="J53" s="20">
        <v>3939</v>
      </c>
      <c r="K53" s="20">
        <f t="shared" si="1"/>
        <v>328.25</v>
      </c>
      <c r="L53" s="20">
        <v>711</v>
      </c>
      <c r="M53" s="20">
        <v>41967</v>
      </c>
      <c r="N53" s="20">
        <v>0</v>
      </c>
      <c r="O53" s="20">
        <v>11275</v>
      </c>
    </row>
    <row r="54" spans="1:15" s="5" customFormat="1" ht="12.65" customHeight="1">
      <c r="A54" s="22" t="s">
        <v>105</v>
      </c>
      <c r="B54" s="21" t="s">
        <v>106</v>
      </c>
      <c r="C54" s="23" t="s">
        <v>75</v>
      </c>
      <c r="D54" s="23" t="s">
        <v>77</v>
      </c>
      <c r="E54" s="9" t="s">
        <v>78</v>
      </c>
      <c r="F54" s="20" t="s">
        <v>1006</v>
      </c>
      <c r="G54" s="43" t="s">
        <v>6</v>
      </c>
      <c r="H54" s="20">
        <v>3000</v>
      </c>
      <c r="I54" s="20"/>
      <c r="J54" s="20">
        <v>3866</v>
      </c>
      <c r="K54" s="20">
        <f t="shared" si="1"/>
        <v>322.16666666666669</v>
      </c>
      <c r="L54" s="20">
        <v>682</v>
      </c>
      <c r="M54" s="20">
        <v>40792</v>
      </c>
      <c r="N54" s="20">
        <v>0</v>
      </c>
      <c r="O54" s="20">
        <v>10034</v>
      </c>
    </row>
    <row r="55" spans="1:15" s="5" customFormat="1" ht="12.65" customHeight="1">
      <c r="A55" s="22" t="s">
        <v>181</v>
      </c>
      <c r="B55" s="21" t="s">
        <v>182</v>
      </c>
      <c r="C55" s="23" t="s">
        <v>75</v>
      </c>
      <c r="D55" s="23" t="s">
        <v>77</v>
      </c>
      <c r="E55" s="9" t="s">
        <v>97</v>
      </c>
      <c r="F55" s="20" t="s">
        <v>1005</v>
      </c>
      <c r="G55" s="43" t="s">
        <v>52</v>
      </c>
      <c r="H55" s="20">
        <v>9000</v>
      </c>
      <c r="I55" s="20"/>
      <c r="J55" s="20">
        <v>345</v>
      </c>
      <c r="K55" s="20">
        <f t="shared" si="1"/>
        <v>28.75</v>
      </c>
      <c r="L55" s="20">
        <v>97</v>
      </c>
      <c r="M55" s="20">
        <v>10839</v>
      </c>
      <c r="N55" s="20">
        <v>70714</v>
      </c>
      <c r="O55" s="20">
        <v>741</v>
      </c>
    </row>
    <row r="56" spans="1:15" s="5" customFormat="1" ht="12.65" customHeight="1">
      <c r="A56" s="22" t="s">
        <v>183</v>
      </c>
      <c r="B56" s="21" t="s">
        <v>184</v>
      </c>
      <c r="C56" s="23" t="s">
        <v>75</v>
      </c>
      <c r="D56" s="23" t="s">
        <v>77</v>
      </c>
      <c r="E56" s="9" t="s">
        <v>97</v>
      </c>
      <c r="F56" s="20" t="s">
        <v>989</v>
      </c>
      <c r="G56" s="43" t="s">
        <v>6</v>
      </c>
      <c r="H56" s="20">
        <v>5500</v>
      </c>
      <c r="I56" s="20"/>
      <c r="J56" s="20">
        <v>8698</v>
      </c>
      <c r="K56" s="20">
        <f t="shared" si="1"/>
        <v>724.83333333333337</v>
      </c>
      <c r="L56" s="20">
        <v>1005</v>
      </c>
      <c r="M56" s="20">
        <v>43331</v>
      </c>
      <c r="N56" s="20">
        <v>0</v>
      </c>
      <c r="O56" s="20">
        <v>25391</v>
      </c>
    </row>
    <row r="57" spans="1:15" s="5" customFormat="1" ht="12.65" customHeight="1">
      <c r="A57" s="22" t="s">
        <v>185</v>
      </c>
      <c r="B57" s="21" t="s">
        <v>186</v>
      </c>
      <c r="C57" s="23" t="s">
        <v>75</v>
      </c>
      <c r="D57" s="23" t="s">
        <v>77</v>
      </c>
      <c r="E57" s="9" t="s">
        <v>97</v>
      </c>
      <c r="F57" s="20" t="s">
        <v>989</v>
      </c>
      <c r="G57" s="43" t="s">
        <v>54</v>
      </c>
      <c r="H57" s="20">
        <v>8000</v>
      </c>
      <c r="I57" s="20"/>
      <c r="J57" s="20">
        <v>390</v>
      </c>
      <c r="K57" s="20">
        <f t="shared" si="1"/>
        <v>32.5</v>
      </c>
      <c r="L57" s="20">
        <v>100</v>
      </c>
      <c r="M57" s="20">
        <v>22596</v>
      </c>
      <c r="N57" s="20">
        <v>50537</v>
      </c>
      <c r="O57" s="20">
        <v>917</v>
      </c>
    </row>
    <row r="58" spans="1:15" s="5" customFormat="1" ht="12.65" customHeight="1">
      <c r="A58" s="22" t="s">
        <v>187</v>
      </c>
      <c r="B58" s="21" t="s">
        <v>188</v>
      </c>
      <c r="C58" s="23" t="s">
        <v>75</v>
      </c>
      <c r="D58" s="23" t="s">
        <v>77</v>
      </c>
      <c r="E58" s="9" t="s">
        <v>97</v>
      </c>
      <c r="F58" s="20" t="s">
        <v>989</v>
      </c>
      <c r="G58" s="43" t="s">
        <v>6</v>
      </c>
      <c r="H58" s="20">
        <v>6500</v>
      </c>
      <c r="I58" s="20"/>
      <c r="J58" s="20">
        <v>13650</v>
      </c>
      <c r="K58" s="20">
        <f t="shared" si="1"/>
        <v>1137.5</v>
      </c>
      <c r="L58" s="20">
        <v>2257</v>
      </c>
      <c r="M58" s="20">
        <v>43331</v>
      </c>
      <c r="N58" s="20">
        <v>0</v>
      </c>
      <c r="O58" s="20">
        <v>34750</v>
      </c>
    </row>
    <row r="59" spans="1:15" s="5" customFormat="1" ht="12.65" customHeight="1">
      <c r="A59" s="22" t="s">
        <v>189</v>
      </c>
      <c r="B59" s="21" t="s">
        <v>190</v>
      </c>
      <c r="C59" s="23" t="s">
        <v>75</v>
      </c>
      <c r="D59" s="23" t="s">
        <v>77</v>
      </c>
      <c r="E59" s="9" t="s">
        <v>97</v>
      </c>
      <c r="F59" s="20" t="s">
        <v>989</v>
      </c>
      <c r="G59" s="43" t="s">
        <v>47</v>
      </c>
      <c r="H59" s="20">
        <v>2000</v>
      </c>
      <c r="I59" s="20"/>
      <c r="J59" s="20">
        <v>1345</v>
      </c>
      <c r="K59" s="20">
        <f t="shared" si="1"/>
        <v>112.08333333333333</v>
      </c>
      <c r="L59" s="20">
        <v>468</v>
      </c>
      <c r="M59" s="20">
        <v>28245</v>
      </c>
      <c r="N59" s="20">
        <v>0</v>
      </c>
      <c r="O59" s="20">
        <v>81.3</v>
      </c>
    </row>
    <row r="60" spans="1:15" s="5" customFormat="1" ht="12.65" customHeight="1">
      <c r="A60" s="22" t="s">
        <v>191</v>
      </c>
      <c r="B60" s="21" t="s">
        <v>192</v>
      </c>
      <c r="C60" s="23" t="s">
        <v>75</v>
      </c>
      <c r="D60" s="23" t="s">
        <v>77</v>
      </c>
      <c r="E60" s="9" t="s">
        <v>97</v>
      </c>
      <c r="F60" s="20" t="s">
        <v>1006</v>
      </c>
      <c r="G60" s="43" t="s">
        <v>52</v>
      </c>
      <c r="H60" s="20">
        <v>7000</v>
      </c>
      <c r="I60" s="20"/>
      <c r="J60" s="20">
        <v>526</v>
      </c>
      <c r="K60" s="20">
        <f t="shared" si="1"/>
        <v>43.833333333333336</v>
      </c>
      <c r="L60" s="20">
        <v>130</v>
      </c>
      <c r="M60" s="20">
        <v>10638</v>
      </c>
      <c r="N60" s="20">
        <v>51382</v>
      </c>
      <c r="O60" s="20">
        <v>1312</v>
      </c>
    </row>
    <row r="61" spans="1:15" s="5" customFormat="1" ht="12.65" customHeight="1">
      <c r="A61" s="22" t="s">
        <v>193</v>
      </c>
      <c r="B61" s="21" t="s">
        <v>194</v>
      </c>
      <c r="C61" s="23" t="s">
        <v>75</v>
      </c>
      <c r="D61" s="23" t="s">
        <v>77</v>
      </c>
      <c r="E61" s="9" t="s">
        <v>97</v>
      </c>
      <c r="F61" s="20" t="s">
        <v>1005</v>
      </c>
      <c r="G61" s="43" t="s">
        <v>54</v>
      </c>
      <c r="H61" s="20">
        <v>14500</v>
      </c>
      <c r="I61" s="20"/>
      <c r="J61" s="20">
        <v>540</v>
      </c>
      <c r="K61" s="20">
        <f t="shared" si="1"/>
        <v>45</v>
      </c>
      <c r="L61" s="20">
        <v>126</v>
      </c>
      <c r="M61" s="20">
        <v>21677</v>
      </c>
      <c r="N61" s="20">
        <v>113031</v>
      </c>
      <c r="O61" s="20">
        <v>1332</v>
      </c>
    </row>
    <row r="62" spans="1:15" s="5" customFormat="1" ht="12.65" customHeight="1">
      <c r="A62" s="22" t="s">
        <v>195</v>
      </c>
      <c r="B62" s="21" t="s">
        <v>196</v>
      </c>
      <c r="C62" s="23" t="s">
        <v>75</v>
      </c>
      <c r="D62" s="23" t="s">
        <v>77</v>
      </c>
      <c r="E62" s="9" t="s">
        <v>78</v>
      </c>
      <c r="F62" s="20" t="s">
        <v>1005</v>
      </c>
      <c r="G62" s="43" t="s">
        <v>6</v>
      </c>
      <c r="H62" s="20">
        <v>4000</v>
      </c>
      <c r="I62" s="20"/>
      <c r="J62" s="20">
        <v>3939</v>
      </c>
      <c r="K62" s="20">
        <f t="shared" si="1"/>
        <v>328.25</v>
      </c>
      <c r="L62" s="20">
        <v>711</v>
      </c>
      <c r="M62" s="20">
        <v>41967</v>
      </c>
      <c r="N62" s="20">
        <v>0</v>
      </c>
      <c r="O62" s="20">
        <v>11275</v>
      </c>
    </row>
    <row r="63" spans="1:15" s="5" customFormat="1" ht="12.65" customHeight="1">
      <c r="A63" s="22" t="s">
        <v>197</v>
      </c>
      <c r="B63" s="21" t="s">
        <v>198</v>
      </c>
      <c r="C63" s="23" t="s">
        <v>75</v>
      </c>
      <c r="D63" s="23" t="s">
        <v>77</v>
      </c>
      <c r="E63" s="9" t="s">
        <v>78</v>
      </c>
      <c r="F63" s="20" t="s">
        <v>989</v>
      </c>
      <c r="G63" s="43" t="s">
        <v>6</v>
      </c>
      <c r="H63" s="20">
        <v>3500</v>
      </c>
      <c r="I63" s="20"/>
      <c r="J63" s="20">
        <v>2338</v>
      </c>
      <c r="K63" s="20">
        <f t="shared" si="1"/>
        <v>194.83333333333334</v>
      </c>
      <c r="L63" s="20">
        <v>687</v>
      </c>
      <c r="M63" s="20">
        <v>43331</v>
      </c>
      <c r="N63" s="20">
        <v>0</v>
      </c>
      <c r="O63" s="20">
        <v>5372</v>
      </c>
    </row>
    <row r="64" spans="1:15" s="5" customFormat="1" ht="12.65" customHeight="1">
      <c r="A64" s="22" t="s">
        <v>199</v>
      </c>
      <c r="B64" s="21" t="s">
        <v>200</v>
      </c>
      <c r="C64" s="23" t="s">
        <v>75</v>
      </c>
      <c r="D64" s="23" t="s">
        <v>77</v>
      </c>
      <c r="E64" s="9" t="s">
        <v>97</v>
      </c>
      <c r="F64" s="20" t="s">
        <v>1005</v>
      </c>
      <c r="G64" s="43" t="s">
        <v>48</v>
      </c>
      <c r="H64" s="20">
        <v>7000</v>
      </c>
      <c r="I64" s="20"/>
      <c r="J64" s="20">
        <v>13373</v>
      </c>
      <c r="K64" s="20">
        <f t="shared" si="1"/>
        <v>1114.4166666666667</v>
      </c>
      <c r="L64" s="20">
        <v>1214</v>
      </c>
      <c r="M64" s="20">
        <v>54748</v>
      </c>
      <c r="N64" s="20">
        <v>0</v>
      </c>
      <c r="O64" s="20">
        <v>38993</v>
      </c>
    </row>
    <row r="65" spans="1:15" s="5" customFormat="1" ht="12.65" customHeight="1">
      <c r="A65" s="22" t="s">
        <v>201</v>
      </c>
      <c r="B65" s="21" t="s">
        <v>202</v>
      </c>
      <c r="C65" s="23" t="s">
        <v>75</v>
      </c>
      <c r="D65" s="23" t="s">
        <v>77</v>
      </c>
      <c r="E65" s="9" t="s">
        <v>78</v>
      </c>
      <c r="F65" s="20" t="s">
        <v>1006</v>
      </c>
      <c r="G65" s="43" t="s">
        <v>5</v>
      </c>
      <c r="H65" s="20">
        <v>3000</v>
      </c>
      <c r="I65" s="20"/>
      <c r="J65" s="20">
        <v>4088</v>
      </c>
      <c r="K65" s="20">
        <f t="shared" si="1"/>
        <v>340.66666666666669</v>
      </c>
      <c r="L65" s="20">
        <v>760</v>
      </c>
      <c r="M65" s="20">
        <v>35465</v>
      </c>
      <c r="N65" s="20">
        <v>0</v>
      </c>
      <c r="O65" s="20">
        <v>11548</v>
      </c>
    </row>
    <row r="66" spans="1:15" s="5" customFormat="1" ht="12.65" customHeight="1">
      <c r="A66" s="22" t="s">
        <v>203</v>
      </c>
      <c r="B66" s="21" t="s">
        <v>204</v>
      </c>
      <c r="C66" s="23" t="s">
        <v>75</v>
      </c>
      <c r="D66" s="23" t="s">
        <v>77</v>
      </c>
      <c r="E66" s="9" t="s">
        <v>78</v>
      </c>
      <c r="F66" s="20" t="s">
        <v>989</v>
      </c>
      <c r="G66" s="43" t="s">
        <v>5</v>
      </c>
      <c r="H66" s="20">
        <v>3500</v>
      </c>
      <c r="I66" s="20"/>
      <c r="J66" s="20">
        <v>3080</v>
      </c>
      <c r="K66" s="20">
        <f t="shared" si="1"/>
        <v>256.66666666666669</v>
      </c>
      <c r="L66" s="20">
        <v>594</v>
      </c>
      <c r="M66" s="20">
        <v>37680</v>
      </c>
      <c r="N66" s="20">
        <v>0</v>
      </c>
      <c r="O66" s="20">
        <v>7416</v>
      </c>
    </row>
    <row r="67" spans="1:15" s="5" customFormat="1" ht="12.65" customHeight="1">
      <c r="A67" s="22" t="s">
        <v>205</v>
      </c>
      <c r="B67" s="21" t="s">
        <v>206</v>
      </c>
      <c r="C67" s="23" t="s">
        <v>75</v>
      </c>
      <c r="D67" s="23" t="s">
        <v>77</v>
      </c>
      <c r="E67" s="9" t="s">
        <v>78</v>
      </c>
      <c r="F67" s="20" t="s">
        <v>989</v>
      </c>
      <c r="G67" s="43" t="s">
        <v>6</v>
      </c>
      <c r="H67" s="20">
        <v>2500</v>
      </c>
      <c r="I67" s="20"/>
      <c r="J67" s="20">
        <v>1312</v>
      </c>
      <c r="K67" s="20">
        <f t="shared" si="1"/>
        <v>109.33333333333333</v>
      </c>
      <c r="L67" s="20">
        <v>441</v>
      </c>
      <c r="M67" s="20">
        <v>43331</v>
      </c>
      <c r="N67" s="20">
        <v>0</v>
      </c>
      <c r="O67" s="20">
        <v>2935</v>
      </c>
    </row>
    <row r="68" spans="1:15" s="5" customFormat="1" ht="12.65" customHeight="1">
      <c r="A68" s="22" t="s">
        <v>207</v>
      </c>
      <c r="B68" s="21" t="s">
        <v>208</v>
      </c>
      <c r="C68" s="23" t="s">
        <v>75</v>
      </c>
      <c r="D68" s="23" t="s">
        <v>77</v>
      </c>
      <c r="E68" s="9" t="s">
        <v>78</v>
      </c>
      <c r="F68" s="20" t="s">
        <v>989</v>
      </c>
      <c r="G68" s="43" t="s">
        <v>5</v>
      </c>
      <c r="H68" s="20">
        <v>7500</v>
      </c>
      <c r="I68" s="20"/>
      <c r="J68" s="20">
        <v>18128</v>
      </c>
      <c r="K68" s="20">
        <f t="shared" si="1"/>
        <v>1510.6666666666667</v>
      </c>
      <c r="L68" s="20">
        <v>18128</v>
      </c>
      <c r="M68" s="20">
        <v>18128</v>
      </c>
      <c r="N68" s="20">
        <v>18128</v>
      </c>
      <c r="O68" s="20">
        <v>18128</v>
      </c>
    </row>
    <row r="69" spans="1:15" s="5" customFormat="1" ht="12.65" customHeight="1">
      <c r="A69" s="22" t="s">
        <v>209</v>
      </c>
      <c r="B69" s="21" t="s">
        <v>210</v>
      </c>
      <c r="C69" s="23" t="s">
        <v>75</v>
      </c>
      <c r="D69" s="23" t="s">
        <v>77</v>
      </c>
      <c r="E69" s="9" t="s">
        <v>78</v>
      </c>
      <c r="F69" s="20" t="s">
        <v>989</v>
      </c>
      <c r="G69" s="43" t="s">
        <v>6</v>
      </c>
      <c r="H69" s="20">
        <v>3000</v>
      </c>
      <c r="I69" s="20"/>
      <c r="J69" s="20">
        <v>2885</v>
      </c>
      <c r="K69" s="20">
        <f t="shared" si="1"/>
        <v>240.41666666666666</v>
      </c>
      <c r="L69" s="20">
        <v>843</v>
      </c>
      <c r="M69" s="20">
        <v>43331</v>
      </c>
      <c r="N69" s="20">
        <v>0</v>
      </c>
      <c r="O69" s="20">
        <v>6637</v>
      </c>
    </row>
    <row r="70" spans="1:15" s="5" customFormat="1" ht="12.65" customHeight="1">
      <c r="A70" s="22" t="s">
        <v>211</v>
      </c>
      <c r="B70" s="21" t="s">
        <v>212</v>
      </c>
      <c r="C70" s="23" t="s">
        <v>75</v>
      </c>
      <c r="D70" s="23" t="s">
        <v>77</v>
      </c>
      <c r="E70" s="9" t="s">
        <v>78</v>
      </c>
      <c r="F70" s="20" t="s">
        <v>989</v>
      </c>
      <c r="G70" s="43" t="s">
        <v>4</v>
      </c>
      <c r="H70" s="20">
        <v>2000</v>
      </c>
      <c r="I70" s="20"/>
      <c r="J70" s="20">
        <v>1345</v>
      </c>
      <c r="K70" s="20">
        <f t="shared" si="1"/>
        <v>112.08333333333333</v>
      </c>
      <c r="L70" s="20">
        <v>468</v>
      </c>
      <c r="M70" s="20">
        <v>28245</v>
      </c>
      <c r="N70" s="20">
        <v>0</v>
      </c>
      <c r="O70" s="20">
        <v>3011</v>
      </c>
    </row>
    <row r="71" spans="1:15" s="5" customFormat="1" ht="12.65" customHeight="1">
      <c r="A71" s="22" t="s">
        <v>213</v>
      </c>
      <c r="B71" s="21" t="s">
        <v>214</v>
      </c>
      <c r="C71" s="23" t="s">
        <v>75</v>
      </c>
      <c r="D71" s="23" t="s">
        <v>77</v>
      </c>
      <c r="E71" s="9" t="s">
        <v>78</v>
      </c>
      <c r="F71" s="20" t="s">
        <v>989</v>
      </c>
      <c r="G71" s="43" t="s">
        <v>7</v>
      </c>
      <c r="H71" s="20">
        <v>5000</v>
      </c>
      <c r="I71" s="20"/>
      <c r="J71" s="20">
        <v>4658</v>
      </c>
      <c r="K71" s="20">
        <f t="shared" si="1"/>
        <v>388.16666666666669</v>
      </c>
      <c r="L71" s="20">
        <v>860</v>
      </c>
      <c r="M71" s="20">
        <v>50842</v>
      </c>
      <c r="N71" s="20">
        <v>0</v>
      </c>
      <c r="O71" s="20">
        <v>11381</v>
      </c>
    </row>
    <row r="72" spans="1:15" s="5" customFormat="1" ht="12.65" customHeight="1">
      <c r="A72" s="22" t="s">
        <v>215</v>
      </c>
      <c r="B72" s="21" t="s">
        <v>216</v>
      </c>
      <c r="C72" s="23" t="s">
        <v>75</v>
      </c>
      <c r="D72" s="23" t="s">
        <v>77</v>
      </c>
      <c r="E72" s="9" t="s">
        <v>97</v>
      </c>
      <c r="F72" s="20" t="s">
        <v>989</v>
      </c>
      <c r="G72" s="43" t="s">
        <v>54</v>
      </c>
      <c r="H72" s="20">
        <v>9000</v>
      </c>
      <c r="I72" s="20"/>
      <c r="J72" s="20">
        <v>365</v>
      </c>
      <c r="K72" s="20">
        <f t="shared" ref="K72:K135" si="2">J72/12</f>
        <v>30.416666666666668</v>
      </c>
      <c r="L72" s="20">
        <v>86</v>
      </c>
      <c r="M72" s="20">
        <v>22596</v>
      </c>
      <c r="N72" s="20">
        <v>58880</v>
      </c>
      <c r="O72" s="20">
        <v>884</v>
      </c>
    </row>
    <row r="73" spans="1:15" s="5" customFormat="1" ht="12.65" customHeight="1">
      <c r="A73" s="22" t="s">
        <v>217</v>
      </c>
      <c r="B73" s="21" t="s">
        <v>218</v>
      </c>
      <c r="C73" s="23" t="s">
        <v>75</v>
      </c>
      <c r="D73" s="23" t="s">
        <v>77</v>
      </c>
      <c r="E73" s="9" t="s">
        <v>78</v>
      </c>
      <c r="F73" s="20" t="s">
        <v>1005</v>
      </c>
      <c r="G73" s="43" t="s">
        <v>6</v>
      </c>
      <c r="H73" s="20">
        <v>4000</v>
      </c>
      <c r="I73" s="20"/>
      <c r="J73" s="20">
        <v>4397</v>
      </c>
      <c r="K73" s="20">
        <f t="shared" si="2"/>
        <v>366.41666666666669</v>
      </c>
      <c r="L73" s="20">
        <v>820</v>
      </c>
      <c r="M73" s="20">
        <v>41967</v>
      </c>
      <c r="N73" s="20">
        <v>0</v>
      </c>
      <c r="O73" s="20">
        <v>10701</v>
      </c>
    </row>
    <row r="74" spans="1:15" s="5" customFormat="1" ht="12.65" customHeight="1">
      <c r="A74" s="22" t="s">
        <v>219</v>
      </c>
      <c r="B74" s="21" t="s">
        <v>220</v>
      </c>
      <c r="C74" s="23" t="s">
        <v>75</v>
      </c>
      <c r="D74" s="23" t="s">
        <v>77</v>
      </c>
      <c r="E74" s="9" t="s">
        <v>78</v>
      </c>
      <c r="F74" s="20" t="s">
        <v>989</v>
      </c>
      <c r="G74" s="43" t="s">
        <v>6</v>
      </c>
      <c r="H74" s="20">
        <v>3000</v>
      </c>
      <c r="I74" s="20"/>
      <c r="J74" s="20">
        <v>2885</v>
      </c>
      <c r="K74" s="20">
        <f t="shared" si="2"/>
        <v>240.41666666666666</v>
      </c>
      <c r="L74" s="20">
        <v>843</v>
      </c>
      <c r="M74" s="20">
        <v>43331</v>
      </c>
      <c r="N74" s="20">
        <v>0</v>
      </c>
      <c r="O74" s="20">
        <v>6637</v>
      </c>
    </row>
    <row r="75" spans="1:15" s="5" customFormat="1" ht="12.65" customHeight="1">
      <c r="A75" s="22" t="s">
        <v>221</v>
      </c>
      <c r="B75" s="21" t="s">
        <v>222</v>
      </c>
      <c r="C75" s="23" t="s">
        <v>75</v>
      </c>
      <c r="D75" s="23" t="s">
        <v>77</v>
      </c>
      <c r="E75" s="9" t="s">
        <v>97</v>
      </c>
      <c r="F75" s="20" t="s">
        <v>1005</v>
      </c>
      <c r="G75" s="43" t="s">
        <v>54</v>
      </c>
      <c r="H75" s="20">
        <v>10000</v>
      </c>
      <c r="I75" s="20"/>
      <c r="J75" s="20">
        <v>347</v>
      </c>
      <c r="K75" s="20">
        <f t="shared" si="2"/>
        <v>28.916666666666668</v>
      </c>
      <c r="L75" s="20">
        <v>97</v>
      </c>
      <c r="M75" s="20">
        <v>21677</v>
      </c>
      <c r="N75" s="20">
        <v>68991</v>
      </c>
      <c r="O75" s="20">
        <v>761</v>
      </c>
    </row>
    <row r="76" spans="1:15" s="5" customFormat="1" ht="12.65" customHeight="1">
      <c r="A76" s="22" t="s">
        <v>223</v>
      </c>
      <c r="B76" s="21" t="s">
        <v>224</v>
      </c>
      <c r="C76" s="23" t="s">
        <v>75</v>
      </c>
      <c r="D76" s="23" t="s">
        <v>77</v>
      </c>
      <c r="E76" s="9" t="s">
        <v>78</v>
      </c>
      <c r="F76" s="20" t="s">
        <v>989</v>
      </c>
      <c r="G76" s="43" t="s">
        <v>6</v>
      </c>
      <c r="H76" s="20">
        <v>4500</v>
      </c>
      <c r="I76" s="20"/>
      <c r="J76" s="20">
        <v>6895</v>
      </c>
      <c r="K76" s="20">
        <f t="shared" si="2"/>
        <v>574.58333333333337</v>
      </c>
      <c r="L76" s="20">
        <v>998</v>
      </c>
      <c r="M76" s="20">
        <v>43331</v>
      </c>
      <c r="N76" s="20">
        <v>0</v>
      </c>
      <c r="O76" s="20">
        <v>20499</v>
      </c>
    </row>
    <row r="77" spans="1:15" s="5" customFormat="1" ht="12.65" customHeight="1">
      <c r="A77" s="22" t="s">
        <v>225</v>
      </c>
      <c r="B77" s="21" t="s">
        <v>226</v>
      </c>
      <c r="C77" s="23" t="s">
        <v>75</v>
      </c>
      <c r="D77" s="23" t="s">
        <v>77</v>
      </c>
      <c r="E77" s="9" t="s">
        <v>78</v>
      </c>
      <c r="F77" s="20" t="s">
        <v>989</v>
      </c>
      <c r="G77" s="43" t="s">
        <v>6</v>
      </c>
      <c r="H77" s="20">
        <v>2500</v>
      </c>
      <c r="I77" s="20"/>
      <c r="J77" s="20">
        <v>1312</v>
      </c>
      <c r="K77" s="20">
        <f t="shared" si="2"/>
        <v>109.33333333333333</v>
      </c>
      <c r="L77" s="20">
        <v>441</v>
      </c>
      <c r="M77" s="20">
        <v>43331</v>
      </c>
      <c r="N77" s="20">
        <v>0</v>
      </c>
      <c r="O77" s="20">
        <v>2935</v>
      </c>
    </row>
    <row r="78" spans="1:15" s="5" customFormat="1" ht="12.65" customHeight="1">
      <c r="A78" s="22" t="s">
        <v>834</v>
      </c>
      <c r="B78" s="21" t="s">
        <v>835</v>
      </c>
      <c r="C78" s="23" t="s">
        <v>75</v>
      </c>
      <c r="D78" s="23" t="s">
        <v>77</v>
      </c>
      <c r="E78" s="9" t="s">
        <v>97</v>
      </c>
      <c r="F78" s="20" t="s">
        <v>1005</v>
      </c>
      <c r="G78" s="43" t="s">
        <v>60</v>
      </c>
      <c r="H78" s="20">
        <v>3000</v>
      </c>
      <c r="I78" s="20"/>
      <c r="J78" s="20">
        <v>570</v>
      </c>
      <c r="K78" s="20">
        <f t="shared" si="2"/>
        <v>47.5</v>
      </c>
      <c r="L78" s="20">
        <v>118</v>
      </c>
      <c r="M78" s="20">
        <v>0</v>
      </c>
      <c r="N78" s="20">
        <v>25555</v>
      </c>
      <c r="O78" s="20">
        <v>1065</v>
      </c>
    </row>
    <row r="79" spans="1:15" s="5" customFormat="1" ht="12.65" customHeight="1">
      <c r="A79" s="22" t="s">
        <v>229</v>
      </c>
      <c r="B79" s="21" t="s">
        <v>230</v>
      </c>
      <c r="C79" s="23" t="s">
        <v>75</v>
      </c>
      <c r="D79" s="23" t="s">
        <v>77</v>
      </c>
      <c r="E79" s="9" t="s">
        <v>97</v>
      </c>
      <c r="F79" s="20" t="s">
        <v>1005</v>
      </c>
      <c r="G79" s="43" t="s">
        <v>50</v>
      </c>
      <c r="H79" s="20">
        <v>35000</v>
      </c>
      <c r="I79" s="20"/>
      <c r="J79" s="20">
        <v>1540</v>
      </c>
      <c r="K79" s="20">
        <f t="shared" si="2"/>
        <v>128.33333333333334</v>
      </c>
      <c r="L79" s="20">
        <v>131</v>
      </c>
      <c r="M79" s="20">
        <v>0</v>
      </c>
      <c r="N79" s="20">
        <v>353683</v>
      </c>
      <c r="O79" s="20">
        <v>4354</v>
      </c>
    </row>
    <row r="80" spans="1:15" s="5" customFormat="1" ht="12.65" customHeight="1">
      <c r="A80" s="22" t="s">
        <v>231</v>
      </c>
      <c r="B80" s="21" t="s">
        <v>232</v>
      </c>
      <c r="C80" s="23" t="s">
        <v>75</v>
      </c>
      <c r="D80" s="23" t="s">
        <v>77</v>
      </c>
      <c r="E80" s="9" t="s">
        <v>97</v>
      </c>
      <c r="F80" s="20" t="s">
        <v>1005</v>
      </c>
      <c r="G80" s="43" t="s">
        <v>54</v>
      </c>
      <c r="H80" s="20">
        <v>12000</v>
      </c>
      <c r="I80" s="20"/>
      <c r="J80" s="20">
        <v>525</v>
      </c>
      <c r="K80" s="20">
        <f t="shared" si="2"/>
        <v>43.75</v>
      </c>
      <c r="L80" s="20">
        <v>108</v>
      </c>
      <c r="M80" s="20">
        <v>21677</v>
      </c>
      <c r="N80" s="20">
        <v>87266</v>
      </c>
      <c r="O80" s="20">
        <v>1161</v>
      </c>
    </row>
    <row r="81" spans="1:15" s="5" customFormat="1" ht="12.65" customHeight="1">
      <c r="A81" s="22" t="s">
        <v>233</v>
      </c>
      <c r="B81" s="21" t="s">
        <v>234</v>
      </c>
      <c r="C81" s="23" t="s">
        <v>75</v>
      </c>
      <c r="D81" s="23" t="s">
        <v>77</v>
      </c>
      <c r="E81" s="9" t="s">
        <v>97</v>
      </c>
      <c r="F81" s="20" t="s">
        <v>989</v>
      </c>
      <c r="G81" s="43" t="s">
        <v>54</v>
      </c>
      <c r="H81" s="20">
        <v>10000</v>
      </c>
      <c r="I81" s="20"/>
      <c r="J81" s="20">
        <v>528</v>
      </c>
      <c r="K81" s="20">
        <f t="shared" si="2"/>
        <v>44</v>
      </c>
      <c r="L81" s="20">
        <v>92</v>
      </c>
      <c r="M81" s="20">
        <v>22596</v>
      </c>
      <c r="N81" s="20">
        <v>67393</v>
      </c>
      <c r="O81" s="20">
        <v>1308</v>
      </c>
    </row>
    <row r="82" spans="1:15" s="5" customFormat="1" ht="12.65" customHeight="1">
      <c r="A82" s="22" t="s">
        <v>235</v>
      </c>
      <c r="B82" s="21" t="s">
        <v>236</v>
      </c>
      <c r="C82" s="23" t="s">
        <v>75</v>
      </c>
      <c r="D82" s="23" t="s">
        <v>77</v>
      </c>
      <c r="E82" s="9" t="s">
        <v>78</v>
      </c>
      <c r="F82" s="20" t="s">
        <v>989</v>
      </c>
      <c r="G82" s="43" t="s">
        <v>12</v>
      </c>
      <c r="H82" s="20">
        <v>5500</v>
      </c>
      <c r="I82" s="20"/>
      <c r="J82" s="20">
        <v>566</v>
      </c>
      <c r="K82" s="20">
        <f t="shared" si="2"/>
        <v>47.166666666666664</v>
      </c>
      <c r="L82" s="20">
        <v>566</v>
      </c>
      <c r="M82" s="20">
        <v>566</v>
      </c>
      <c r="N82" s="20">
        <v>566</v>
      </c>
      <c r="O82" s="20">
        <v>566</v>
      </c>
    </row>
    <row r="83" spans="1:15" s="5" customFormat="1" ht="12.65" customHeight="1">
      <c r="A83" s="22" t="s">
        <v>237</v>
      </c>
      <c r="B83" s="21" t="s">
        <v>238</v>
      </c>
      <c r="C83" s="23" t="s">
        <v>75</v>
      </c>
      <c r="D83" s="23" t="s">
        <v>77</v>
      </c>
      <c r="E83" s="9" t="s">
        <v>97</v>
      </c>
      <c r="F83" s="20" t="s">
        <v>1006</v>
      </c>
      <c r="G83" s="43" t="s">
        <v>54</v>
      </c>
      <c r="H83" s="20">
        <v>10000</v>
      </c>
      <c r="I83" s="20"/>
      <c r="J83" s="20">
        <v>558</v>
      </c>
      <c r="K83" s="20">
        <f t="shared" si="2"/>
        <v>46.5</v>
      </c>
      <c r="L83" s="20">
        <v>122</v>
      </c>
      <c r="M83" s="20">
        <v>21275</v>
      </c>
      <c r="N83" s="20">
        <v>68644</v>
      </c>
      <c r="O83" s="20">
        <v>1436</v>
      </c>
    </row>
    <row r="84" spans="1:15" s="5" customFormat="1" ht="12.65" customHeight="1">
      <c r="A84" s="22" t="s">
        <v>239</v>
      </c>
      <c r="B84" s="21" t="s">
        <v>240</v>
      </c>
      <c r="C84" s="23" t="s">
        <v>75</v>
      </c>
      <c r="D84" s="23" t="s">
        <v>77</v>
      </c>
      <c r="E84" s="9" t="s">
        <v>78</v>
      </c>
      <c r="F84" s="20" t="s">
        <v>989</v>
      </c>
      <c r="G84" s="43" t="s">
        <v>6</v>
      </c>
      <c r="H84" s="20">
        <v>3500</v>
      </c>
      <c r="I84" s="20"/>
      <c r="J84" s="20">
        <v>2658</v>
      </c>
      <c r="K84" s="20">
        <f t="shared" si="2"/>
        <v>221.5</v>
      </c>
      <c r="L84" s="20">
        <v>470</v>
      </c>
      <c r="M84" s="20">
        <v>43331</v>
      </c>
      <c r="N84" s="20">
        <v>0</v>
      </c>
      <c r="O84" s="20">
        <v>7190</v>
      </c>
    </row>
    <row r="85" spans="1:15" s="5" customFormat="1" ht="12.65" customHeight="1">
      <c r="A85" s="22" t="s">
        <v>241</v>
      </c>
      <c r="B85" s="21" t="s">
        <v>242</v>
      </c>
      <c r="C85" s="23" t="s">
        <v>75</v>
      </c>
      <c r="D85" s="23" t="s">
        <v>77</v>
      </c>
      <c r="E85" s="9" t="s">
        <v>97</v>
      </c>
      <c r="F85" s="20" t="s">
        <v>1005</v>
      </c>
      <c r="G85" s="43" t="s">
        <v>54</v>
      </c>
      <c r="H85" s="20">
        <v>10000</v>
      </c>
      <c r="I85" s="20"/>
      <c r="J85" s="20">
        <v>447</v>
      </c>
      <c r="K85" s="20">
        <f t="shared" si="2"/>
        <v>37.25</v>
      </c>
      <c r="L85" s="20">
        <v>94</v>
      </c>
      <c r="M85" s="20">
        <v>21677</v>
      </c>
      <c r="N85" s="20">
        <v>68804</v>
      </c>
      <c r="O85" s="20">
        <v>960</v>
      </c>
    </row>
    <row r="86" spans="1:15" s="5" customFormat="1" ht="12.65" customHeight="1">
      <c r="A86" s="22" t="s">
        <v>243</v>
      </c>
      <c r="B86" s="21" t="s">
        <v>244</v>
      </c>
      <c r="C86" s="23" t="s">
        <v>75</v>
      </c>
      <c r="D86" s="23" t="s">
        <v>77</v>
      </c>
      <c r="E86" s="9" t="s">
        <v>78</v>
      </c>
      <c r="F86" s="20" t="s">
        <v>989</v>
      </c>
      <c r="G86" s="43" t="s">
        <v>6</v>
      </c>
      <c r="H86" s="20">
        <v>3000</v>
      </c>
      <c r="I86" s="20"/>
      <c r="J86" s="20">
        <v>3343</v>
      </c>
      <c r="K86" s="20">
        <f t="shared" si="2"/>
        <v>278.58333333333331</v>
      </c>
      <c r="L86" s="20">
        <v>656</v>
      </c>
      <c r="M86" s="20">
        <v>43331</v>
      </c>
      <c r="N86" s="20">
        <v>0</v>
      </c>
      <c r="O86" s="20">
        <v>7987</v>
      </c>
    </row>
    <row r="87" spans="1:15" s="5" customFormat="1" ht="12.65" customHeight="1">
      <c r="A87" s="22" t="s">
        <v>245</v>
      </c>
      <c r="B87" s="21" t="s">
        <v>246</v>
      </c>
      <c r="C87" s="23" t="s">
        <v>75</v>
      </c>
      <c r="D87" s="23" t="s">
        <v>77</v>
      </c>
      <c r="E87" s="9" t="s">
        <v>78</v>
      </c>
      <c r="F87" s="20" t="s">
        <v>989</v>
      </c>
      <c r="G87" s="43" t="s">
        <v>6</v>
      </c>
      <c r="H87" s="20">
        <v>3500</v>
      </c>
      <c r="I87" s="20"/>
      <c r="J87" s="20">
        <v>2658</v>
      </c>
      <c r="K87" s="20">
        <f t="shared" si="2"/>
        <v>221.5</v>
      </c>
      <c r="L87" s="20">
        <v>470</v>
      </c>
      <c r="M87" s="20">
        <v>43331</v>
      </c>
      <c r="N87" s="20">
        <v>0</v>
      </c>
      <c r="O87" s="20">
        <v>7190</v>
      </c>
    </row>
    <row r="88" spans="1:15" s="5" customFormat="1" ht="12.65" customHeight="1">
      <c r="A88" s="22" t="s">
        <v>247</v>
      </c>
      <c r="B88" s="21" t="s">
        <v>248</v>
      </c>
      <c r="C88" s="23" t="s">
        <v>75</v>
      </c>
      <c r="D88" s="23" t="s">
        <v>77</v>
      </c>
      <c r="E88" s="9" t="s">
        <v>97</v>
      </c>
      <c r="F88" s="20" t="s">
        <v>1005</v>
      </c>
      <c r="G88" s="43" t="s">
        <v>54</v>
      </c>
      <c r="H88" s="20">
        <v>13000</v>
      </c>
      <c r="I88" s="20"/>
      <c r="J88" s="20">
        <v>859</v>
      </c>
      <c r="K88" s="20">
        <f t="shared" si="2"/>
        <v>71.583333333333329</v>
      </c>
      <c r="L88" s="20">
        <v>106</v>
      </c>
      <c r="M88" s="20">
        <v>21677</v>
      </c>
      <c r="N88" s="20">
        <v>96205</v>
      </c>
      <c r="O88" s="20">
        <v>2110</v>
      </c>
    </row>
    <row r="89" spans="1:15" s="5" customFormat="1" ht="12.65" customHeight="1">
      <c r="A89" s="22" t="s">
        <v>249</v>
      </c>
      <c r="B89" s="21" t="s">
        <v>250</v>
      </c>
      <c r="C89" s="23" t="s">
        <v>75</v>
      </c>
      <c r="D89" s="23" t="s">
        <v>77</v>
      </c>
      <c r="E89" s="9" t="s">
        <v>97</v>
      </c>
      <c r="F89" s="20" t="s">
        <v>989</v>
      </c>
      <c r="G89" s="43" t="s">
        <v>54</v>
      </c>
      <c r="H89" s="20">
        <v>9000</v>
      </c>
      <c r="I89" s="20"/>
      <c r="J89" s="20">
        <v>443</v>
      </c>
      <c r="K89" s="20">
        <f t="shared" si="2"/>
        <v>36.916666666666664</v>
      </c>
      <c r="L89" s="20">
        <v>82</v>
      </c>
      <c r="M89" s="20">
        <v>22596</v>
      </c>
      <c r="N89" s="20">
        <v>58727</v>
      </c>
      <c r="O89" s="20">
        <v>1046</v>
      </c>
    </row>
    <row r="90" spans="1:15" s="5" customFormat="1" ht="12.65" customHeight="1">
      <c r="A90" s="22" t="s">
        <v>251</v>
      </c>
      <c r="B90" s="21" t="s">
        <v>252</v>
      </c>
      <c r="C90" s="23" t="s">
        <v>75</v>
      </c>
      <c r="D90" s="23" t="s">
        <v>77</v>
      </c>
      <c r="E90" s="9" t="s">
        <v>78</v>
      </c>
      <c r="F90" s="20" t="s">
        <v>1006</v>
      </c>
      <c r="G90" s="43" t="s">
        <v>7</v>
      </c>
      <c r="H90" s="20">
        <v>5000</v>
      </c>
      <c r="I90" s="20"/>
      <c r="J90" s="20">
        <v>5434</v>
      </c>
      <c r="K90" s="20">
        <f t="shared" si="2"/>
        <v>452.83333333333331</v>
      </c>
      <c r="L90" s="20">
        <v>979</v>
      </c>
      <c r="M90" s="20">
        <v>47844</v>
      </c>
      <c r="N90" s="20">
        <v>0</v>
      </c>
      <c r="O90" s="20">
        <v>13404</v>
      </c>
    </row>
    <row r="91" spans="1:15" s="5" customFormat="1" ht="12.65" customHeight="1">
      <c r="A91" s="22" t="s">
        <v>171</v>
      </c>
      <c r="B91" s="21" t="s">
        <v>172</v>
      </c>
      <c r="C91" s="23" t="s">
        <v>75</v>
      </c>
      <c r="D91" s="23" t="s">
        <v>77</v>
      </c>
      <c r="E91" s="9" t="s">
        <v>78</v>
      </c>
      <c r="F91" s="20" t="s">
        <v>1005</v>
      </c>
      <c r="G91" s="43" t="s">
        <v>8</v>
      </c>
      <c r="H91" s="20">
        <v>4000</v>
      </c>
      <c r="I91" s="20"/>
      <c r="J91" s="20">
        <v>3237</v>
      </c>
      <c r="K91" s="20">
        <f t="shared" si="2"/>
        <v>269.75</v>
      </c>
      <c r="L91" s="20">
        <v>506</v>
      </c>
      <c r="M91" s="20">
        <v>54703</v>
      </c>
      <c r="N91" s="20">
        <v>0</v>
      </c>
      <c r="O91" s="20">
        <v>8290</v>
      </c>
    </row>
    <row r="92" spans="1:15" s="5" customFormat="1" ht="12.65" customHeight="1">
      <c r="A92" s="22" t="s">
        <v>255</v>
      </c>
      <c r="B92" s="21" t="s">
        <v>256</v>
      </c>
      <c r="C92" s="23" t="s">
        <v>75</v>
      </c>
      <c r="D92" s="23" t="s">
        <v>77</v>
      </c>
      <c r="E92" s="9" t="s">
        <v>78</v>
      </c>
      <c r="F92" s="20" t="s">
        <v>989</v>
      </c>
      <c r="G92" s="43" t="s">
        <v>6</v>
      </c>
      <c r="H92" s="20">
        <v>3500</v>
      </c>
      <c r="I92" s="20"/>
      <c r="J92" s="20">
        <v>2338</v>
      </c>
      <c r="K92" s="20">
        <f t="shared" si="2"/>
        <v>194.83333333333334</v>
      </c>
      <c r="L92" s="20">
        <v>687</v>
      </c>
      <c r="M92" s="20">
        <v>43331</v>
      </c>
      <c r="N92" s="20">
        <v>0</v>
      </c>
      <c r="O92" s="20">
        <v>5372</v>
      </c>
    </row>
    <row r="93" spans="1:15" s="5" customFormat="1" ht="12.65" customHeight="1">
      <c r="A93" s="22" t="s">
        <v>257</v>
      </c>
      <c r="B93" s="21" t="s">
        <v>258</v>
      </c>
      <c r="C93" s="23" t="s">
        <v>75</v>
      </c>
      <c r="D93" s="23" t="s">
        <v>77</v>
      </c>
      <c r="E93" s="9" t="s">
        <v>97</v>
      </c>
      <c r="F93" s="20" t="s">
        <v>1006</v>
      </c>
      <c r="G93" s="43" t="s">
        <v>54</v>
      </c>
      <c r="H93" s="20">
        <v>16000</v>
      </c>
      <c r="I93" s="20"/>
      <c r="J93" s="20">
        <v>1053</v>
      </c>
      <c r="K93" s="20">
        <f t="shared" si="2"/>
        <v>87.75</v>
      </c>
      <c r="L93" s="20">
        <v>183</v>
      </c>
      <c r="M93" s="20">
        <v>21275</v>
      </c>
      <c r="N93" s="20">
        <v>126153</v>
      </c>
      <c r="O93" s="20">
        <v>2704</v>
      </c>
    </row>
    <row r="94" spans="1:15" s="5" customFormat="1" ht="12.65" customHeight="1">
      <c r="A94" s="22" t="s">
        <v>259</v>
      </c>
      <c r="B94" s="21" t="s">
        <v>260</v>
      </c>
      <c r="C94" s="23" t="s">
        <v>75</v>
      </c>
      <c r="D94" s="23" t="s">
        <v>77</v>
      </c>
      <c r="E94" s="9" t="s">
        <v>78</v>
      </c>
      <c r="F94" s="20" t="s">
        <v>989</v>
      </c>
      <c r="G94" s="43" t="s">
        <v>6</v>
      </c>
      <c r="H94" s="20">
        <v>3500</v>
      </c>
      <c r="I94" s="20"/>
      <c r="J94" s="20">
        <v>2338</v>
      </c>
      <c r="K94" s="20">
        <f t="shared" si="2"/>
        <v>194.83333333333334</v>
      </c>
      <c r="L94" s="20">
        <v>687</v>
      </c>
      <c r="M94" s="20">
        <v>43331</v>
      </c>
      <c r="N94" s="20">
        <v>0</v>
      </c>
      <c r="O94" s="20">
        <v>5372</v>
      </c>
    </row>
    <row r="95" spans="1:15" s="5" customFormat="1" ht="12.65" customHeight="1">
      <c r="A95" s="22" t="s">
        <v>261</v>
      </c>
      <c r="B95" s="21" t="s">
        <v>262</v>
      </c>
      <c r="C95" s="23" t="s">
        <v>75</v>
      </c>
      <c r="D95" s="23" t="s">
        <v>77</v>
      </c>
      <c r="E95" s="9" t="s">
        <v>97</v>
      </c>
      <c r="F95" s="20" t="s">
        <v>1005</v>
      </c>
      <c r="G95" s="43" t="s">
        <v>54</v>
      </c>
      <c r="H95" s="20">
        <v>8000</v>
      </c>
      <c r="I95" s="20"/>
      <c r="J95" s="20">
        <v>396</v>
      </c>
      <c r="K95" s="20">
        <f t="shared" si="2"/>
        <v>33</v>
      </c>
      <c r="L95" s="20">
        <v>112</v>
      </c>
      <c r="M95" s="20">
        <v>21677</v>
      </c>
      <c r="N95" s="20">
        <v>51223</v>
      </c>
      <c r="O95" s="20">
        <v>846</v>
      </c>
    </row>
    <row r="96" spans="1:15" s="5" customFormat="1" ht="12.65" customHeight="1">
      <c r="A96" s="22" t="s">
        <v>263</v>
      </c>
      <c r="B96" s="21" t="s">
        <v>264</v>
      </c>
      <c r="C96" s="23" t="s">
        <v>75</v>
      </c>
      <c r="D96" s="23" t="s">
        <v>77</v>
      </c>
      <c r="E96" s="9" t="s">
        <v>97</v>
      </c>
      <c r="F96" s="20" t="s">
        <v>1007</v>
      </c>
      <c r="G96" s="43" t="s">
        <v>62</v>
      </c>
      <c r="H96" s="20">
        <v>11000</v>
      </c>
      <c r="I96" s="20"/>
      <c r="J96" s="20">
        <v>932</v>
      </c>
      <c r="K96" s="20">
        <f t="shared" si="2"/>
        <v>77.666666666666671</v>
      </c>
      <c r="L96" s="20">
        <v>226</v>
      </c>
      <c r="M96" s="20">
        <v>11469</v>
      </c>
      <c r="N96" s="20">
        <v>87429</v>
      </c>
      <c r="O96" s="20">
        <v>2105</v>
      </c>
    </row>
    <row r="97" spans="1:15" s="5" customFormat="1" ht="12.65" customHeight="1">
      <c r="A97" s="22" t="s">
        <v>265</v>
      </c>
      <c r="B97" s="21" t="s">
        <v>266</v>
      </c>
      <c r="C97" s="23" t="s">
        <v>75</v>
      </c>
      <c r="D97" s="23" t="s">
        <v>77</v>
      </c>
      <c r="E97" s="9" t="s">
        <v>97</v>
      </c>
      <c r="F97" s="20" t="s">
        <v>1007</v>
      </c>
      <c r="G97" s="43" t="s">
        <v>54</v>
      </c>
      <c r="H97" s="20">
        <v>13000</v>
      </c>
      <c r="I97" s="20"/>
      <c r="J97" s="20">
        <v>981</v>
      </c>
      <c r="K97" s="20">
        <f t="shared" si="2"/>
        <v>81.75</v>
      </c>
      <c r="L97" s="20">
        <v>174</v>
      </c>
      <c r="M97" s="20">
        <v>22938</v>
      </c>
      <c r="N97" s="20">
        <v>93959</v>
      </c>
      <c r="O97" s="20">
        <v>2482</v>
      </c>
    </row>
    <row r="98" spans="1:15" s="5" customFormat="1" ht="12.65" customHeight="1">
      <c r="A98" s="22" t="s">
        <v>267</v>
      </c>
      <c r="B98" s="21" t="s">
        <v>268</v>
      </c>
      <c r="C98" s="23" t="s">
        <v>75</v>
      </c>
      <c r="D98" s="23" t="s">
        <v>77</v>
      </c>
      <c r="E98" s="9" t="s">
        <v>97</v>
      </c>
      <c r="F98" s="20" t="s">
        <v>989</v>
      </c>
      <c r="G98" s="43" t="s">
        <v>54</v>
      </c>
      <c r="H98" s="20">
        <v>22000</v>
      </c>
      <c r="I98" s="20"/>
      <c r="J98" s="20">
        <v>1498</v>
      </c>
      <c r="K98" s="20">
        <f t="shared" si="2"/>
        <v>124.83333333333333</v>
      </c>
      <c r="L98" s="20">
        <v>160</v>
      </c>
      <c r="M98" s="20">
        <v>22596</v>
      </c>
      <c r="N98" s="20">
        <v>189715</v>
      </c>
      <c r="O98" s="20">
        <v>3957</v>
      </c>
    </row>
    <row r="99" spans="1:15" s="5" customFormat="1" ht="12.65" customHeight="1">
      <c r="A99" s="22" t="s">
        <v>269</v>
      </c>
      <c r="B99" s="21" t="s">
        <v>270</v>
      </c>
      <c r="C99" s="23" t="s">
        <v>75</v>
      </c>
      <c r="D99" s="23" t="s">
        <v>77</v>
      </c>
      <c r="E99" s="9" t="s">
        <v>78</v>
      </c>
      <c r="F99" s="20" t="s">
        <v>989</v>
      </c>
      <c r="G99" s="43" t="s">
        <v>12</v>
      </c>
      <c r="H99" s="20">
        <v>7000</v>
      </c>
      <c r="I99" s="20"/>
      <c r="J99" s="20">
        <v>595</v>
      </c>
      <c r="K99" s="20">
        <f t="shared" si="2"/>
        <v>49.583333333333336</v>
      </c>
      <c r="L99" s="20">
        <v>595</v>
      </c>
      <c r="M99" s="20">
        <v>595</v>
      </c>
      <c r="N99" s="20">
        <v>595</v>
      </c>
      <c r="O99" s="20">
        <v>595</v>
      </c>
    </row>
    <row r="100" spans="1:15" s="5" customFormat="1" ht="12.65" customHeight="1">
      <c r="A100" s="22" t="s">
        <v>271</v>
      </c>
      <c r="B100" s="21" t="s">
        <v>272</v>
      </c>
      <c r="C100" s="23" t="s">
        <v>75</v>
      </c>
      <c r="D100" s="23" t="s">
        <v>77</v>
      </c>
      <c r="E100" s="9" t="s">
        <v>97</v>
      </c>
      <c r="F100" s="20" t="s">
        <v>1005</v>
      </c>
      <c r="G100" s="43" t="s">
        <v>54</v>
      </c>
      <c r="H100" s="20">
        <v>6000</v>
      </c>
      <c r="I100" s="20"/>
      <c r="J100" s="20">
        <v>337</v>
      </c>
      <c r="K100" s="20">
        <f t="shared" si="2"/>
        <v>28.083333333333332</v>
      </c>
      <c r="L100" s="20">
        <v>109</v>
      </c>
      <c r="M100" s="20">
        <v>21677</v>
      </c>
      <c r="N100" s="20">
        <v>35366</v>
      </c>
      <c r="O100" s="20">
        <v>665</v>
      </c>
    </row>
    <row r="101" spans="1:15" s="5" customFormat="1" ht="12.65" customHeight="1">
      <c r="A101" s="22" t="s">
        <v>273</v>
      </c>
      <c r="B101" s="21" t="s">
        <v>274</v>
      </c>
      <c r="C101" s="23" t="s">
        <v>75</v>
      </c>
      <c r="D101" s="23" t="s">
        <v>77</v>
      </c>
      <c r="E101" s="9" t="s">
        <v>78</v>
      </c>
      <c r="F101" s="20" t="s">
        <v>989</v>
      </c>
      <c r="G101" s="43" t="s">
        <v>6</v>
      </c>
      <c r="H101" s="20">
        <v>3500</v>
      </c>
      <c r="I101" s="20"/>
      <c r="J101" s="20">
        <v>2658</v>
      </c>
      <c r="K101" s="20">
        <f t="shared" si="2"/>
        <v>221.5</v>
      </c>
      <c r="L101" s="20">
        <v>470</v>
      </c>
      <c r="M101" s="20">
        <v>43331</v>
      </c>
      <c r="N101" s="20">
        <v>0</v>
      </c>
      <c r="O101" s="20">
        <v>7190</v>
      </c>
    </row>
    <row r="102" spans="1:15" s="5" customFormat="1" ht="12.65" customHeight="1">
      <c r="A102" s="22" t="s">
        <v>664</v>
      </c>
      <c r="B102" s="21" t="s">
        <v>665</v>
      </c>
      <c r="C102" s="23" t="s">
        <v>75</v>
      </c>
      <c r="D102" s="23" t="s">
        <v>77</v>
      </c>
      <c r="E102" s="9" t="s">
        <v>97</v>
      </c>
      <c r="F102" s="20" t="s">
        <v>1005</v>
      </c>
      <c r="G102" s="43" t="s">
        <v>60</v>
      </c>
      <c r="H102" s="20">
        <v>3500</v>
      </c>
      <c r="I102" s="20"/>
      <c r="J102" s="20">
        <v>644</v>
      </c>
      <c r="K102" s="20">
        <f t="shared" si="2"/>
        <v>53.666666666666664</v>
      </c>
      <c r="L102" s="20">
        <v>134</v>
      </c>
      <c r="M102" s="20">
        <v>0</v>
      </c>
      <c r="N102" s="20">
        <v>32456</v>
      </c>
      <c r="O102" s="20">
        <v>1204</v>
      </c>
    </row>
    <row r="103" spans="1:15" s="5" customFormat="1" ht="12.65" customHeight="1">
      <c r="A103" s="22" t="s">
        <v>277</v>
      </c>
      <c r="B103" s="21" t="s">
        <v>278</v>
      </c>
      <c r="C103" s="23" t="s">
        <v>75</v>
      </c>
      <c r="D103" s="23" t="s">
        <v>77</v>
      </c>
      <c r="E103" s="9" t="s">
        <v>97</v>
      </c>
      <c r="F103" s="20" t="s">
        <v>1006</v>
      </c>
      <c r="G103" s="43" t="s">
        <v>54</v>
      </c>
      <c r="H103" s="20">
        <v>11000</v>
      </c>
      <c r="I103" s="20"/>
      <c r="J103" s="20">
        <v>963</v>
      </c>
      <c r="K103" s="20">
        <f t="shared" si="2"/>
        <v>80.25</v>
      </c>
      <c r="L103" s="20">
        <v>110</v>
      </c>
      <c r="M103" s="20">
        <v>21275</v>
      </c>
      <c r="N103" s="20">
        <v>77365</v>
      </c>
      <c r="O103" s="20">
        <v>2459</v>
      </c>
    </row>
    <row r="104" spans="1:15" s="5" customFormat="1" ht="12.65" customHeight="1">
      <c r="A104" s="22" t="s">
        <v>123</v>
      </c>
      <c r="B104" s="21" t="s">
        <v>124</v>
      </c>
      <c r="C104" s="23" t="s">
        <v>75</v>
      </c>
      <c r="D104" s="23" t="s">
        <v>77</v>
      </c>
      <c r="E104" s="9" t="s">
        <v>78</v>
      </c>
      <c r="F104" s="20" t="s">
        <v>1006</v>
      </c>
      <c r="G104" s="43" t="s">
        <v>6</v>
      </c>
      <c r="H104" s="20">
        <v>3000</v>
      </c>
      <c r="I104" s="20"/>
      <c r="J104" s="20">
        <v>3866</v>
      </c>
      <c r="K104" s="20">
        <f t="shared" si="2"/>
        <v>322.16666666666669</v>
      </c>
      <c r="L104" s="20">
        <v>682</v>
      </c>
      <c r="M104" s="20">
        <v>40792</v>
      </c>
      <c r="N104" s="20">
        <v>0</v>
      </c>
      <c r="O104" s="20">
        <v>10034</v>
      </c>
    </row>
    <row r="105" spans="1:15" s="5" customFormat="1" ht="12.65" customHeight="1">
      <c r="A105" s="22" t="s">
        <v>281</v>
      </c>
      <c r="B105" s="21" t="s">
        <v>282</v>
      </c>
      <c r="C105" s="23" t="s">
        <v>75</v>
      </c>
      <c r="D105" s="23" t="s">
        <v>77</v>
      </c>
      <c r="E105" s="9" t="s">
        <v>78</v>
      </c>
      <c r="F105" s="20" t="s">
        <v>1005</v>
      </c>
      <c r="G105" s="43" t="s">
        <v>6</v>
      </c>
      <c r="H105" s="20">
        <v>3000</v>
      </c>
      <c r="I105" s="20"/>
      <c r="J105" s="20">
        <v>3740</v>
      </c>
      <c r="K105" s="20">
        <f t="shared" si="2"/>
        <v>311.66666666666669</v>
      </c>
      <c r="L105" s="20">
        <v>716</v>
      </c>
      <c r="M105" s="20">
        <v>41967</v>
      </c>
      <c r="N105" s="20">
        <v>0</v>
      </c>
      <c r="O105" s="20">
        <v>9026</v>
      </c>
    </row>
    <row r="106" spans="1:15" s="5" customFormat="1" ht="12.65" customHeight="1">
      <c r="A106" s="22" t="s">
        <v>283</v>
      </c>
      <c r="B106" s="21" t="s">
        <v>284</v>
      </c>
      <c r="C106" s="23" t="s">
        <v>75</v>
      </c>
      <c r="D106" s="23" t="s">
        <v>77</v>
      </c>
      <c r="E106" s="9" t="s">
        <v>78</v>
      </c>
      <c r="F106" s="20" t="s">
        <v>1007</v>
      </c>
      <c r="G106" s="43" t="s">
        <v>5</v>
      </c>
      <c r="H106" s="20">
        <v>4000</v>
      </c>
      <c r="I106" s="20"/>
      <c r="J106" s="20">
        <v>4707</v>
      </c>
      <c r="K106" s="20">
        <f t="shared" si="2"/>
        <v>392.25</v>
      </c>
      <c r="L106" s="20">
        <v>861</v>
      </c>
      <c r="M106" s="20">
        <v>38237</v>
      </c>
      <c r="N106" s="20">
        <v>0</v>
      </c>
      <c r="O106" s="20">
        <v>11559</v>
      </c>
    </row>
    <row r="107" spans="1:15" s="5" customFormat="1" ht="12.65" customHeight="1">
      <c r="A107" s="22" t="s">
        <v>285</v>
      </c>
      <c r="B107" s="21" t="s">
        <v>286</v>
      </c>
      <c r="C107" s="23" t="s">
        <v>75</v>
      </c>
      <c r="D107" s="23" t="s">
        <v>77</v>
      </c>
      <c r="E107" s="9" t="s">
        <v>78</v>
      </c>
      <c r="F107" s="20" t="s">
        <v>989</v>
      </c>
      <c r="G107" s="43" t="s">
        <v>6</v>
      </c>
      <c r="H107" s="20">
        <v>3500</v>
      </c>
      <c r="I107" s="20"/>
      <c r="J107" s="20">
        <v>2658</v>
      </c>
      <c r="K107" s="20">
        <f t="shared" si="2"/>
        <v>221.5</v>
      </c>
      <c r="L107" s="20">
        <v>470</v>
      </c>
      <c r="M107" s="20">
        <v>43331</v>
      </c>
      <c r="N107" s="20">
        <v>0</v>
      </c>
      <c r="O107" s="20">
        <v>7190</v>
      </c>
    </row>
    <row r="108" spans="1:15" s="5" customFormat="1" ht="12.65" customHeight="1">
      <c r="A108" s="22" t="s">
        <v>287</v>
      </c>
      <c r="B108" s="21" t="s">
        <v>288</v>
      </c>
      <c r="C108" s="23" t="s">
        <v>75</v>
      </c>
      <c r="D108" s="23" t="s">
        <v>77</v>
      </c>
      <c r="E108" s="9" t="s">
        <v>78</v>
      </c>
      <c r="F108" s="20" t="s">
        <v>989</v>
      </c>
      <c r="G108" s="43" t="s">
        <v>6</v>
      </c>
      <c r="H108" s="20">
        <v>6500</v>
      </c>
      <c r="I108" s="20"/>
      <c r="J108" s="20">
        <v>13650</v>
      </c>
      <c r="K108" s="20">
        <f t="shared" si="2"/>
        <v>1137.5</v>
      </c>
      <c r="L108" s="20">
        <v>2257</v>
      </c>
      <c r="M108" s="20">
        <v>43331</v>
      </c>
      <c r="N108" s="20">
        <v>0</v>
      </c>
      <c r="O108" s="20">
        <v>34750</v>
      </c>
    </row>
    <row r="109" spans="1:15" s="5" customFormat="1" ht="12.65" customHeight="1">
      <c r="A109" s="22" t="s">
        <v>289</v>
      </c>
      <c r="B109" s="21" t="s">
        <v>290</v>
      </c>
      <c r="C109" s="23" t="s">
        <v>75</v>
      </c>
      <c r="D109" s="23" t="s">
        <v>77</v>
      </c>
      <c r="E109" s="9" t="s">
        <v>97</v>
      </c>
      <c r="F109" s="20" t="s">
        <v>1005</v>
      </c>
      <c r="G109" s="43" t="s">
        <v>52</v>
      </c>
      <c r="H109" s="20">
        <v>9000</v>
      </c>
      <c r="I109" s="20"/>
      <c r="J109" s="20">
        <v>345</v>
      </c>
      <c r="K109" s="20">
        <f t="shared" si="2"/>
        <v>28.75</v>
      </c>
      <c r="L109" s="20">
        <v>97</v>
      </c>
      <c r="M109" s="20">
        <v>10839</v>
      </c>
      <c r="N109" s="20">
        <v>70714</v>
      </c>
      <c r="O109" s="20">
        <v>741</v>
      </c>
    </row>
    <row r="110" spans="1:15" s="5" customFormat="1" ht="12.65" customHeight="1">
      <c r="A110" s="22" t="s">
        <v>894</v>
      </c>
      <c r="B110" s="21" t="s">
        <v>895</v>
      </c>
      <c r="C110" s="23" t="s">
        <v>75</v>
      </c>
      <c r="D110" s="23" t="s">
        <v>875</v>
      </c>
      <c r="E110" s="9" t="s">
        <v>78</v>
      </c>
      <c r="F110" s="20" t="s">
        <v>1007</v>
      </c>
      <c r="G110" s="43" t="s">
        <v>6</v>
      </c>
      <c r="H110" s="20">
        <v>3500</v>
      </c>
      <c r="I110" s="20"/>
      <c r="J110" s="20">
        <v>2465</v>
      </c>
      <c r="K110" s="20">
        <f t="shared" si="2"/>
        <v>205.41666666666666</v>
      </c>
      <c r="L110" s="20">
        <v>446</v>
      </c>
      <c r="M110" s="20">
        <v>43971</v>
      </c>
      <c r="N110" s="20">
        <v>0</v>
      </c>
      <c r="O110" s="20">
        <v>6610</v>
      </c>
    </row>
    <row r="111" spans="1:15" s="5" customFormat="1" ht="12.65" customHeight="1">
      <c r="A111" s="22" t="s">
        <v>293</v>
      </c>
      <c r="B111" s="21" t="s">
        <v>294</v>
      </c>
      <c r="C111" s="23" t="s">
        <v>75</v>
      </c>
      <c r="D111" s="23" t="s">
        <v>77</v>
      </c>
      <c r="E111" s="9" t="s">
        <v>97</v>
      </c>
      <c r="F111" s="20" t="s">
        <v>1005</v>
      </c>
      <c r="G111" s="43" t="s">
        <v>54</v>
      </c>
      <c r="H111" s="20">
        <v>14500</v>
      </c>
      <c r="I111" s="20"/>
      <c r="J111" s="20">
        <v>540</v>
      </c>
      <c r="K111" s="20">
        <f t="shared" si="2"/>
        <v>45</v>
      </c>
      <c r="L111" s="20">
        <v>126</v>
      </c>
      <c r="M111" s="20">
        <v>21677</v>
      </c>
      <c r="N111" s="20">
        <v>113031</v>
      </c>
      <c r="O111" s="20">
        <v>1332</v>
      </c>
    </row>
    <row r="112" spans="1:15" s="5" customFormat="1" ht="12.65" customHeight="1">
      <c r="A112" s="22" t="s">
        <v>295</v>
      </c>
      <c r="B112" s="21" t="s">
        <v>296</v>
      </c>
      <c r="C112" s="23" t="s">
        <v>75</v>
      </c>
      <c r="D112" s="23" t="s">
        <v>77</v>
      </c>
      <c r="E112" s="9" t="s">
        <v>78</v>
      </c>
      <c r="F112" s="20" t="s">
        <v>989</v>
      </c>
      <c r="G112" s="43" t="s">
        <v>6</v>
      </c>
      <c r="H112" s="20">
        <v>8000</v>
      </c>
      <c r="I112" s="20"/>
      <c r="J112" s="20">
        <v>17662</v>
      </c>
      <c r="K112" s="20">
        <f t="shared" si="2"/>
        <v>1471.8333333333333</v>
      </c>
      <c r="L112" s="20">
        <v>17662</v>
      </c>
      <c r="M112" s="20">
        <v>17662</v>
      </c>
      <c r="N112" s="20">
        <v>17662</v>
      </c>
      <c r="O112" s="20">
        <v>17662</v>
      </c>
    </row>
    <row r="113" spans="1:15" s="5" customFormat="1" ht="12.65" customHeight="1">
      <c r="A113" s="22" t="s">
        <v>297</v>
      </c>
      <c r="B113" s="21" t="s">
        <v>298</v>
      </c>
      <c r="C113" s="23" t="s">
        <v>75</v>
      </c>
      <c r="D113" s="23" t="s">
        <v>77</v>
      </c>
      <c r="E113" s="9" t="s">
        <v>97</v>
      </c>
      <c r="F113" s="20" t="s">
        <v>989</v>
      </c>
      <c r="G113" s="43" t="s">
        <v>54</v>
      </c>
      <c r="H113" s="20">
        <v>25000</v>
      </c>
      <c r="I113" s="20"/>
      <c r="J113" s="20">
        <v>1586</v>
      </c>
      <c r="K113" s="20">
        <f t="shared" si="2"/>
        <v>132.16666666666666</v>
      </c>
      <c r="L113" s="20">
        <v>169</v>
      </c>
      <c r="M113" s="20">
        <v>22596</v>
      </c>
      <c r="N113" s="20">
        <v>208345</v>
      </c>
      <c r="O113" s="20">
        <v>4195</v>
      </c>
    </row>
    <row r="114" spans="1:15" s="5" customFormat="1" ht="12.65" customHeight="1">
      <c r="A114" s="22" t="s">
        <v>299</v>
      </c>
      <c r="B114" s="21" t="s">
        <v>300</v>
      </c>
      <c r="C114" s="23" t="s">
        <v>75</v>
      </c>
      <c r="D114" s="23" t="s">
        <v>77</v>
      </c>
      <c r="E114" s="9" t="s">
        <v>78</v>
      </c>
      <c r="F114" s="20" t="s">
        <v>1005</v>
      </c>
      <c r="G114" s="43" t="s">
        <v>8</v>
      </c>
      <c r="H114" s="20">
        <v>5000</v>
      </c>
      <c r="I114" s="20"/>
      <c r="J114" s="20">
        <v>4493</v>
      </c>
      <c r="K114" s="20">
        <f t="shared" si="2"/>
        <v>374.41666666666669</v>
      </c>
      <c r="L114" s="20">
        <v>833</v>
      </c>
      <c r="M114" s="20">
        <v>54703</v>
      </c>
      <c r="N114" s="20">
        <v>0</v>
      </c>
      <c r="O114" s="20">
        <v>10958</v>
      </c>
    </row>
    <row r="115" spans="1:15" s="5" customFormat="1" ht="12.65" customHeight="1">
      <c r="A115" s="22" t="s">
        <v>301</v>
      </c>
      <c r="B115" s="21" t="s">
        <v>302</v>
      </c>
      <c r="C115" s="23" t="s">
        <v>75</v>
      </c>
      <c r="D115" s="23" t="s">
        <v>77</v>
      </c>
      <c r="E115" s="9" t="s">
        <v>97</v>
      </c>
      <c r="F115" s="20" t="s">
        <v>1005</v>
      </c>
      <c r="G115" s="43" t="s">
        <v>54</v>
      </c>
      <c r="H115" s="20">
        <v>6000</v>
      </c>
      <c r="I115" s="20"/>
      <c r="J115" s="20">
        <v>337</v>
      </c>
      <c r="K115" s="20">
        <f t="shared" si="2"/>
        <v>28.083333333333332</v>
      </c>
      <c r="L115" s="20">
        <v>109</v>
      </c>
      <c r="M115" s="20">
        <v>21677</v>
      </c>
      <c r="N115" s="20">
        <v>35366</v>
      </c>
      <c r="O115" s="20">
        <v>665</v>
      </c>
    </row>
    <row r="116" spans="1:15" s="5" customFormat="1" ht="12.65" customHeight="1">
      <c r="A116" s="22" t="s">
        <v>303</v>
      </c>
      <c r="B116" s="21" t="s">
        <v>304</v>
      </c>
      <c r="C116" s="23" t="s">
        <v>75</v>
      </c>
      <c r="D116" s="23" t="s">
        <v>77</v>
      </c>
      <c r="E116" s="9" t="s">
        <v>97</v>
      </c>
      <c r="F116" s="20" t="s">
        <v>1005</v>
      </c>
      <c r="G116" s="43" t="s">
        <v>50</v>
      </c>
      <c r="H116" s="20">
        <v>21000</v>
      </c>
      <c r="I116" s="20"/>
      <c r="J116" s="20">
        <v>901</v>
      </c>
      <c r="K116" s="20">
        <f t="shared" si="2"/>
        <v>75.083333333333329</v>
      </c>
      <c r="L116" s="20">
        <v>142</v>
      </c>
      <c r="M116" s="20">
        <v>0</v>
      </c>
      <c r="N116" s="20">
        <v>196436</v>
      </c>
      <c r="O116" s="20">
        <v>2362</v>
      </c>
    </row>
    <row r="117" spans="1:15" s="5" customFormat="1" ht="12.65" customHeight="1">
      <c r="A117" s="22" t="s">
        <v>305</v>
      </c>
      <c r="B117" s="21" t="s">
        <v>306</v>
      </c>
      <c r="C117" s="23" t="s">
        <v>75</v>
      </c>
      <c r="D117" s="23" t="s">
        <v>77</v>
      </c>
      <c r="E117" s="9" t="s">
        <v>97</v>
      </c>
      <c r="F117" s="20" t="s">
        <v>989</v>
      </c>
      <c r="G117" s="43" t="s">
        <v>54</v>
      </c>
      <c r="H117" s="20">
        <v>27000</v>
      </c>
      <c r="I117" s="20"/>
      <c r="J117" s="20">
        <v>1671</v>
      </c>
      <c r="K117" s="20">
        <f t="shared" si="2"/>
        <v>139.25</v>
      </c>
      <c r="L117" s="20">
        <v>174</v>
      </c>
      <c r="M117" s="20">
        <v>22596</v>
      </c>
      <c r="N117" s="20">
        <v>226961</v>
      </c>
      <c r="O117" s="20">
        <v>4464</v>
      </c>
    </row>
    <row r="118" spans="1:15" s="5" customFormat="1" ht="12.65" customHeight="1">
      <c r="A118" s="22" t="s">
        <v>307</v>
      </c>
      <c r="B118" s="21" t="s">
        <v>308</v>
      </c>
      <c r="C118" s="23" t="s">
        <v>75</v>
      </c>
      <c r="D118" s="23" t="s">
        <v>77</v>
      </c>
      <c r="E118" s="9" t="s">
        <v>97</v>
      </c>
      <c r="F118" s="20" t="s">
        <v>1005</v>
      </c>
      <c r="G118" s="43" t="s">
        <v>54</v>
      </c>
      <c r="H118" s="20">
        <v>6000</v>
      </c>
      <c r="I118" s="20"/>
      <c r="J118" s="20">
        <v>373</v>
      </c>
      <c r="K118" s="20">
        <f t="shared" si="2"/>
        <v>31.083333333333332</v>
      </c>
      <c r="L118" s="20">
        <v>109</v>
      </c>
      <c r="M118" s="20">
        <v>21677</v>
      </c>
      <c r="N118" s="20">
        <v>35263</v>
      </c>
      <c r="O118" s="20">
        <v>787</v>
      </c>
    </row>
    <row r="119" spans="1:15" s="5" customFormat="1" ht="12.65" customHeight="1">
      <c r="A119" s="22" t="s">
        <v>309</v>
      </c>
      <c r="B119" s="21" t="s">
        <v>310</v>
      </c>
      <c r="C119" s="23" t="s">
        <v>75</v>
      </c>
      <c r="D119" s="23" t="s">
        <v>77</v>
      </c>
      <c r="E119" s="9" t="s">
        <v>78</v>
      </c>
      <c r="F119" s="20" t="s">
        <v>989</v>
      </c>
      <c r="G119" s="43" t="s">
        <v>5</v>
      </c>
      <c r="H119" s="20">
        <v>5000</v>
      </c>
      <c r="I119" s="20"/>
      <c r="J119" s="20">
        <v>7437</v>
      </c>
      <c r="K119" s="20">
        <f t="shared" si="2"/>
        <v>619.75</v>
      </c>
      <c r="L119" s="20">
        <v>1281</v>
      </c>
      <c r="M119" s="20">
        <v>37680</v>
      </c>
      <c r="N119" s="20">
        <v>0</v>
      </c>
      <c r="O119" s="20">
        <v>18660</v>
      </c>
    </row>
    <row r="120" spans="1:15" s="5" customFormat="1" ht="12.65" customHeight="1">
      <c r="A120" s="22" t="s">
        <v>311</v>
      </c>
      <c r="B120" s="21" t="s">
        <v>312</v>
      </c>
      <c r="C120" s="23" t="s">
        <v>75</v>
      </c>
      <c r="D120" s="23" t="s">
        <v>77</v>
      </c>
      <c r="E120" s="9" t="s">
        <v>97</v>
      </c>
      <c r="F120" s="20" t="s">
        <v>989</v>
      </c>
      <c r="G120" s="43" t="s">
        <v>54</v>
      </c>
      <c r="H120" s="20">
        <v>15000</v>
      </c>
      <c r="I120" s="20"/>
      <c r="J120" s="20">
        <v>1066</v>
      </c>
      <c r="K120" s="20">
        <f t="shared" si="2"/>
        <v>88.833333333333329</v>
      </c>
      <c r="L120" s="20">
        <v>120</v>
      </c>
      <c r="M120" s="20">
        <v>22596</v>
      </c>
      <c r="N120" s="20">
        <v>113218</v>
      </c>
      <c r="O120" s="20">
        <v>2750</v>
      </c>
    </row>
    <row r="121" spans="1:15" s="5" customFormat="1" ht="12.65" customHeight="1">
      <c r="A121" s="22" t="s">
        <v>313</v>
      </c>
      <c r="B121" s="21" t="s">
        <v>314</v>
      </c>
      <c r="C121" s="23" t="s">
        <v>75</v>
      </c>
      <c r="D121" s="23" t="s">
        <v>77</v>
      </c>
      <c r="E121" s="9" t="s">
        <v>97</v>
      </c>
      <c r="F121" s="20" t="s">
        <v>989</v>
      </c>
      <c r="G121" s="43" t="s">
        <v>54</v>
      </c>
      <c r="H121" s="20">
        <v>18000</v>
      </c>
      <c r="I121" s="20"/>
      <c r="J121" s="20">
        <v>896</v>
      </c>
      <c r="K121" s="20">
        <f t="shared" si="2"/>
        <v>74.666666666666671</v>
      </c>
      <c r="L121" s="20">
        <v>172</v>
      </c>
      <c r="M121" s="20">
        <v>22596</v>
      </c>
      <c r="N121" s="20">
        <v>143863</v>
      </c>
      <c r="O121" s="20">
        <v>2487</v>
      </c>
    </row>
    <row r="122" spans="1:15" s="5" customFormat="1" ht="12.65" customHeight="1">
      <c r="A122" s="22" t="s">
        <v>315</v>
      </c>
      <c r="B122" s="21" t="s">
        <v>316</v>
      </c>
      <c r="C122" s="23" t="s">
        <v>75</v>
      </c>
      <c r="D122" s="23" t="s">
        <v>77</v>
      </c>
      <c r="E122" s="9" t="s">
        <v>97</v>
      </c>
      <c r="F122" s="20" t="s">
        <v>989</v>
      </c>
      <c r="G122" s="43" t="s">
        <v>53</v>
      </c>
      <c r="H122" s="20">
        <v>9000</v>
      </c>
      <c r="I122" s="20"/>
      <c r="J122" s="20">
        <v>463</v>
      </c>
      <c r="K122" s="20">
        <f t="shared" si="2"/>
        <v>38.583333333333336</v>
      </c>
      <c r="L122" s="20">
        <v>91</v>
      </c>
      <c r="M122" s="20">
        <v>16947</v>
      </c>
      <c r="N122" s="20">
        <v>63746</v>
      </c>
      <c r="O122" s="20">
        <v>1245</v>
      </c>
    </row>
    <row r="123" spans="1:15" s="5" customFormat="1" ht="12.65" customHeight="1">
      <c r="A123" s="22" t="s">
        <v>317</v>
      </c>
      <c r="B123" s="21" t="s">
        <v>318</v>
      </c>
      <c r="C123" s="23" t="s">
        <v>75</v>
      </c>
      <c r="D123" s="23" t="s">
        <v>77</v>
      </c>
      <c r="E123" s="9" t="s">
        <v>78</v>
      </c>
      <c r="F123" s="20" t="s">
        <v>1005</v>
      </c>
      <c r="G123" s="43" t="s">
        <v>6</v>
      </c>
      <c r="H123" s="20">
        <v>2500</v>
      </c>
      <c r="I123" s="20"/>
      <c r="J123" s="20">
        <v>1094</v>
      </c>
      <c r="K123" s="20">
        <f t="shared" si="2"/>
        <v>91.166666666666671</v>
      </c>
      <c r="L123" s="20">
        <v>431</v>
      </c>
      <c r="M123" s="20">
        <v>41967</v>
      </c>
      <c r="N123" s="20">
        <v>0</v>
      </c>
      <c r="O123" s="20">
        <v>2350</v>
      </c>
    </row>
    <row r="124" spans="1:15" s="5" customFormat="1" ht="12.65" customHeight="1">
      <c r="A124" s="22" t="s">
        <v>319</v>
      </c>
      <c r="B124" s="21" t="s">
        <v>320</v>
      </c>
      <c r="C124" s="23" t="s">
        <v>75</v>
      </c>
      <c r="D124" s="23" t="s">
        <v>77</v>
      </c>
      <c r="E124" s="9" t="s">
        <v>97</v>
      </c>
      <c r="F124" s="20" t="s">
        <v>989</v>
      </c>
      <c r="G124" s="43" t="s">
        <v>5</v>
      </c>
      <c r="H124" s="20">
        <v>4000</v>
      </c>
      <c r="I124" s="20"/>
      <c r="J124" s="20">
        <v>4628</v>
      </c>
      <c r="K124" s="20">
        <f t="shared" si="2"/>
        <v>385.66666666666669</v>
      </c>
      <c r="L124" s="20">
        <v>846</v>
      </c>
      <c r="M124" s="20">
        <v>37680</v>
      </c>
      <c r="N124" s="20">
        <v>0</v>
      </c>
      <c r="O124" s="20">
        <v>11367</v>
      </c>
    </row>
    <row r="125" spans="1:15" s="5" customFormat="1" ht="12.65" customHeight="1">
      <c r="A125" s="22" t="s">
        <v>321</v>
      </c>
      <c r="B125" s="21" t="s">
        <v>322</v>
      </c>
      <c r="C125" s="23" t="s">
        <v>75</v>
      </c>
      <c r="D125" s="23" t="s">
        <v>77</v>
      </c>
      <c r="E125" s="9" t="s">
        <v>97</v>
      </c>
      <c r="F125" s="20" t="s">
        <v>989</v>
      </c>
      <c r="G125" s="43" t="s">
        <v>54</v>
      </c>
      <c r="H125" s="20">
        <v>15000</v>
      </c>
      <c r="I125" s="20"/>
      <c r="J125" s="20">
        <v>1066</v>
      </c>
      <c r="K125" s="20">
        <f t="shared" si="2"/>
        <v>88.833333333333329</v>
      </c>
      <c r="L125" s="20">
        <v>120</v>
      </c>
      <c r="M125" s="20">
        <v>22596</v>
      </c>
      <c r="N125" s="20">
        <v>113218</v>
      </c>
      <c r="O125" s="20">
        <v>2750</v>
      </c>
    </row>
    <row r="126" spans="1:15" s="5" customFormat="1" ht="12.65" customHeight="1">
      <c r="A126" s="22" t="s">
        <v>323</v>
      </c>
      <c r="B126" s="21" t="s">
        <v>324</v>
      </c>
      <c r="C126" s="23" t="s">
        <v>75</v>
      </c>
      <c r="D126" s="23" t="s">
        <v>77</v>
      </c>
      <c r="E126" s="9" t="s">
        <v>97</v>
      </c>
      <c r="F126" s="20" t="s">
        <v>989</v>
      </c>
      <c r="G126" s="43" t="s">
        <v>6</v>
      </c>
      <c r="H126" s="20">
        <v>4500</v>
      </c>
      <c r="I126" s="20"/>
      <c r="J126" s="20">
        <v>7535</v>
      </c>
      <c r="K126" s="20">
        <f t="shared" si="2"/>
        <v>627.91666666666663</v>
      </c>
      <c r="L126" s="20">
        <v>908</v>
      </c>
      <c r="M126" s="20">
        <v>43331</v>
      </c>
      <c r="N126" s="20">
        <v>0</v>
      </c>
      <c r="O126" s="20">
        <v>21687</v>
      </c>
    </row>
    <row r="127" spans="1:15" s="5" customFormat="1" ht="12.65" customHeight="1">
      <c r="A127" s="22" t="s">
        <v>325</v>
      </c>
      <c r="B127" s="21" t="s">
        <v>326</v>
      </c>
      <c r="C127" s="23" t="s">
        <v>75</v>
      </c>
      <c r="D127" s="23" t="s">
        <v>77</v>
      </c>
      <c r="E127" s="9" t="s">
        <v>78</v>
      </c>
      <c r="F127" s="20" t="s">
        <v>989</v>
      </c>
      <c r="G127" s="43" t="s">
        <v>6</v>
      </c>
      <c r="H127" s="20">
        <v>3000</v>
      </c>
      <c r="I127" s="20"/>
      <c r="J127" s="20">
        <v>2885</v>
      </c>
      <c r="K127" s="20">
        <f t="shared" si="2"/>
        <v>240.41666666666666</v>
      </c>
      <c r="L127" s="20">
        <v>843</v>
      </c>
      <c r="M127" s="20">
        <v>43331</v>
      </c>
      <c r="N127" s="20">
        <v>0</v>
      </c>
      <c r="O127" s="20">
        <v>6637</v>
      </c>
    </row>
    <row r="128" spans="1:15" s="5" customFormat="1" ht="12.65" customHeight="1">
      <c r="A128" s="22" t="s">
        <v>327</v>
      </c>
      <c r="B128" s="21" t="s">
        <v>328</v>
      </c>
      <c r="C128" s="23" t="s">
        <v>75</v>
      </c>
      <c r="D128" s="23" t="s">
        <v>77</v>
      </c>
      <c r="E128" s="9" t="s">
        <v>78</v>
      </c>
      <c r="F128" s="20" t="s">
        <v>1007</v>
      </c>
      <c r="G128" s="43" t="s">
        <v>6</v>
      </c>
      <c r="H128" s="20">
        <v>4500</v>
      </c>
      <c r="I128" s="20"/>
      <c r="J128" s="20">
        <v>7979</v>
      </c>
      <c r="K128" s="20">
        <f t="shared" si="2"/>
        <v>664.91666666666663</v>
      </c>
      <c r="L128" s="20">
        <v>1406</v>
      </c>
      <c r="M128" s="20">
        <v>43971</v>
      </c>
      <c r="N128" s="20">
        <v>0</v>
      </c>
      <c r="O128" s="20">
        <v>19852</v>
      </c>
    </row>
    <row r="129" spans="1:15" s="5" customFormat="1" ht="12.65" customHeight="1">
      <c r="A129" s="22" t="s">
        <v>465</v>
      </c>
      <c r="B129" s="21" t="s">
        <v>466</v>
      </c>
      <c r="C129" s="23" t="s">
        <v>75</v>
      </c>
      <c r="D129" s="23" t="s">
        <v>77</v>
      </c>
      <c r="E129" s="9" t="s">
        <v>97</v>
      </c>
      <c r="F129" s="20" t="s">
        <v>1007</v>
      </c>
      <c r="G129" s="43" t="s">
        <v>54</v>
      </c>
      <c r="H129" s="20">
        <v>14500</v>
      </c>
      <c r="I129" s="20"/>
      <c r="J129" s="20">
        <v>1024</v>
      </c>
      <c r="K129" s="20">
        <f t="shared" si="2"/>
        <v>85.333333333333329</v>
      </c>
      <c r="L129" s="20">
        <v>199</v>
      </c>
      <c r="M129" s="20">
        <v>22938</v>
      </c>
      <c r="N129" s="20">
        <v>110240</v>
      </c>
      <c r="O129" s="20">
        <v>2617</v>
      </c>
    </row>
    <row r="130" spans="1:15" s="5" customFormat="1" ht="12.65" customHeight="1">
      <c r="A130" s="22" t="s">
        <v>331</v>
      </c>
      <c r="B130" s="21" t="s">
        <v>332</v>
      </c>
      <c r="C130" s="23" t="s">
        <v>75</v>
      </c>
      <c r="D130" s="23" t="s">
        <v>77</v>
      </c>
      <c r="E130" s="9" t="s">
        <v>97</v>
      </c>
      <c r="F130" s="20" t="s">
        <v>1007</v>
      </c>
      <c r="G130" s="43" t="s">
        <v>54</v>
      </c>
      <c r="H130" s="20">
        <v>10000</v>
      </c>
      <c r="I130" s="20"/>
      <c r="J130" s="20">
        <v>591</v>
      </c>
      <c r="K130" s="20">
        <f t="shared" si="2"/>
        <v>49.25</v>
      </c>
      <c r="L130" s="20">
        <v>110</v>
      </c>
      <c r="M130" s="20">
        <v>22938</v>
      </c>
      <c r="N130" s="20">
        <v>66788</v>
      </c>
      <c r="O130" s="20">
        <v>1616</v>
      </c>
    </row>
    <row r="131" spans="1:15" s="5" customFormat="1" ht="12.65" customHeight="1">
      <c r="A131" s="22" t="s">
        <v>333</v>
      </c>
      <c r="B131" s="21" t="s">
        <v>334</v>
      </c>
      <c r="C131" s="23" t="s">
        <v>75</v>
      </c>
      <c r="D131" s="23" t="s">
        <v>77</v>
      </c>
      <c r="E131" s="9" t="s">
        <v>78</v>
      </c>
      <c r="F131" s="20" t="s">
        <v>989</v>
      </c>
      <c r="G131" s="43" t="s">
        <v>6</v>
      </c>
      <c r="H131" s="20">
        <v>3000</v>
      </c>
      <c r="I131" s="20"/>
      <c r="J131" s="20">
        <v>3343</v>
      </c>
      <c r="K131" s="20">
        <f t="shared" si="2"/>
        <v>278.58333333333331</v>
      </c>
      <c r="L131" s="20">
        <v>656</v>
      </c>
      <c r="M131" s="20">
        <v>43331</v>
      </c>
      <c r="N131" s="20">
        <v>0</v>
      </c>
      <c r="O131" s="20">
        <v>7987</v>
      </c>
    </row>
    <row r="132" spans="1:15" s="5" customFormat="1" ht="12.65" customHeight="1">
      <c r="A132" s="22" t="s">
        <v>335</v>
      </c>
      <c r="B132" s="21" t="s">
        <v>336</v>
      </c>
      <c r="C132" s="23" t="s">
        <v>75</v>
      </c>
      <c r="D132" s="23" t="s">
        <v>77</v>
      </c>
      <c r="E132" s="9" t="s">
        <v>78</v>
      </c>
      <c r="F132" s="20" t="s">
        <v>1005</v>
      </c>
      <c r="G132" s="43" t="s">
        <v>2</v>
      </c>
      <c r="H132" s="20">
        <v>3500</v>
      </c>
      <c r="I132" s="20"/>
      <c r="J132" s="20">
        <v>7858</v>
      </c>
      <c r="K132" s="20">
        <f t="shared" si="2"/>
        <v>654.83333333333337</v>
      </c>
      <c r="L132" s="20">
        <v>1309</v>
      </c>
      <c r="M132" s="20">
        <v>16411</v>
      </c>
      <c r="N132" s="20">
        <v>0</v>
      </c>
      <c r="O132" s="20">
        <v>19973</v>
      </c>
    </row>
    <row r="133" spans="1:15" s="5" customFormat="1" ht="12.5" customHeight="1">
      <c r="A133" s="22" t="s">
        <v>337</v>
      </c>
      <c r="B133" s="21" t="s">
        <v>338</v>
      </c>
      <c r="C133" s="23" t="s">
        <v>75</v>
      </c>
      <c r="D133" s="23" t="s">
        <v>77</v>
      </c>
      <c r="E133" s="9" t="s">
        <v>97</v>
      </c>
      <c r="F133" s="20" t="s">
        <v>989</v>
      </c>
      <c r="G133" s="43" t="s">
        <v>16</v>
      </c>
      <c r="H133" s="20">
        <v>8500</v>
      </c>
      <c r="I133" s="20"/>
      <c r="J133" s="20">
        <v>295</v>
      </c>
      <c r="K133" s="20">
        <f t="shared" si="2"/>
        <v>24.583333333333332</v>
      </c>
      <c r="L133" s="20">
        <v>295</v>
      </c>
      <c r="M133" s="20">
        <v>295</v>
      </c>
      <c r="N133" s="20">
        <v>295</v>
      </c>
      <c r="O133" s="20">
        <v>295</v>
      </c>
    </row>
    <row r="134" spans="1:15" s="5" customFormat="1" ht="12.65" customHeight="1">
      <c r="A134" s="22" t="s">
        <v>339</v>
      </c>
      <c r="B134" s="21" t="s">
        <v>340</v>
      </c>
      <c r="C134" s="23" t="s">
        <v>75</v>
      </c>
      <c r="D134" s="23" t="s">
        <v>77</v>
      </c>
      <c r="E134" s="9" t="s">
        <v>97</v>
      </c>
      <c r="F134" s="20" t="s">
        <v>989</v>
      </c>
      <c r="G134" s="43" t="s">
        <v>6</v>
      </c>
      <c r="H134" s="20">
        <v>3500</v>
      </c>
      <c r="I134" s="20"/>
      <c r="J134" s="20">
        <v>2658</v>
      </c>
      <c r="K134" s="20">
        <f t="shared" si="2"/>
        <v>221.5</v>
      </c>
      <c r="L134" s="20">
        <v>470</v>
      </c>
      <c r="M134" s="20">
        <v>43331</v>
      </c>
      <c r="N134" s="20">
        <v>0</v>
      </c>
      <c r="O134" s="20">
        <v>7190</v>
      </c>
    </row>
    <row r="135" spans="1:15" s="5" customFormat="1" ht="12.65" customHeight="1">
      <c r="A135" s="22" t="s">
        <v>341</v>
      </c>
      <c r="B135" s="21" t="s">
        <v>342</v>
      </c>
      <c r="C135" s="23" t="s">
        <v>75</v>
      </c>
      <c r="D135" s="23" t="s">
        <v>77</v>
      </c>
      <c r="E135" s="9" t="s">
        <v>78</v>
      </c>
      <c r="F135" s="20" t="s">
        <v>989</v>
      </c>
      <c r="G135" s="43" t="s">
        <v>8</v>
      </c>
      <c r="H135" s="20">
        <v>5000</v>
      </c>
      <c r="I135" s="20"/>
      <c r="J135" s="20">
        <v>4893</v>
      </c>
      <c r="K135" s="20">
        <f t="shared" si="2"/>
        <v>407.75</v>
      </c>
      <c r="L135" s="20">
        <v>4893</v>
      </c>
      <c r="M135" s="20">
        <v>4893</v>
      </c>
      <c r="N135" s="20">
        <v>4893</v>
      </c>
      <c r="O135" s="20">
        <v>4893</v>
      </c>
    </row>
    <row r="136" spans="1:15" s="5" customFormat="1" ht="12.65" customHeight="1">
      <c r="A136" s="22" t="s">
        <v>343</v>
      </c>
      <c r="B136" s="21" t="s">
        <v>344</v>
      </c>
      <c r="C136" s="23" t="s">
        <v>75</v>
      </c>
      <c r="D136" s="23" t="s">
        <v>77</v>
      </c>
      <c r="E136" s="9" t="s">
        <v>97</v>
      </c>
      <c r="F136" s="20" t="s">
        <v>989</v>
      </c>
      <c r="G136" s="43" t="s">
        <v>54</v>
      </c>
      <c r="H136" s="20">
        <v>7000</v>
      </c>
      <c r="I136" s="20"/>
      <c r="J136" s="20">
        <v>348</v>
      </c>
      <c r="K136" s="20">
        <f t="shared" ref="K136:K199" si="3">J136/12</f>
        <v>29</v>
      </c>
      <c r="L136" s="20">
        <v>93</v>
      </c>
      <c r="M136" s="20">
        <v>22596</v>
      </c>
      <c r="N136" s="20">
        <v>42611</v>
      </c>
      <c r="O136" s="20">
        <v>791</v>
      </c>
    </row>
    <row r="137" spans="1:15" s="5" customFormat="1" ht="12.65" customHeight="1">
      <c r="A137" s="22" t="s">
        <v>345</v>
      </c>
      <c r="B137" s="21" t="s">
        <v>346</v>
      </c>
      <c r="C137" s="23" t="s">
        <v>75</v>
      </c>
      <c r="D137" s="23" t="s">
        <v>77</v>
      </c>
      <c r="E137" s="9" t="s">
        <v>78</v>
      </c>
      <c r="F137" s="20" t="s">
        <v>1006</v>
      </c>
      <c r="G137" s="43" t="s">
        <v>6</v>
      </c>
      <c r="H137" s="20">
        <v>3500</v>
      </c>
      <c r="I137" s="20"/>
      <c r="J137" s="20">
        <v>2920</v>
      </c>
      <c r="K137" s="20">
        <f t="shared" si="3"/>
        <v>243.33333333333334</v>
      </c>
      <c r="L137" s="20">
        <v>497</v>
      </c>
      <c r="M137" s="20">
        <v>40782</v>
      </c>
      <c r="N137" s="20">
        <v>0</v>
      </c>
      <c r="O137" s="20">
        <v>8018</v>
      </c>
    </row>
    <row r="138" spans="1:15" s="5" customFormat="1" ht="12.65" customHeight="1">
      <c r="A138" s="22" t="s">
        <v>126</v>
      </c>
      <c r="B138" s="21" t="s">
        <v>127</v>
      </c>
      <c r="C138" s="23" t="s">
        <v>75</v>
      </c>
      <c r="D138" s="23" t="s">
        <v>77</v>
      </c>
      <c r="E138" s="9" t="s">
        <v>78</v>
      </c>
      <c r="F138" s="20" t="s">
        <v>1006</v>
      </c>
      <c r="G138" s="43" t="s">
        <v>6</v>
      </c>
      <c r="H138" s="20">
        <v>3000</v>
      </c>
      <c r="I138" s="20"/>
      <c r="J138" s="20">
        <v>3866</v>
      </c>
      <c r="K138" s="20">
        <f t="shared" si="3"/>
        <v>322.16666666666669</v>
      </c>
      <c r="L138" s="20">
        <v>682</v>
      </c>
      <c r="M138" s="20">
        <v>40792</v>
      </c>
      <c r="N138" s="20">
        <v>0</v>
      </c>
      <c r="O138" s="20">
        <v>10034</v>
      </c>
    </row>
    <row r="139" spans="1:15" s="5" customFormat="1" ht="12.65" customHeight="1">
      <c r="A139" s="22" t="s">
        <v>349</v>
      </c>
      <c r="B139" s="21" t="s">
        <v>350</v>
      </c>
      <c r="C139" s="23" t="s">
        <v>75</v>
      </c>
      <c r="D139" s="23" t="s">
        <v>77</v>
      </c>
      <c r="E139" s="9" t="s">
        <v>78</v>
      </c>
      <c r="F139" s="20" t="s">
        <v>1005</v>
      </c>
      <c r="G139" s="43" t="s">
        <v>6</v>
      </c>
      <c r="H139" s="20">
        <v>5000</v>
      </c>
      <c r="I139" s="20"/>
      <c r="J139" s="20">
        <v>6335</v>
      </c>
      <c r="K139" s="20">
        <f t="shared" si="3"/>
        <v>527.91666666666663</v>
      </c>
      <c r="L139" s="20">
        <v>981</v>
      </c>
      <c r="M139" s="20">
        <v>41967</v>
      </c>
      <c r="N139" s="20">
        <v>0</v>
      </c>
      <c r="O139" s="20">
        <v>17490</v>
      </c>
    </row>
    <row r="140" spans="1:15" s="5" customFormat="1" ht="12.65" customHeight="1">
      <c r="A140" s="22" t="s">
        <v>351</v>
      </c>
      <c r="B140" s="21" t="s">
        <v>352</v>
      </c>
      <c r="C140" s="23" t="s">
        <v>75</v>
      </c>
      <c r="D140" s="23" t="s">
        <v>77</v>
      </c>
      <c r="E140" s="9" t="s">
        <v>78</v>
      </c>
      <c r="F140" s="20" t="s">
        <v>1005</v>
      </c>
      <c r="G140" s="43" t="s">
        <v>6</v>
      </c>
      <c r="H140" s="20">
        <v>3500</v>
      </c>
      <c r="I140" s="20"/>
      <c r="J140" s="20">
        <v>2649</v>
      </c>
      <c r="K140" s="20">
        <f t="shared" si="3"/>
        <v>220.75</v>
      </c>
      <c r="L140" s="20">
        <v>529</v>
      </c>
      <c r="M140" s="20">
        <v>41967</v>
      </c>
      <c r="N140" s="20">
        <v>0</v>
      </c>
      <c r="O140" s="20">
        <v>6292</v>
      </c>
    </row>
    <row r="141" spans="1:15" s="5" customFormat="1" ht="12.65" customHeight="1">
      <c r="A141" s="22" t="s">
        <v>353</v>
      </c>
      <c r="B141" s="21" t="s">
        <v>354</v>
      </c>
      <c r="C141" s="23" t="s">
        <v>75</v>
      </c>
      <c r="D141" s="23" t="s">
        <v>77</v>
      </c>
      <c r="E141" s="9" t="s">
        <v>97</v>
      </c>
      <c r="F141" s="20" t="s">
        <v>1005</v>
      </c>
      <c r="G141" s="43" t="s">
        <v>54</v>
      </c>
      <c r="H141" s="20">
        <v>6000</v>
      </c>
      <c r="I141" s="20"/>
      <c r="J141" s="20">
        <v>373</v>
      </c>
      <c r="K141" s="20">
        <f t="shared" si="3"/>
        <v>31.083333333333332</v>
      </c>
      <c r="L141" s="20">
        <v>109</v>
      </c>
      <c r="M141" s="20">
        <v>21677</v>
      </c>
      <c r="N141" s="20">
        <v>35263</v>
      </c>
      <c r="O141" s="20">
        <v>787</v>
      </c>
    </row>
    <row r="142" spans="1:15" s="5" customFormat="1" ht="12.65" customHeight="1">
      <c r="A142" s="22" t="s">
        <v>355</v>
      </c>
      <c r="B142" s="21" t="s">
        <v>356</v>
      </c>
      <c r="C142" s="23" t="s">
        <v>75</v>
      </c>
      <c r="D142" s="23" t="s">
        <v>77</v>
      </c>
      <c r="E142" s="9" t="s">
        <v>97</v>
      </c>
      <c r="F142" s="20" t="s">
        <v>989</v>
      </c>
      <c r="G142" s="43" t="s">
        <v>54</v>
      </c>
      <c r="H142" s="20">
        <v>11000</v>
      </c>
      <c r="I142" s="20"/>
      <c r="J142" s="20">
        <v>516</v>
      </c>
      <c r="K142" s="20">
        <f t="shared" si="3"/>
        <v>43</v>
      </c>
      <c r="L142" s="20">
        <v>99</v>
      </c>
      <c r="M142" s="20">
        <v>22596</v>
      </c>
      <c r="N142" s="20">
        <v>76592</v>
      </c>
      <c r="O142" s="20">
        <v>1395</v>
      </c>
    </row>
    <row r="143" spans="1:15" s="5" customFormat="1" ht="12.65" customHeight="1">
      <c r="A143" s="22" t="s">
        <v>357</v>
      </c>
      <c r="B143" s="21" t="s">
        <v>358</v>
      </c>
      <c r="C143" s="23" t="s">
        <v>75</v>
      </c>
      <c r="D143" s="23" t="s">
        <v>77</v>
      </c>
      <c r="E143" s="9" t="s">
        <v>97</v>
      </c>
      <c r="F143" s="20" t="s">
        <v>1005</v>
      </c>
      <c r="G143" s="43" t="s">
        <v>54</v>
      </c>
      <c r="H143" s="20">
        <v>7000</v>
      </c>
      <c r="I143" s="20"/>
      <c r="J143" s="20">
        <v>353</v>
      </c>
      <c r="K143" s="20">
        <f t="shared" si="3"/>
        <v>29.416666666666668</v>
      </c>
      <c r="L143" s="20">
        <v>107</v>
      </c>
      <c r="M143" s="20">
        <v>21677</v>
      </c>
      <c r="N143" s="20">
        <v>43091</v>
      </c>
      <c r="O143" s="20">
        <v>708</v>
      </c>
    </row>
    <row r="144" spans="1:15" s="5" customFormat="1" ht="12.65" customHeight="1">
      <c r="A144" s="22" t="s">
        <v>359</v>
      </c>
      <c r="B144" s="21" t="s">
        <v>360</v>
      </c>
      <c r="C144" s="23" t="s">
        <v>75</v>
      </c>
      <c r="D144" s="23" t="s">
        <v>77</v>
      </c>
      <c r="E144" s="9" t="s">
        <v>78</v>
      </c>
      <c r="F144" s="20" t="s">
        <v>1007</v>
      </c>
      <c r="G144" s="43" t="s">
        <v>4</v>
      </c>
      <c r="H144" s="20">
        <v>2500</v>
      </c>
      <c r="I144" s="20"/>
      <c r="J144" s="20">
        <v>2168</v>
      </c>
      <c r="K144" s="20">
        <f t="shared" si="3"/>
        <v>180.66666666666666</v>
      </c>
      <c r="L144" s="20">
        <v>477</v>
      </c>
      <c r="M144" s="20">
        <v>28659</v>
      </c>
      <c r="N144" s="20">
        <v>0</v>
      </c>
      <c r="O144" s="20">
        <v>4917</v>
      </c>
    </row>
    <row r="145" spans="1:15" s="5" customFormat="1" ht="12.65" customHeight="1">
      <c r="A145" s="22" t="s">
        <v>361</v>
      </c>
      <c r="B145" s="21" t="s">
        <v>362</v>
      </c>
      <c r="C145" s="23" t="s">
        <v>75</v>
      </c>
      <c r="D145" s="23" t="s">
        <v>77</v>
      </c>
      <c r="E145" s="9" t="s">
        <v>97</v>
      </c>
      <c r="F145" s="20" t="s">
        <v>1007</v>
      </c>
      <c r="G145" s="43" t="s">
        <v>54</v>
      </c>
      <c r="H145" s="20">
        <v>10000</v>
      </c>
      <c r="I145" s="20"/>
      <c r="J145" s="20">
        <v>591</v>
      </c>
      <c r="K145" s="20">
        <f t="shared" si="3"/>
        <v>49.25</v>
      </c>
      <c r="L145" s="20">
        <v>110</v>
      </c>
      <c r="M145" s="20">
        <v>22938</v>
      </c>
      <c r="N145" s="20">
        <v>66788</v>
      </c>
      <c r="O145" s="20">
        <v>1616</v>
      </c>
    </row>
    <row r="146" spans="1:15" s="5" customFormat="1" ht="12.65" customHeight="1">
      <c r="A146" s="22" t="s">
        <v>363</v>
      </c>
      <c r="B146" s="21" t="s">
        <v>364</v>
      </c>
      <c r="C146" s="23" t="s">
        <v>75</v>
      </c>
      <c r="D146" s="23" t="s">
        <v>77</v>
      </c>
      <c r="E146" s="9" t="s">
        <v>78</v>
      </c>
      <c r="F146" s="20" t="s">
        <v>1007</v>
      </c>
      <c r="G146" s="43" t="s">
        <v>6</v>
      </c>
      <c r="H146" s="20">
        <v>3500</v>
      </c>
      <c r="I146" s="20"/>
      <c r="J146" s="20">
        <v>2465</v>
      </c>
      <c r="K146" s="20">
        <f t="shared" si="3"/>
        <v>205.41666666666666</v>
      </c>
      <c r="L146" s="20">
        <v>446</v>
      </c>
      <c r="M146" s="20">
        <v>43971</v>
      </c>
      <c r="N146" s="20">
        <v>0</v>
      </c>
      <c r="O146" s="20">
        <v>6610</v>
      </c>
    </row>
    <row r="147" spans="1:15" s="5" customFormat="1" ht="12.65" customHeight="1">
      <c r="A147" s="22" t="s">
        <v>365</v>
      </c>
      <c r="B147" s="21" t="s">
        <v>366</v>
      </c>
      <c r="C147" s="23" t="s">
        <v>75</v>
      </c>
      <c r="D147" s="23" t="s">
        <v>77</v>
      </c>
      <c r="E147" s="9" t="s">
        <v>97</v>
      </c>
      <c r="F147" s="20" t="s">
        <v>1005</v>
      </c>
      <c r="G147" s="43" t="s">
        <v>54</v>
      </c>
      <c r="H147" s="20">
        <v>25000</v>
      </c>
      <c r="I147" s="20"/>
      <c r="J147" s="20">
        <v>1112</v>
      </c>
      <c r="K147" s="20">
        <f t="shared" si="3"/>
        <v>92.666666666666671</v>
      </c>
      <c r="L147" s="20">
        <v>124</v>
      </c>
      <c r="M147" s="20">
        <v>21677</v>
      </c>
      <c r="N147" s="20">
        <v>210978</v>
      </c>
      <c r="O147" s="20">
        <v>2870</v>
      </c>
    </row>
    <row r="148" spans="1:15" s="5" customFormat="1" ht="12.65" customHeight="1">
      <c r="A148" s="22" t="s">
        <v>227</v>
      </c>
      <c r="B148" s="21" t="s">
        <v>228</v>
      </c>
      <c r="C148" s="23" t="s">
        <v>75</v>
      </c>
      <c r="D148" s="23" t="s">
        <v>77</v>
      </c>
      <c r="E148" s="9" t="s">
        <v>78</v>
      </c>
      <c r="F148" s="20" t="s">
        <v>1005</v>
      </c>
      <c r="G148" s="43" t="s">
        <v>60</v>
      </c>
      <c r="H148" s="20">
        <v>4000</v>
      </c>
      <c r="I148" s="20"/>
      <c r="J148" s="20">
        <v>687</v>
      </c>
      <c r="K148" s="20">
        <f t="shared" si="3"/>
        <v>57.25</v>
      </c>
      <c r="L148" s="20">
        <v>143</v>
      </c>
      <c r="M148" s="20">
        <v>0</v>
      </c>
      <c r="N148" s="20">
        <v>34772</v>
      </c>
      <c r="O148" s="20">
        <v>1286</v>
      </c>
    </row>
    <row r="149" spans="1:15" s="5" customFormat="1" ht="12.65" customHeight="1">
      <c r="A149" s="22" t="s">
        <v>369</v>
      </c>
      <c r="B149" s="21" t="s">
        <v>370</v>
      </c>
      <c r="C149" s="23" t="s">
        <v>75</v>
      </c>
      <c r="D149" s="23" t="s">
        <v>77</v>
      </c>
      <c r="E149" s="9" t="s">
        <v>78</v>
      </c>
      <c r="F149" s="20" t="s">
        <v>1006</v>
      </c>
      <c r="G149" s="43" t="s">
        <v>6</v>
      </c>
      <c r="H149" s="20">
        <v>3500</v>
      </c>
      <c r="I149" s="20"/>
      <c r="J149" s="20">
        <v>2920</v>
      </c>
      <c r="K149" s="20">
        <f t="shared" si="3"/>
        <v>243.33333333333334</v>
      </c>
      <c r="L149" s="20">
        <v>497</v>
      </c>
      <c r="M149" s="20">
        <v>40782</v>
      </c>
      <c r="N149" s="20">
        <v>0</v>
      </c>
      <c r="O149" s="20">
        <v>8018</v>
      </c>
    </row>
    <row r="150" spans="1:15" s="5" customFormat="1" ht="12.65" customHeight="1">
      <c r="A150" s="22" t="s">
        <v>371</v>
      </c>
      <c r="B150" s="21" t="s">
        <v>372</v>
      </c>
      <c r="C150" s="23" t="s">
        <v>75</v>
      </c>
      <c r="D150" s="23" t="s">
        <v>77</v>
      </c>
      <c r="E150" s="9" t="s">
        <v>97</v>
      </c>
      <c r="F150" s="20" t="s">
        <v>1005</v>
      </c>
      <c r="G150" s="43" t="s">
        <v>54</v>
      </c>
      <c r="H150" s="20">
        <v>14500</v>
      </c>
      <c r="I150" s="20"/>
      <c r="J150" s="20">
        <v>650</v>
      </c>
      <c r="K150" s="20">
        <f t="shared" si="3"/>
        <v>54.166666666666664</v>
      </c>
      <c r="L150" s="20">
        <v>122</v>
      </c>
      <c r="M150" s="20">
        <v>21677</v>
      </c>
      <c r="N150" s="20">
        <v>112835</v>
      </c>
      <c r="O150" s="20">
        <v>1534</v>
      </c>
    </row>
    <row r="151" spans="1:15" s="5" customFormat="1" ht="12.65" customHeight="1">
      <c r="A151" s="22" t="s">
        <v>373</v>
      </c>
      <c r="B151" s="21" t="s">
        <v>374</v>
      </c>
      <c r="C151" s="23" t="s">
        <v>75</v>
      </c>
      <c r="D151" s="23" t="s">
        <v>77</v>
      </c>
      <c r="E151" s="9" t="s">
        <v>97</v>
      </c>
      <c r="F151" s="20" t="s">
        <v>989</v>
      </c>
      <c r="G151" s="43" t="s">
        <v>54</v>
      </c>
      <c r="H151" s="20">
        <v>9000</v>
      </c>
      <c r="I151" s="20"/>
      <c r="J151" s="20">
        <v>365</v>
      </c>
      <c r="K151" s="20">
        <f t="shared" si="3"/>
        <v>30.416666666666668</v>
      </c>
      <c r="L151" s="20">
        <v>86</v>
      </c>
      <c r="M151" s="20">
        <v>22596</v>
      </c>
      <c r="N151" s="20">
        <v>58880</v>
      </c>
      <c r="O151" s="20">
        <v>884</v>
      </c>
    </row>
    <row r="152" spans="1:15" s="5" customFormat="1" ht="12.65" customHeight="1">
      <c r="A152" s="22" t="s">
        <v>375</v>
      </c>
      <c r="B152" s="21" t="s">
        <v>376</v>
      </c>
      <c r="C152" s="23" t="s">
        <v>75</v>
      </c>
      <c r="D152" s="23" t="s">
        <v>77</v>
      </c>
      <c r="E152" s="9" t="s">
        <v>78</v>
      </c>
      <c r="F152" s="20" t="s">
        <v>989</v>
      </c>
      <c r="G152" s="43" t="s">
        <v>6</v>
      </c>
      <c r="H152" s="20">
        <v>3000</v>
      </c>
      <c r="I152" s="20"/>
      <c r="J152" s="20">
        <v>2885</v>
      </c>
      <c r="K152" s="20">
        <f t="shared" si="3"/>
        <v>240.41666666666666</v>
      </c>
      <c r="L152" s="20">
        <v>843</v>
      </c>
      <c r="M152" s="20">
        <v>43331</v>
      </c>
      <c r="N152" s="20">
        <v>0</v>
      </c>
      <c r="O152" s="20">
        <v>6637</v>
      </c>
    </row>
    <row r="153" spans="1:15" s="5" customFormat="1" ht="12.65" customHeight="1">
      <c r="A153" s="22" t="s">
        <v>377</v>
      </c>
      <c r="B153" s="21" t="s">
        <v>378</v>
      </c>
      <c r="C153" s="23" t="s">
        <v>75</v>
      </c>
      <c r="D153" s="23" t="s">
        <v>77</v>
      </c>
      <c r="E153" s="9" t="s">
        <v>97</v>
      </c>
      <c r="F153" s="20" t="s">
        <v>1005</v>
      </c>
      <c r="G153" s="43" t="s">
        <v>54</v>
      </c>
      <c r="H153" s="20">
        <v>9000</v>
      </c>
      <c r="I153" s="20"/>
      <c r="J153" s="20">
        <v>316</v>
      </c>
      <c r="K153" s="20">
        <f t="shared" si="3"/>
        <v>26.333333333333332</v>
      </c>
      <c r="L153" s="20">
        <v>91</v>
      </c>
      <c r="M153" s="20">
        <v>21677</v>
      </c>
      <c r="N153" s="20">
        <v>60073</v>
      </c>
      <c r="O153" s="20">
        <v>668</v>
      </c>
    </row>
    <row r="154" spans="1:15" s="5" customFormat="1" ht="12.65" customHeight="1">
      <c r="A154" s="22" t="s">
        <v>379</v>
      </c>
      <c r="B154" s="21" t="s">
        <v>380</v>
      </c>
      <c r="C154" s="23" t="s">
        <v>75</v>
      </c>
      <c r="D154" s="23" t="s">
        <v>77</v>
      </c>
      <c r="E154" s="9" t="s">
        <v>97</v>
      </c>
      <c r="F154" s="20" t="s">
        <v>989</v>
      </c>
      <c r="G154" s="43" t="s">
        <v>54</v>
      </c>
      <c r="H154" s="20">
        <v>8000</v>
      </c>
      <c r="I154" s="20"/>
      <c r="J154" s="20">
        <v>390</v>
      </c>
      <c r="K154" s="20">
        <f t="shared" si="3"/>
        <v>32.5</v>
      </c>
      <c r="L154" s="20">
        <v>112</v>
      </c>
      <c r="M154" s="20">
        <v>22596</v>
      </c>
      <c r="N154" s="20">
        <v>50644</v>
      </c>
      <c r="O154" s="20">
        <v>783</v>
      </c>
    </row>
    <row r="155" spans="1:15" s="5" customFormat="1" ht="12.65" customHeight="1">
      <c r="A155" s="22" t="s">
        <v>381</v>
      </c>
      <c r="B155" s="21" t="s">
        <v>382</v>
      </c>
      <c r="C155" s="23" t="s">
        <v>75</v>
      </c>
      <c r="D155" s="23" t="s">
        <v>77</v>
      </c>
      <c r="E155" s="9" t="s">
        <v>97</v>
      </c>
      <c r="F155" s="20" t="s">
        <v>1007</v>
      </c>
      <c r="G155" s="43" t="s">
        <v>54</v>
      </c>
      <c r="H155" s="20">
        <v>11000</v>
      </c>
      <c r="I155" s="20"/>
      <c r="J155" s="20">
        <v>700</v>
      </c>
      <c r="K155" s="20">
        <f t="shared" si="3"/>
        <v>58.333333333333336</v>
      </c>
      <c r="L155" s="20">
        <v>135</v>
      </c>
      <c r="M155" s="20">
        <v>22938</v>
      </c>
      <c r="N155" s="20">
        <v>75720</v>
      </c>
      <c r="O155" s="20">
        <v>1922</v>
      </c>
    </row>
    <row r="156" spans="1:15" s="5" customFormat="1" ht="12.65" customHeight="1">
      <c r="A156" s="22" t="s">
        <v>383</v>
      </c>
      <c r="B156" s="21" t="s">
        <v>384</v>
      </c>
      <c r="C156" s="23" t="s">
        <v>75</v>
      </c>
      <c r="D156" s="23" t="s">
        <v>77</v>
      </c>
      <c r="E156" s="9" t="s">
        <v>78</v>
      </c>
      <c r="F156" s="20" t="s">
        <v>1007</v>
      </c>
      <c r="G156" s="43" t="s">
        <v>6</v>
      </c>
      <c r="H156" s="20">
        <v>4500</v>
      </c>
      <c r="I156" s="20"/>
      <c r="J156" s="20">
        <v>7545</v>
      </c>
      <c r="K156" s="20">
        <f t="shared" si="3"/>
        <v>628.75</v>
      </c>
      <c r="L156" s="20">
        <v>1063</v>
      </c>
      <c r="M156" s="20">
        <v>43971</v>
      </c>
      <c r="N156" s="20">
        <v>0</v>
      </c>
      <c r="O156" s="20">
        <v>21996</v>
      </c>
    </row>
    <row r="157" spans="1:15" s="5" customFormat="1" ht="12.65" customHeight="1">
      <c r="A157" s="22" t="s">
        <v>385</v>
      </c>
      <c r="B157" s="21" t="s">
        <v>386</v>
      </c>
      <c r="C157" s="23" t="s">
        <v>75</v>
      </c>
      <c r="D157" s="23" t="s">
        <v>77</v>
      </c>
      <c r="E157" s="9" t="s">
        <v>78</v>
      </c>
      <c r="F157" s="20" t="s">
        <v>989</v>
      </c>
      <c r="G157" s="43" t="s">
        <v>6</v>
      </c>
      <c r="H157" s="20">
        <v>2000</v>
      </c>
      <c r="I157" s="20"/>
      <c r="J157" s="20">
        <v>907</v>
      </c>
      <c r="K157" s="20">
        <f t="shared" si="3"/>
        <v>75.583333333333329</v>
      </c>
      <c r="L157" s="20">
        <v>367</v>
      </c>
      <c r="M157" s="20">
        <v>43331</v>
      </c>
      <c r="N157" s="20">
        <v>0</v>
      </c>
      <c r="O157" s="20">
        <v>1952</v>
      </c>
    </row>
    <row r="158" spans="1:15" s="5" customFormat="1" ht="12.65" customHeight="1">
      <c r="A158" s="22" t="s">
        <v>387</v>
      </c>
      <c r="B158" s="21" t="s">
        <v>388</v>
      </c>
      <c r="C158" s="23" t="s">
        <v>75</v>
      </c>
      <c r="D158" s="23" t="s">
        <v>77</v>
      </c>
      <c r="E158" s="9" t="s">
        <v>78</v>
      </c>
      <c r="F158" s="20" t="s">
        <v>1007</v>
      </c>
      <c r="G158" s="43" t="s">
        <v>6</v>
      </c>
      <c r="H158" s="20">
        <v>3000</v>
      </c>
      <c r="I158" s="20"/>
      <c r="J158" s="20">
        <v>3263</v>
      </c>
      <c r="K158" s="20">
        <f t="shared" si="3"/>
        <v>271.91666666666669</v>
      </c>
      <c r="L158" s="20">
        <v>634</v>
      </c>
      <c r="M158" s="20">
        <v>43971</v>
      </c>
      <c r="N158" s="20">
        <v>0</v>
      </c>
      <c r="O158" s="20">
        <v>9016</v>
      </c>
    </row>
    <row r="159" spans="1:15" s="5" customFormat="1" ht="12.65" customHeight="1">
      <c r="A159" s="22" t="s">
        <v>389</v>
      </c>
      <c r="B159" s="21" t="s">
        <v>390</v>
      </c>
      <c r="C159" s="23" t="s">
        <v>75</v>
      </c>
      <c r="D159" s="23" t="s">
        <v>77</v>
      </c>
      <c r="E159" s="9" t="s">
        <v>78</v>
      </c>
      <c r="F159" s="20" t="s">
        <v>1005</v>
      </c>
      <c r="G159" s="43" t="s">
        <v>6</v>
      </c>
      <c r="H159" s="20">
        <v>5000</v>
      </c>
      <c r="I159" s="20"/>
      <c r="J159" s="20">
        <v>6335</v>
      </c>
      <c r="K159" s="20">
        <f t="shared" si="3"/>
        <v>527.91666666666663</v>
      </c>
      <c r="L159" s="20">
        <v>981</v>
      </c>
      <c r="M159" s="20">
        <v>41967</v>
      </c>
      <c r="N159" s="20">
        <v>0</v>
      </c>
      <c r="O159" s="20">
        <v>17490</v>
      </c>
    </row>
    <row r="160" spans="1:15" s="5" customFormat="1" ht="12.65" customHeight="1">
      <c r="A160" s="22" t="s">
        <v>391</v>
      </c>
      <c r="B160" s="21" t="s">
        <v>392</v>
      </c>
      <c r="C160" s="23" t="s">
        <v>75</v>
      </c>
      <c r="D160" s="23" t="s">
        <v>77</v>
      </c>
      <c r="E160" s="9" t="s">
        <v>78</v>
      </c>
      <c r="F160" s="20" t="s">
        <v>1005</v>
      </c>
      <c r="G160" s="43" t="s">
        <v>16</v>
      </c>
      <c r="H160" s="20">
        <v>7000</v>
      </c>
      <c r="I160" s="20"/>
      <c r="J160" s="20">
        <v>1556</v>
      </c>
      <c r="K160" s="20">
        <f t="shared" si="3"/>
        <v>129.66666666666666</v>
      </c>
      <c r="L160" s="20">
        <v>430</v>
      </c>
      <c r="M160" s="20">
        <v>21951</v>
      </c>
      <c r="N160" s="20">
        <v>40798</v>
      </c>
      <c r="O160" s="20">
        <v>3407</v>
      </c>
    </row>
    <row r="161" spans="1:15" s="5" customFormat="1" ht="12.65" customHeight="1">
      <c r="A161" s="22" t="s">
        <v>393</v>
      </c>
      <c r="B161" s="21" t="s">
        <v>394</v>
      </c>
      <c r="C161" s="23" t="s">
        <v>75</v>
      </c>
      <c r="D161" s="23" t="s">
        <v>77</v>
      </c>
      <c r="E161" s="9" t="s">
        <v>78</v>
      </c>
      <c r="F161" s="20" t="s">
        <v>989</v>
      </c>
      <c r="G161" s="43" t="s">
        <v>6</v>
      </c>
      <c r="H161" s="20">
        <v>3500</v>
      </c>
      <c r="I161" s="20"/>
      <c r="J161" s="20">
        <v>2711</v>
      </c>
      <c r="K161" s="20">
        <f t="shared" si="3"/>
        <v>225.91666666666666</v>
      </c>
      <c r="L161" s="20">
        <v>542</v>
      </c>
      <c r="M161" s="20">
        <v>43331</v>
      </c>
      <c r="N161" s="20">
        <v>0</v>
      </c>
      <c r="O161" s="20">
        <v>6433</v>
      </c>
    </row>
    <row r="162" spans="1:15" s="5" customFormat="1" ht="12.65" customHeight="1">
      <c r="A162" s="22" t="s">
        <v>395</v>
      </c>
      <c r="B162" s="21" t="s">
        <v>396</v>
      </c>
      <c r="C162" s="23" t="s">
        <v>75</v>
      </c>
      <c r="D162" s="23" t="s">
        <v>77</v>
      </c>
      <c r="E162" s="9" t="s">
        <v>97</v>
      </c>
      <c r="F162" s="20" t="s">
        <v>1006</v>
      </c>
      <c r="G162" s="43" t="s">
        <v>8</v>
      </c>
      <c r="H162" s="20">
        <v>7000</v>
      </c>
      <c r="I162" s="20"/>
      <c r="J162" s="20">
        <v>14350</v>
      </c>
      <c r="K162" s="20">
        <f t="shared" si="3"/>
        <v>1195.8333333333333</v>
      </c>
      <c r="L162" s="20">
        <v>2369</v>
      </c>
      <c r="M162" s="20">
        <v>53160</v>
      </c>
      <c r="N162" s="20">
        <v>0</v>
      </c>
      <c r="O162" s="20">
        <v>36557</v>
      </c>
    </row>
    <row r="163" spans="1:15" s="5" customFormat="1" ht="12.65" customHeight="1">
      <c r="A163" s="22" t="s">
        <v>397</v>
      </c>
      <c r="B163" s="21" t="s">
        <v>398</v>
      </c>
      <c r="C163" s="23" t="s">
        <v>75</v>
      </c>
      <c r="D163" s="23" t="s">
        <v>77</v>
      </c>
      <c r="E163" s="9" t="s">
        <v>97</v>
      </c>
      <c r="F163" s="20" t="s">
        <v>1005</v>
      </c>
      <c r="G163" s="43" t="s">
        <v>52</v>
      </c>
      <c r="H163" s="20">
        <v>6000</v>
      </c>
      <c r="I163" s="20"/>
      <c r="J163" s="20">
        <v>408</v>
      </c>
      <c r="K163" s="20">
        <f t="shared" si="3"/>
        <v>34</v>
      </c>
      <c r="L163" s="20">
        <v>119</v>
      </c>
      <c r="M163" s="20">
        <v>10839</v>
      </c>
      <c r="N163" s="20">
        <v>42250</v>
      </c>
      <c r="O163" s="20">
        <v>870</v>
      </c>
    </row>
    <row r="164" spans="1:15" s="5" customFormat="1" ht="12.65" customHeight="1">
      <c r="A164" s="22" t="s">
        <v>399</v>
      </c>
      <c r="B164" s="21" t="s">
        <v>400</v>
      </c>
      <c r="C164" s="23" t="s">
        <v>75</v>
      </c>
      <c r="D164" s="23" t="s">
        <v>77</v>
      </c>
      <c r="E164" s="9" t="s">
        <v>78</v>
      </c>
      <c r="F164" s="20" t="s">
        <v>1006</v>
      </c>
      <c r="G164" s="43" t="s">
        <v>5</v>
      </c>
      <c r="H164" s="20">
        <v>11000</v>
      </c>
      <c r="I164" s="20"/>
      <c r="J164" s="20">
        <v>30469</v>
      </c>
      <c r="K164" s="20">
        <f t="shared" si="3"/>
        <v>2539.0833333333335</v>
      </c>
      <c r="L164" s="20">
        <v>2353</v>
      </c>
      <c r="M164" s="20">
        <v>35471</v>
      </c>
      <c r="N164" s="20">
        <v>0</v>
      </c>
      <c r="O164" s="20">
        <v>83961</v>
      </c>
    </row>
    <row r="165" spans="1:15" s="5" customFormat="1" ht="12.65" customHeight="1">
      <c r="A165" s="22" t="s">
        <v>401</v>
      </c>
      <c r="B165" s="21" t="s">
        <v>402</v>
      </c>
      <c r="C165" s="23" t="s">
        <v>75</v>
      </c>
      <c r="D165" s="23" t="s">
        <v>77</v>
      </c>
      <c r="E165" s="9" t="s">
        <v>78</v>
      </c>
      <c r="F165" s="20" t="s">
        <v>1006</v>
      </c>
      <c r="G165" s="43" t="s">
        <v>6</v>
      </c>
      <c r="H165" s="20">
        <v>3500</v>
      </c>
      <c r="I165" s="20"/>
      <c r="J165" s="20">
        <v>2920</v>
      </c>
      <c r="K165" s="20">
        <f t="shared" si="3"/>
        <v>243.33333333333334</v>
      </c>
      <c r="L165" s="20">
        <v>497</v>
      </c>
      <c r="M165" s="20">
        <v>40782</v>
      </c>
      <c r="N165" s="20">
        <v>0</v>
      </c>
      <c r="O165" s="20">
        <v>8018</v>
      </c>
    </row>
    <row r="166" spans="1:15" s="5" customFormat="1" ht="12.65" customHeight="1">
      <c r="A166" s="22" t="s">
        <v>403</v>
      </c>
      <c r="B166" s="21" t="s">
        <v>404</v>
      </c>
      <c r="C166" s="23" t="s">
        <v>75</v>
      </c>
      <c r="D166" s="23" t="s">
        <v>77</v>
      </c>
      <c r="E166" s="9" t="s">
        <v>78</v>
      </c>
      <c r="F166" s="20" t="s">
        <v>1005</v>
      </c>
      <c r="G166" s="43" t="s">
        <v>6</v>
      </c>
      <c r="H166" s="20">
        <v>4000</v>
      </c>
      <c r="I166" s="20"/>
      <c r="J166" s="20">
        <v>4397</v>
      </c>
      <c r="K166" s="20">
        <f t="shared" si="3"/>
        <v>366.41666666666669</v>
      </c>
      <c r="L166" s="20">
        <v>820</v>
      </c>
      <c r="M166" s="20">
        <v>41967</v>
      </c>
      <c r="N166" s="20">
        <v>0</v>
      </c>
      <c r="O166" s="20">
        <v>10701</v>
      </c>
    </row>
    <row r="167" spans="1:15" s="5" customFormat="1" ht="12.65" customHeight="1">
      <c r="A167" s="22" t="s">
        <v>405</v>
      </c>
      <c r="B167" s="21" t="s">
        <v>406</v>
      </c>
      <c r="C167" s="23" t="s">
        <v>75</v>
      </c>
      <c r="D167" s="23" t="s">
        <v>77</v>
      </c>
      <c r="E167" s="9" t="s">
        <v>78</v>
      </c>
      <c r="F167" s="20" t="s">
        <v>1005</v>
      </c>
      <c r="G167" s="43" t="s">
        <v>6</v>
      </c>
      <c r="H167" s="20">
        <v>3500</v>
      </c>
      <c r="I167" s="20"/>
      <c r="J167" s="20">
        <v>2483</v>
      </c>
      <c r="K167" s="20">
        <f t="shared" si="3"/>
        <v>206.91666666666666</v>
      </c>
      <c r="L167" s="20">
        <v>492</v>
      </c>
      <c r="M167" s="20">
        <v>41967</v>
      </c>
      <c r="N167" s="20">
        <v>0</v>
      </c>
      <c r="O167" s="20">
        <v>6791</v>
      </c>
    </row>
    <row r="168" spans="1:15" s="5" customFormat="1" ht="12.65" customHeight="1">
      <c r="A168" s="22" t="s">
        <v>407</v>
      </c>
      <c r="B168" s="21" t="s">
        <v>408</v>
      </c>
      <c r="C168" s="23" t="s">
        <v>75</v>
      </c>
      <c r="D168" s="23" t="s">
        <v>77</v>
      </c>
      <c r="E168" s="9" t="s">
        <v>78</v>
      </c>
      <c r="F168" s="20" t="s">
        <v>989</v>
      </c>
      <c r="G168" s="43" t="s">
        <v>6</v>
      </c>
      <c r="H168" s="20">
        <v>3000</v>
      </c>
      <c r="I168" s="20"/>
      <c r="J168" s="20">
        <v>3343</v>
      </c>
      <c r="K168" s="20">
        <f t="shared" si="3"/>
        <v>278.58333333333331</v>
      </c>
      <c r="L168" s="20">
        <v>656</v>
      </c>
      <c r="M168" s="20">
        <v>43331</v>
      </c>
      <c r="N168" s="20">
        <v>0</v>
      </c>
      <c r="O168" s="20">
        <v>7987</v>
      </c>
    </row>
    <row r="169" spans="1:15" s="5" customFormat="1" ht="12.65" customHeight="1">
      <c r="A169" s="22" t="s">
        <v>156</v>
      </c>
      <c r="B169" s="21" t="s">
        <v>157</v>
      </c>
      <c r="C169" s="23" t="s">
        <v>75</v>
      </c>
      <c r="D169" s="23" t="s">
        <v>77</v>
      </c>
      <c r="E169" s="9" t="s">
        <v>97</v>
      </c>
      <c r="F169" s="20" t="s">
        <v>1007</v>
      </c>
      <c r="G169" s="43" t="s">
        <v>54</v>
      </c>
      <c r="H169" s="20">
        <v>15500</v>
      </c>
      <c r="I169" s="20"/>
      <c r="J169" s="20">
        <v>1920</v>
      </c>
      <c r="K169" s="20">
        <f t="shared" si="3"/>
        <v>160</v>
      </c>
      <c r="L169" s="20">
        <v>226</v>
      </c>
      <c r="M169" s="20">
        <v>22938</v>
      </c>
      <c r="N169" s="20">
        <v>118974</v>
      </c>
      <c r="O169" s="20">
        <v>4517</v>
      </c>
    </row>
    <row r="170" spans="1:15" s="5" customFormat="1" ht="12.65" customHeight="1">
      <c r="A170" s="22" t="s">
        <v>411</v>
      </c>
      <c r="B170" s="21" t="s">
        <v>412</v>
      </c>
      <c r="C170" s="23" t="s">
        <v>75</v>
      </c>
      <c r="D170" s="23" t="s">
        <v>77</v>
      </c>
      <c r="E170" s="9" t="s">
        <v>78</v>
      </c>
      <c r="F170" s="20" t="s">
        <v>989</v>
      </c>
      <c r="G170" s="43" t="s">
        <v>6</v>
      </c>
      <c r="H170" s="20">
        <v>4000</v>
      </c>
      <c r="I170" s="20"/>
      <c r="J170" s="20">
        <v>3607</v>
      </c>
      <c r="K170" s="20">
        <f t="shared" si="3"/>
        <v>300.58333333333331</v>
      </c>
      <c r="L170" s="20">
        <v>588</v>
      </c>
      <c r="M170" s="20">
        <v>43331</v>
      </c>
      <c r="N170" s="20">
        <v>0</v>
      </c>
      <c r="O170" s="20">
        <v>10396</v>
      </c>
    </row>
    <row r="171" spans="1:15" s="5" customFormat="1" ht="12.65" customHeight="1">
      <c r="A171" s="22" t="s">
        <v>413</v>
      </c>
      <c r="B171" s="21" t="s">
        <v>414</v>
      </c>
      <c r="C171" s="23" t="s">
        <v>75</v>
      </c>
      <c r="D171" s="23" t="s">
        <v>77</v>
      </c>
      <c r="E171" s="9" t="s">
        <v>78</v>
      </c>
      <c r="F171" s="20" t="s">
        <v>1005</v>
      </c>
      <c r="G171" s="43" t="s">
        <v>6</v>
      </c>
      <c r="H171" s="20">
        <v>4500</v>
      </c>
      <c r="I171" s="20"/>
      <c r="J171" s="20">
        <v>7370</v>
      </c>
      <c r="K171" s="20">
        <f t="shared" si="3"/>
        <v>614.16666666666663</v>
      </c>
      <c r="L171" s="20">
        <v>1251</v>
      </c>
      <c r="M171" s="20">
        <v>41967</v>
      </c>
      <c r="N171" s="20">
        <v>0</v>
      </c>
      <c r="O171" s="20">
        <v>21679</v>
      </c>
    </row>
    <row r="172" spans="1:15" s="5" customFormat="1" ht="12.65" customHeight="1">
      <c r="A172" s="22" t="s">
        <v>415</v>
      </c>
      <c r="B172" s="21" t="s">
        <v>416</v>
      </c>
      <c r="C172" s="23" t="s">
        <v>75</v>
      </c>
      <c r="D172" s="23" t="s">
        <v>77</v>
      </c>
      <c r="E172" s="9" t="s">
        <v>97</v>
      </c>
      <c r="F172" s="20" t="s">
        <v>1007</v>
      </c>
      <c r="G172" s="43" t="s">
        <v>54</v>
      </c>
      <c r="H172" s="20">
        <v>12000</v>
      </c>
      <c r="I172" s="20"/>
      <c r="J172" s="20">
        <v>789</v>
      </c>
      <c r="K172" s="20">
        <f t="shared" si="3"/>
        <v>65.75</v>
      </c>
      <c r="L172" s="20">
        <v>176</v>
      </c>
      <c r="M172" s="20">
        <v>22938</v>
      </c>
      <c r="N172" s="20">
        <v>84865</v>
      </c>
      <c r="O172" s="20">
        <v>2109</v>
      </c>
    </row>
    <row r="173" spans="1:15" s="5" customFormat="1" ht="12.65" customHeight="1">
      <c r="A173" s="22" t="s">
        <v>417</v>
      </c>
      <c r="B173" s="21" t="s">
        <v>418</v>
      </c>
      <c r="C173" s="23" t="s">
        <v>75</v>
      </c>
      <c r="D173" s="23" t="s">
        <v>77</v>
      </c>
      <c r="E173" s="9" t="s">
        <v>97</v>
      </c>
      <c r="F173" s="20" t="s">
        <v>989</v>
      </c>
      <c r="G173" s="43" t="s">
        <v>54</v>
      </c>
      <c r="H173" s="20">
        <v>8000</v>
      </c>
      <c r="I173" s="20"/>
      <c r="J173" s="20">
        <v>390</v>
      </c>
      <c r="K173" s="20">
        <f t="shared" si="3"/>
        <v>32.5</v>
      </c>
      <c r="L173" s="20">
        <v>100</v>
      </c>
      <c r="M173" s="20">
        <v>22596</v>
      </c>
      <c r="N173" s="20">
        <v>50537</v>
      </c>
      <c r="O173" s="20">
        <v>917</v>
      </c>
    </row>
    <row r="174" spans="1:15" s="5" customFormat="1" ht="12.65" customHeight="1">
      <c r="A174" s="22" t="s">
        <v>173</v>
      </c>
      <c r="B174" s="21" t="s">
        <v>174</v>
      </c>
      <c r="C174" s="23" t="s">
        <v>75</v>
      </c>
      <c r="D174" s="23" t="s">
        <v>77</v>
      </c>
      <c r="E174" s="9" t="s">
        <v>78</v>
      </c>
      <c r="F174" s="20" t="s">
        <v>1006</v>
      </c>
      <c r="G174" s="43" t="s">
        <v>6</v>
      </c>
      <c r="H174" s="20">
        <v>3000</v>
      </c>
      <c r="I174" s="20"/>
      <c r="J174" s="20">
        <v>3866</v>
      </c>
      <c r="K174" s="20">
        <f t="shared" si="3"/>
        <v>322.16666666666669</v>
      </c>
      <c r="L174" s="20">
        <v>682</v>
      </c>
      <c r="M174" s="20">
        <v>40792</v>
      </c>
      <c r="N174" s="20">
        <v>0</v>
      </c>
      <c r="O174" s="20">
        <v>10034</v>
      </c>
    </row>
    <row r="175" spans="1:15" s="5" customFormat="1" ht="12.65" customHeight="1">
      <c r="A175" s="22" t="s">
        <v>421</v>
      </c>
      <c r="B175" s="21" t="s">
        <v>422</v>
      </c>
      <c r="C175" s="23" t="s">
        <v>75</v>
      </c>
      <c r="D175" s="23" t="s">
        <v>77</v>
      </c>
      <c r="E175" s="9" t="s">
        <v>78</v>
      </c>
      <c r="F175" s="20" t="s">
        <v>1007</v>
      </c>
      <c r="G175" s="43" t="s">
        <v>6</v>
      </c>
      <c r="H175" s="20">
        <v>3000</v>
      </c>
      <c r="I175" s="20"/>
      <c r="J175" s="20">
        <v>3263</v>
      </c>
      <c r="K175" s="20">
        <f t="shared" si="3"/>
        <v>271.91666666666669</v>
      </c>
      <c r="L175" s="20">
        <v>634</v>
      </c>
      <c r="M175" s="20">
        <v>43971</v>
      </c>
      <c r="N175" s="20">
        <v>0</v>
      </c>
      <c r="O175" s="20">
        <v>9016</v>
      </c>
    </row>
    <row r="176" spans="1:15" s="5" customFormat="1" ht="12.65" customHeight="1">
      <c r="A176" s="22" t="s">
        <v>423</v>
      </c>
      <c r="B176" s="21" t="s">
        <v>424</v>
      </c>
      <c r="C176" s="23" t="s">
        <v>75</v>
      </c>
      <c r="D176" s="23" t="s">
        <v>77</v>
      </c>
      <c r="E176" s="9" t="s">
        <v>97</v>
      </c>
      <c r="F176" s="20" t="s">
        <v>1005</v>
      </c>
      <c r="G176" s="43" t="s">
        <v>54</v>
      </c>
      <c r="H176" s="20">
        <v>10000</v>
      </c>
      <c r="I176" s="20"/>
      <c r="J176" s="20">
        <v>347</v>
      </c>
      <c r="K176" s="20">
        <f t="shared" si="3"/>
        <v>28.916666666666668</v>
      </c>
      <c r="L176" s="20">
        <v>97</v>
      </c>
      <c r="M176" s="20">
        <v>21677</v>
      </c>
      <c r="N176" s="20">
        <v>68991</v>
      </c>
      <c r="O176" s="20">
        <v>761</v>
      </c>
    </row>
    <row r="177" spans="1:15" s="5" customFormat="1" ht="12.65" customHeight="1">
      <c r="A177" s="22" t="s">
        <v>425</v>
      </c>
      <c r="B177" s="21" t="s">
        <v>426</v>
      </c>
      <c r="C177" s="23" t="s">
        <v>75</v>
      </c>
      <c r="D177" s="23" t="s">
        <v>77</v>
      </c>
      <c r="E177" s="9" t="s">
        <v>78</v>
      </c>
      <c r="F177" s="20" t="s">
        <v>989</v>
      </c>
      <c r="G177" s="43" t="s">
        <v>6</v>
      </c>
      <c r="H177" s="20">
        <v>4500</v>
      </c>
      <c r="I177" s="20"/>
      <c r="J177" s="20">
        <v>6895</v>
      </c>
      <c r="K177" s="20">
        <f t="shared" si="3"/>
        <v>574.58333333333337</v>
      </c>
      <c r="L177" s="20">
        <v>998</v>
      </c>
      <c r="M177" s="20">
        <v>43331</v>
      </c>
      <c r="N177" s="20">
        <v>0</v>
      </c>
      <c r="O177" s="20">
        <v>20499</v>
      </c>
    </row>
    <row r="178" spans="1:15" s="5" customFormat="1" ht="12.65" customHeight="1">
      <c r="A178" s="22" t="s">
        <v>427</v>
      </c>
      <c r="B178" s="21" t="s">
        <v>428</v>
      </c>
      <c r="C178" s="23" t="s">
        <v>75</v>
      </c>
      <c r="D178" s="23" t="s">
        <v>77</v>
      </c>
      <c r="E178" s="9" t="s">
        <v>97</v>
      </c>
      <c r="F178" s="20" t="s">
        <v>1005</v>
      </c>
      <c r="G178" s="43" t="s">
        <v>54</v>
      </c>
      <c r="H178" s="20">
        <v>12000</v>
      </c>
      <c r="I178" s="20"/>
      <c r="J178" s="20">
        <v>419</v>
      </c>
      <c r="K178" s="20">
        <f t="shared" si="3"/>
        <v>34.916666666666664</v>
      </c>
      <c r="L178" s="20">
        <v>110</v>
      </c>
      <c r="M178" s="20">
        <v>21677</v>
      </c>
      <c r="N178" s="20">
        <v>87448</v>
      </c>
      <c r="O178" s="20">
        <v>973</v>
      </c>
    </row>
    <row r="179" spans="1:15" s="5" customFormat="1" ht="12.65" customHeight="1">
      <c r="A179" s="22" t="s">
        <v>429</v>
      </c>
      <c r="B179" s="21" t="s">
        <v>430</v>
      </c>
      <c r="C179" s="23" t="s">
        <v>75</v>
      </c>
      <c r="D179" s="23" t="s">
        <v>77</v>
      </c>
      <c r="E179" s="9" t="s">
        <v>97</v>
      </c>
      <c r="F179" s="20" t="s">
        <v>989</v>
      </c>
      <c r="G179" s="43" t="s">
        <v>53</v>
      </c>
      <c r="H179" s="20">
        <v>10000</v>
      </c>
      <c r="I179" s="20"/>
      <c r="J179" s="20">
        <v>539</v>
      </c>
      <c r="K179" s="20">
        <f t="shared" si="3"/>
        <v>44.916666666666664</v>
      </c>
      <c r="L179" s="20">
        <v>111</v>
      </c>
      <c r="M179" s="20">
        <v>16947</v>
      </c>
      <c r="N179" s="20">
        <v>72974</v>
      </c>
      <c r="O179" s="20">
        <v>1445</v>
      </c>
    </row>
    <row r="180" spans="1:15" s="5" customFormat="1" ht="12.65" customHeight="1">
      <c r="A180" s="22" t="s">
        <v>431</v>
      </c>
      <c r="B180" s="21" t="s">
        <v>432</v>
      </c>
      <c r="C180" s="23" t="s">
        <v>75</v>
      </c>
      <c r="D180" s="23" t="s">
        <v>77</v>
      </c>
      <c r="E180" s="9" t="s">
        <v>97</v>
      </c>
      <c r="F180" s="20" t="s">
        <v>1005</v>
      </c>
      <c r="G180" s="43" t="s">
        <v>54</v>
      </c>
      <c r="H180" s="20">
        <v>11000</v>
      </c>
      <c r="I180" s="20"/>
      <c r="J180" s="20">
        <v>382</v>
      </c>
      <c r="K180" s="20">
        <f t="shared" si="3"/>
        <v>31.833333333333332</v>
      </c>
      <c r="L180" s="20">
        <v>104</v>
      </c>
      <c r="M180" s="20">
        <v>21677</v>
      </c>
      <c r="N180" s="20">
        <v>78151</v>
      </c>
      <c r="O180" s="20">
        <v>858</v>
      </c>
    </row>
    <row r="181" spans="1:15" s="5" customFormat="1" ht="12.65" customHeight="1">
      <c r="A181" s="22" t="s">
        <v>433</v>
      </c>
      <c r="B181" s="21" t="s">
        <v>434</v>
      </c>
      <c r="C181" s="23" t="s">
        <v>75</v>
      </c>
      <c r="D181" s="23" t="s">
        <v>77</v>
      </c>
      <c r="E181" s="9" t="s">
        <v>78</v>
      </c>
      <c r="F181" s="20" t="s">
        <v>1005</v>
      </c>
      <c r="G181" s="43" t="s">
        <v>6</v>
      </c>
      <c r="H181" s="20">
        <v>3000</v>
      </c>
      <c r="I181" s="20"/>
      <c r="J181" s="20">
        <v>3305</v>
      </c>
      <c r="K181" s="20">
        <f t="shared" si="3"/>
        <v>275.41666666666669</v>
      </c>
      <c r="L181" s="20">
        <v>933</v>
      </c>
      <c r="M181" s="20">
        <v>41967</v>
      </c>
      <c r="N181" s="20">
        <v>0</v>
      </c>
      <c r="O181" s="20">
        <v>7651</v>
      </c>
    </row>
    <row r="182" spans="1:15" s="5" customFormat="1" ht="12.65" customHeight="1">
      <c r="A182" s="22" t="s">
        <v>435</v>
      </c>
      <c r="B182" s="21" t="s">
        <v>436</v>
      </c>
      <c r="C182" s="23" t="s">
        <v>75</v>
      </c>
      <c r="D182" s="23" t="s">
        <v>77</v>
      </c>
      <c r="E182" s="9" t="s">
        <v>78</v>
      </c>
      <c r="F182" s="20" t="s">
        <v>1007</v>
      </c>
      <c r="G182" s="43" t="s">
        <v>5</v>
      </c>
      <c r="H182" s="20">
        <v>4000</v>
      </c>
      <c r="I182" s="20"/>
      <c r="J182" s="20">
        <v>4707</v>
      </c>
      <c r="K182" s="20">
        <f t="shared" si="3"/>
        <v>392.25</v>
      </c>
      <c r="L182" s="20">
        <v>861</v>
      </c>
      <c r="M182" s="20">
        <v>38237</v>
      </c>
      <c r="N182" s="20">
        <v>0</v>
      </c>
      <c r="O182" s="20">
        <v>11559</v>
      </c>
    </row>
    <row r="183" spans="1:15" s="5" customFormat="1" ht="12.65" customHeight="1">
      <c r="A183" s="22" t="s">
        <v>437</v>
      </c>
      <c r="B183" s="21" t="s">
        <v>438</v>
      </c>
      <c r="C183" s="23" t="s">
        <v>75</v>
      </c>
      <c r="D183" s="23" t="s">
        <v>77</v>
      </c>
      <c r="E183" s="9" t="s">
        <v>97</v>
      </c>
      <c r="F183" s="20" t="s">
        <v>1007</v>
      </c>
      <c r="G183" s="43" t="s">
        <v>54</v>
      </c>
      <c r="H183" s="20">
        <v>8000</v>
      </c>
      <c r="I183" s="20"/>
      <c r="J183" s="20">
        <v>523</v>
      </c>
      <c r="K183" s="20">
        <f t="shared" si="3"/>
        <v>43.583333333333336</v>
      </c>
      <c r="L183" s="20">
        <v>152</v>
      </c>
      <c r="M183" s="20">
        <v>22938</v>
      </c>
      <c r="N183" s="20">
        <v>49926</v>
      </c>
      <c r="O183" s="20">
        <v>1117</v>
      </c>
    </row>
    <row r="184" spans="1:15" s="5" customFormat="1" ht="12.65" customHeight="1">
      <c r="A184" s="22" t="s">
        <v>439</v>
      </c>
      <c r="B184" s="21" t="s">
        <v>440</v>
      </c>
      <c r="C184" s="23" t="s">
        <v>75</v>
      </c>
      <c r="D184" s="23" t="s">
        <v>77</v>
      </c>
      <c r="E184" s="9" t="s">
        <v>97</v>
      </c>
      <c r="F184" s="20" t="s">
        <v>1006</v>
      </c>
      <c r="G184" s="43" t="s">
        <v>54</v>
      </c>
      <c r="H184" s="20">
        <v>15000</v>
      </c>
      <c r="I184" s="20"/>
      <c r="J184" s="20">
        <v>863</v>
      </c>
      <c r="K184" s="20">
        <f t="shared" si="3"/>
        <v>71.916666666666671</v>
      </c>
      <c r="L184" s="20">
        <v>187</v>
      </c>
      <c r="M184" s="20">
        <v>21275</v>
      </c>
      <c r="N184" s="20">
        <v>114692</v>
      </c>
      <c r="O184" s="20">
        <v>2337</v>
      </c>
    </row>
    <row r="185" spans="1:15" s="5" customFormat="1" ht="12.65" customHeight="1">
      <c r="A185" s="22" t="s">
        <v>441</v>
      </c>
      <c r="B185" s="21" t="s">
        <v>442</v>
      </c>
      <c r="C185" s="23" t="s">
        <v>75</v>
      </c>
      <c r="D185" s="23" t="s">
        <v>77</v>
      </c>
      <c r="E185" s="9" t="s">
        <v>97</v>
      </c>
      <c r="F185" s="20" t="s">
        <v>1005</v>
      </c>
      <c r="G185" s="43" t="s">
        <v>50</v>
      </c>
      <c r="H185" s="20">
        <v>20000</v>
      </c>
      <c r="I185" s="20"/>
      <c r="J185" s="20">
        <v>854</v>
      </c>
      <c r="K185" s="20">
        <f t="shared" si="3"/>
        <v>71.166666666666671</v>
      </c>
      <c r="L185" s="20">
        <v>138</v>
      </c>
      <c r="M185" s="20">
        <v>0</v>
      </c>
      <c r="N185" s="20">
        <v>187132</v>
      </c>
      <c r="O185" s="20">
        <v>2211</v>
      </c>
    </row>
    <row r="186" spans="1:15" s="5" customFormat="1" ht="12.65" customHeight="1">
      <c r="A186" s="22" t="s">
        <v>443</v>
      </c>
      <c r="B186" s="21" t="s">
        <v>444</v>
      </c>
      <c r="C186" s="23" t="s">
        <v>75</v>
      </c>
      <c r="D186" s="23" t="s">
        <v>77</v>
      </c>
      <c r="E186" s="9" t="s">
        <v>97</v>
      </c>
      <c r="F186" s="20" t="s">
        <v>989</v>
      </c>
      <c r="G186" s="43" t="s">
        <v>51</v>
      </c>
      <c r="H186" s="20">
        <v>8000</v>
      </c>
      <c r="I186" s="20"/>
      <c r="J186" s="20">
        <v>517</v>
      </c>
      <c r="K186" s="20">
        <f t="shared" si="3"/>
        <v>43.083333333333336</v>
      </c>
      <c r="L186" s="20">
        <v>126</v>
      </c>
      <c r="M186" s="20">
        <v>5643</v>
      </c>
      <c r="N186" s="20">
        <v>66193</v>
      </c>
      <c r="O186" s="20">
        <v>1210</v>
      </c>
    </row>
    <row r="187" spans="1:15" s="5" customFormat="1" ht="12.65" customHeight="1">
      <c r="A187" s="22" t="s">
        <v>445</v>
      </c>
      <c r="B187" s="21" t="s">
        <v>446</v>
      </c>
      <c r="C187" s="23" t="s">
        <v>75</v>
      </c>
      <c r="D187" s="23" t="s">
        <v>77</v>
      </c>
      <c r="E187" s="9" t="s">
        <v>78</v>
      </c>
      <c r="F187" s="20" t="s">
        <v>1005</v>
      </c>
      <c r="G187" s="43" t="s">
        <v>6</v>
      </c>
      <c r="H187" s="20">
        <v>2000</v>
      </c>
      <c r="I187" s="20"/>
      <c r="J187" s="20">
        <v>972</v>
      </c>
      <c r="K187" s="20">
        <f t="shared" si="3"/>
        <v>81</v>
      </c>
      <c r="L187" s="20">
        <v>381</v>
      </c>
      <c r="M187" s="20">
        <v>41967</v>
      </c>
      <c r="N187" s="20">
        <v>0</v>
      </c>
      <c r="O187" s="20">
        <v>2111</v>
      </c>
    </row>
    <row r="188" spans="1:15" s="5" customFormat="1" ht="12.65" customHeight="1">
      <c r="A188" s="22" t="s">
        <v>447</v>
      </c>
      <c r="B188" s="21" t="s">
        <v>448</v>
      </c>
      <c r="C188" s="23" t="s">
        <v>75</v>
      </c>
      <c r="D188" s="23" t="s">
        <v>77</v>
      </c>
      <c r="E188" s="9" t="s">
        <v>97</v>
      </c>
      <c r="F188" s="20" t="s">
        <v>1006</v>
      </c>
      <c r="G188" s="43" t="s">
        <v>54</v>
      </c>
      <c r="H188" s="20">
        <v>8000</v>
      </c>
      <c r="I188" s="20"/>
      <c r="J188" s="20">
        <v>457</v>
      </c>
      <c r="K188" s="20">
        <f t="shared" si="3"/>
        <v>38.083333333333336</v>
      </c>
      <c r="L188" s="20">
        <v>150</v>
      </c>
      <c r="M188" s="20">
        <v>21275</v>
      </c>
      <c r="N188" s="20">
        <v>51606</v>
      </c>
      <c r="O188" s="20">
        <v>909</v>
      </c>
    </row>
    <row r="189" spans="1:15" s="5" customFormat="1" ht="12.65" customHeight="1">
      <c r="A189" s="22" t="s">
        <v>449</v>
      </c>
      <c r="B189" s="21" t="s">
        <v>450</v>
      </c>
      <c r="C189" s="23" t="s">
        <v>75</v>
      </c>
      <c r="D189" s="23" t="s">
        <v>77</v>
      </c>
      <c r="E189" s="9" t="s">
        <v>97</v>
      </c>
      <c r="F189" s="20" t="s">
        <v>989</v>
      </c>
      <c r="G189" s="43" t="s">
        <v>4</v>
      </c>
      <c r="H189" s="20">
        <v>3000</v>
      </c>
      <c r="I189" s="20"/>
      <c r="J189" s="20">
        <v>4817</v>
      </c>
      <c r="K189" s="20">
        <f t="shared" si="3"/>
        <v>401.41666666666669</v>
      </c>
      <c r="L189" s="20">
        <v>882</v>
      </c>
      <c r="M189" s="20">
        <v>28245</v>
      </c>
      <c r="N189" s="20">
        <v>0</v>
      </c>
      <c r="O189" s="20">
        <v>11827</v>
      </c>
    </row>
    <row r="190" spans="1:15" s="5" customFormat="1" ht="12.65" customHeight="1">
      <c r="A190" s="22" t="s">
        <v>451</v>
      </c>
      <c r="B190" s="21" t="s">
        <v>452</v>
      </c>
      <c r="C190" s="23" t="s">
        <v>75</v>
      </c>
      <c r="D190" s="23" t="s">
        <v>77</v>
      </c>
      <c r="E190" s="9" t="s">
        <v>97</v>
      </c>
      <c r="F190" s="20" t="s">
        <v>1006</v>
      </c>
      <c r="G190" s="43" t="s">
        <v>54</v>
      </c>
      <c r="H190" s="20">
        <v>13000</v>
      </c>
      <c r="I190" s="20"/>
      <c r="J190" s="20">
        <v>767</v>
      </c>
      <c r="K190" s="20">
        <f t="shared" si="3"/>
        <v>63.916666666666664</v>
      </c>
      <c r="L190" s="20">
        <v>172</v>
      </c>
      <c r="M190" s="20">
        <v>21275</v>
      </c>
      <c r="N190" s="20">
        <v>96106</v>
      </c>
      <c r="O190" s="20">
        <v>2039</v>
      </c>
    </row>
    <row r="191" spans="1:15" s="5" customFormat="1" ht="12.65" customHeight="1">
      <c r="A191" s="22" t="s">
        <v>453</v>
      </c>
      <c r="B191" s="21" t="s">
        <v>454</v>
      </c>
      <c r="C191" s="23" t="s">
        <v>75</v>
      </c>
      <c r="D191" s="23" t="s">
        <v>77</v>
      </c>
      <c r="E191" s="9" t="s">
        <v>78</v>
      </c>
      <c r="F191" s="20" t="s">
        <v>989</v>
      </c>
      <c r="G191" s="43" t="s">
        <v>7</v>
      </c>
      <c r="H191" s="20">
        <v>6000</v>
      </c>
      <c r="I191" s="20"/>
      <c r="J191" s="20">
        <v>12676</v>
      </c>
      <c r="K191" s="20">
        <f t="shared" si="3"/>
        <v>1056.3333333333333</v>
      </c>
      <c r="L191" s="20">
        <v>2111</v>
      </c>
      <c r="M191" s="20">
        <v>50842</v>
      </c>
      <c r="N191" s="20">
        <v>0</v>
      </c>
      <c r="O191" s="20">
        <v>32195</v>
      </c>
    </row>
    <row r="192" spans="1:15" s="5" customFormat="1" ht="12.65" customHeight="1">
      <c r="A192" s="22" t="s">
        <v>455</v>
      </c>
      <c r="B192" s="21" t="s">
        <v>456</v>
      </c>
      <c r="C192" s="23" t="s">
        <v>75</v>
      </c>
      <c r="D192" s="23" t="s">
        <v>77</v>
      </c>
      <c r="E192" s="9" t="s">
        <v>97</v>
      </c>
      <c r="F192" s="20" t="s">
        <v>1005</v>
      </c>
      <c r="G192" s="43" t="s">
        <v>54</v>
      </c>
      <c r="H192" s="20">
        <v>9000</v>
      </c>
      <c r="I192" s="20"/>
      <c r="J192" s="20">
        <v>292</v>
      </c>
      <c r="K192" s="20">
        <f t="shared" si="3"/>
        <v>24.333333333333332</v>
      </c>
      <c r="L192" s="20">
        <v>92</v>
      </c>
      <c r="M192" s="20">
        <v>21677</v>
      </c>
      <c r="N192" s="20">
        <v>60182</v>
      </c>
      <c r="O192" s="20">
        <v>552</v>
      </c>
    </row>
    <row r="193" spans="1:15" s="5" customFormat="1" ht="12.65" customHeight="1">
      <c r="A193" s="22" t="s">
        <v>457</v>
      </c>
      <c r="B193" s="21" t="s">
        <v>458</v>
      </c>
      <c r="C193" s="23" t="s">
        <v>75</v>
      </c>
      <c r="D193" s="23" t="s">
        <v>77</v>
      </c>
      <c r="E193" s="9" t="s">
        <v>97</v>
      </c>
      <c r="F193" s="20" t="s">
        <v>1005</v>
      </c>
      <c r="G193" s="43" t="s">
        <v>54</v>
      </c>
      <c r="H193" s="20">
        <v>12000</v>
      </c>
      <c r="I193" s="20"/>
      <c r="J193" s="20">
        <v>419</v>
      </c>
      <c r="K193" s="20">
        <f t="shared" si="3"/>
        <v>34.916666666666664</v>
      </c>
      <c r="L193" s="20">
        <v>110</v>
      </c>
      <c r="M193" s="20">
        <v>21677</v>
      </c>
      <c r="N193" s="20">
        <v>87448</v>
      </c>
      <c r="O193" s="20">
        <v>973</v>
      </c>
    </row>
    <row r="194" spans="1:15" s="5" customFormat="1" ht="12.65" customHeight="1">
      <c r="A194" s="22" t="s">
        <v>459</v>
      </c>
      <c r="B194" s="21" t="s">
        <v>460</v>
      </c>
      <c r="C194" s="23" t="s">
        <v>75</v>
      </c>
      <c r="D194" s="23" t="s">
        <v>77</v>
      </c>
      <c r="E194" s="9" t="s">
        <v>97</v>
      </c>
      <c r="F194" s="20" t="s">
        <v>1007</v>
      </c>
      <c r="G194" s="43" t="s">
        <v>54</v>
      </c>
      <c r="H194" s="20">
        <v>15500</v>
      </c>
      <c r="I194" s="20"/>
      <c r="J194" s="20">
        <v>1920</v>
      </c>
      <c r="K194" s="20">
        <f t="shared" si="3"/>
        <v>160</v>
      </c>
      <c r="L194" s="20">
        <v>226</v>
      </c>
      <c r="M194" s="20">
        <v>22938</v>
      </c>
      <c r="N194" s="20">
        <v>118974</v>
      </c>
      <c r="O194" s="20">
        <v>4517</v>
      </c>
    </row>
    <row r="195" spans="1:15" s="5" customFormat="1" ht="12.65" customHeight="1">
      <c r="A195" s="22" t="s">
        <v>461</v>
      </c>
      <c r="B195" s="21" t="s">
        <v>462</v>
      </c>
      <c r="C195" s="23" t="s">
        <v>75</v>
      </c>
      <c r="D195" s="23" t="s">
        <v>77</v>
      </c>
      <c r="E195" s="9" t="s">
        <v>97</v>
      </c>
      <c r="F195" s="20" t="s">
        <v>1005</v>
      </c>
      <c r="G195" s="43" t="s">
        <v>54</v>
      </c>
      <c r="H195" s="20">
        <v>14500</v>
      </c>
      <c r="I195" s="20"/>
      <c r="J195" s="20">
        <v>540</v>
      </c>
      <c r="K195" s="20">
        <f t="shared" si="3"/>
        <v>45</v>
      </c>
      <c r="L195" s="20">
        <v>126</v>
      </c>
      <c r="M195" s="20">
        <v>21677</v>
      </c>
      <c r="N195" s="20">
        <v>113031</v>
      </c>
      <c r="O195" s="20">
        <v>1332</v>
      </c>
    </row>
    <row r="196" spans="1:15" s="5" customFormat="1" ht="12.65" customHeight="1">
      <c r="A196" s="22" t="s">
        <v>463</v>
      </c>
      <c r="B196" s="21" t="s">
        <v>464</v>
      </c>
      <c r="C196" s="23" t="s">
        <v>75</v>
      </c>
      <c r="D196" s="23" t="s">
        <v>77</v>
      </c>
      <c r="E196" s="9" t="s">
        <v>78</v>
      </c>
      <c r="F196" s="20" t="s">
        <v>989</v>
      </c>
      <c r="G196" s="43" t="s">
        <v>4</v>
      </c>
      <c r="H196" s="20">
        <v>4000</v>
      </c>
      <c r="I196" s="20"/>
      <c r="J196" s="20">
        <v>7040</v>
      </c>
      <c r="K196" s="20">
        <f t="shared" si="3"/>
        <v>586.66666666666663</v>
      </c>
      <c r="L196" s="20">
        <v>1221</v>
      </c>
      <c r="M196" s="20">
        <v>28245</v>
      </c>
      <c r="N196" s="20">
        <v>0</v>
      </c>
      <c r="O196" s="20">
        <v>17631</v>
      </c>
    </row>
    <row r="197" spans="1:15" s="5" customFormat="1" ht="12.65" customHeight="1">
      <c r="A197" s="22" t="s">
        <v>409</v>
      </c>
      <c r="B197" s="21" t="s">
        <v>410</v>
      </c>
      <c r="C197" s="23" t="s">
        <v>75</v>
      </c>
      <c r="D197" s="23" t="s">
        <v>77</v>
      </c>
      <c r="E197" s="9" t="s">
        <v>97</v>
      </c>
      <c r="F197" s="20" t="s">
        <v>1007</v>
      </c>
      <c r="G197" s="43" t="s">
        <v>54</v>
      </c>
      <c r="H197" s="20">
        <v>17500</v>
      </c>
      <c r="I197" s="20"/>
      <c r="J197" s="20">
        <v>1589</v>
      </c>
      <c r="K197" s="20">
        <f t="shared" si="3"/>
        <v>132.41666666666666</v>
      </c>
      <c r="L197" s="20">
        <v>147</v>
      </c>
      <c r="M197" s="20">
        <v>22957</v>
      </c>
      <c r="N197" s="20">
        <v>141974</v>
      </c>
      <c r="O197" s="20">
        <v>4180</v>
      </c>
    </row>
    <row r="198" spans="1:15" s="5" customFormat="1" ht="12.65" customHeight="1">
      <c r="A198" s="22" t="s">
        <v>467</v>
      </c>
      <c r="B198" s="21" t="s">
        <v>468</v>
      </c>
      <c r="C198" s="23" t="s">
        <v>75</v>
      </c>
      <c r="D198" s="23" t="s">
        <v>77</v>
      </c>
      <c r="E198" s="9" t="s">
        <v>97</v>
      </c>
      <c r="F198" s="20" t="s">
        <v>1007</v>
      </c>
      <c r="G198" s="43" t="s">
        <v>54</v>
      </c>
      <c r="H198" s="20">
        <v>13000</v>
      </c>
      <c r="I198" s="20"/>
      <c r="J198" s="20">
        <v>884</v>
      </c>
      <c r="K198" s="20">
        <f t="shared" si="3"/>
        <v>73.666666666666671</v>
      </c>
      <c r="L198" s="20">
        <v>194</v>
      </c>
      <c r="M198" s="20">
        <v>22938</v>
      </c>
      <c r="N198" s="20">
        <v>94211</v>
      </c>
      <c r="O198" s="20">
        <v>2183</v>
      </c>
    </row>
    <row r="199" spans="1:15" s="5" customFormat="1" ht="12.65" customHeight="1">
      <c r="A199" s="22" t="s">
        <v>469</v>
      </c>
      <c r="B199" s="21" t="s">
        <v>470</v>
      </c>
      <c r="C199" s="23" t="s">
        <v>75</v>
      </c>
      <c r="D199" s="23" t="s">
        <v>77</v>
      </c>
      <c r="E199" s="9" t="s">
        <v>97</v>
      </c>
      <c r="F199" s="20" t="s">
        <v>1005</v>
      </c>
      <c r="G199" s="43" t="s">
        <v>54</v>
      </c>
      <c r="H199" s="20">
        <v>17000</v>
      </c>
      <c r="I199" s="20"/>
      <c r="J199" s="20">
        <v>645</v>
      </c>
      <c r="K199" s="20">
        <f t="shared" si="3"/>
        <v>53.75</v>
      </c>
      <c r="L199" s="20">
        <v>118</v>
      </c>
      <c r="M199" s="20">
        <v>21677</v>
      </c>
      <c r="N199" s="20">
        <v>135508</v>
      </c>
      <c r="O199" s="20">
        <v>2691</v>
      </c>
    </row>
    <row r="200" spans="1:15" s="5" customFormat="1" ht="12.65" customHeight="1">
      <c r="A200" s="22" t="s">
        <v>275</v>
      </c>
      <c r="B200" s="21" t="s">
        <v>276</v>
      </c>
      <c r="C200" s="23" t="s">
        <v>75</v>
      </c>
      <c r="D200" s="23" t="s">
        <v>77</v>
      </c>
      <c r="E200" s="9" t="s">
        <v>78</v>
      </c>
      <c r="F200" s="20" t="s">
        <v>1005</v>
      </c>
      <c r="G200" s="43" t="s">
        <v>60</v>
      </c>
      <c r="H200" s="20">
        <v>4000</v>
      </c>
      <c r="I200" s="20"/>
      <c r="J200" s="20">
        <v>687</v>
      </c>
      <c r="K200" s="20">
        <f t="shared" ref="K200:K263" si="4">J200/12</f>
        <v>57.25</v>
      </c>
      <c r="L200" s="20">
        <v>143</v>
      </c>
      <c r="M200" s="20">
        <v>0</v>
      </c>
      <c r="N200" s="20">
        <v>34772</v>
      </c>
      <c r="O200" s="20">
        <v>1286</v>
      </c>
    </row>
    <row r="201" spans="1:15" s="5" customFormat="1" ht="12.65" customHeight="1">
      <c r="A201" s="22" t="s">
        <v>473</v>
      </c>
      <c r="B201" s="21" t="s">
        <v>474</v>
      </c>
      <c r="C201" s="23" t="s">
        <v>75</v>
      </c>
      <c r="D201" s="23" t="s">
        <v>77</v>
      </c>
      <c r="E201" s="9" t="s">
        <v>97</v>
      </c>
      <c r="F201" s="20" t="s">
        <v>1005</v>
      </c>
      <c r="G201" s="43" t="s">
        <v>64</v>
      </c>
      <c r="H201" s="20">
        <v>5000</v>
      </c>
      <c r="I201" s="20"/>
      <c r="J201" s="20">
        <v>788</v>
      </c>
      <c r="K201" s="20">
        <f t="shared" si="4"/>
        <v>65.666666666666671</v>
      </c>
      <c r="L201" s="20">
        <v>93</v>
      </c>
      <c r="M201" s="20">
        <v>21677</v>
      </c>
      <c r="N201" s="20">
        <v>27990</v>
      </c>
      <c r="O201" s="20">
        <v>1853</v>
      </c>
    </row>
    <row r="202" spans="1:15" s="5" customFormat="1" ht="12.65" customHeight="1">
      <c r="A202" s="22" t="s">
        <v>475</v>
      </c>
      <c r="B202" s="21" t="s">
        <v>476</v>
      </c>
      <c r="C202" s="23" t="s">
        <v>75</v>
      </c>
      <c r="D202" s="23" t="s">
        <v>77</v>
      </c>
      <c r="E202" s="9" t="s">
        <v>97</v>
      </c>
      <c r="F202" s="20" t="s">
        <v>1005</v>
      </c>
      <c r="G202" s="43" t="s">
        <v>52</v>
      </c>
      <c r="H202" s="20">
        <v>6000</v>
      </c>
      <c r="I202" s="20"/>
      <c r="J202" s="20">
        <v>408</v>
      </c>
      <c r="K202" s="20">
        <f t="shared" si="4"/>
        <v>34</v>
      </c>
      <c r="L202" s="20">
        <v>119</v>
      </c>
      <c r="M202" s="20">
        <v>10839</v>
      </c>
      <c r="N202" s="20">
        <v>42250</v>
      </c>
      <c r="O202" s="20">
        <v>870</v>
      </c>
    </row>
    <row r="203" spans="1:15" s="5" customFormat="1" ht="12.65" customHeight="1">
      <c r="A203" s="22" t="s">
        <v>477</v>
      </c>
      <c r="B203" s="21" t="s">
        <v>478</v>
      </c>
      <c r="C203" s="23" t="s">
        <v>75</v>
      </c>
      <c r="D203" s="23" t="s">
        <v>77</v>
      </c>
      <c r="E203" s="9" t="s">
        <v>97</v>
      </c>
      <c r="F203" s="20" t="s">
        <v>1007</v>
      </c>
      <c r="G203" s="43" t="s">
        <v>54</v>
      </c>
      <c r="H203" s="20">
        <v>9000</v>
      </c>
      <c r="I203" s="20"/>
      <c r="J203" s="20">
        <v>492</v>
      </c>
      <c r="K203" s="20">
        <f t="shared" si="4"/>
        <v>41</v>
      </c>
      <c r="L203" s="20">
        <v>96</v>
      </c>
      <c r="M203" s="20">
        <v>22938</v>
      </c>
      <c r="N203" s="20">
        <v>58167</v>
      </c>
      <c r="O203" s="20">
        <v>1316</v>
      </c>
    </row>
    <row r="204" spans="1:15" s="5" customFormat="1" ht="12.65" customHeight="1">
      <c r="A204" s="22" t="s">
        <v>479</v>
      </c>
      <c r="B204" s="21" t="s">
        <v>480</v>
      </c>
      <c r="C204" s="23" t="s">
        <v>75</v>
      </c>
      <c r="D204" s="23" t="s">
        <v>77</v>
      </c>
      <c r="E204" s="9" t="s">
        <v>97</v>
      </c>
      <c r="F204" s="20" t="s">
        <v>1007</v>
      </c>
      <c r="G204" s="43" t="s">
        <v>54</v>
      </c>
      <c r="H204" s="20">
        <v>7000</v>
      </c>
      <c r="I204" s="20"/>
      <c r="J204" s="20">
        <v>459</v>
      </c>
      <c r="K204" s="20">
        <f t="shared" si="4"/>
        <v>38.25</v>
      </c>
      <c r="L204" s="20">
        <v>137</v>
      </c>
      <c r="M204" s="20">
        <v>22938</v>
      </c>
      <c r="N204" s="20">
        <v>42078</v>
      </c>
      <c r="O204" s="20">
        <v>938</v>
      </c>
    </row>
    <row r="205" spans="1:15" s="5" customFormat="1" ht="12.65" customHeight="1">
      <c r="A205" s="22" t="s">
        <v>481</v>
      </c>
      <c r="B205" s="21" t="s">
        <v>482</v>
      </c>
      <c r="C205" s="23" t="s">
        <v>75</v>
      </c>
      <c r="D205" s="23" t="s">
        <v>77</v>
      </c>
      <c r="E205" s="9" t="s">
        <v>97</v>
      </c>
      <c r="F205" s="20" t="s">
        <v>1005</v>
      </c>
      <c r="G205" s="43" t="s">
        <v>64</v>
      </c>
      <c r="H205" s="20">
        <v>12000</v>
      </c>
      <c r="I205" s="20"/>
      <c r="J205" s="20">
        <v>827</v>
      </c>
      <c r="K205" s="20">
        <f t="shared" si="4"/>
        <v>68.916666666666671</v>
      </c>
      <c r="L205" s="20">
        <v>91</v>
      </c>
      <c r="M205" s="20">
        <v>21677</v>
      </c>
      <c r="N205" s="20">
        <v>86910</v>
      </c>
      <c r="O205" s="20">
        <v>2013</v>
      </c>
    </row>
    <row r="206" spans="1:15" s="5" customFormat="1" ht="12.65" customHeight="1">
      <c r="A206" s="22" t="s">
        <v>483</v>
      </c>
      <c r="B206" s="21" t="s">
        <v>484</v>
      </c>
      <c r="C206" s="23" t="s">
        <v>75</v>
      </c>
      <c r="D206" s="23" t="s">
        <v>77</v>
      </c>
      <c r="E206" s="9" t="s">
        <v>78</v>
      </c>
      <c r="F206" s="20" t="s">
        <v>1005</v>
      </c>
      <c r="G206" s="43" t="s">
        <v>6</v>
      </c>
      <c r="H206" s="20">
        <v>5000</v>
      </c>
      <c r="I206" s="20"/>
      <c r="J206" s="20">
        <v>6572</v>
      </c>
      <c r="K206" s="20">
        <f t="shared" si="4"/>
        <v>547.66666666666663</v>
      </c>
      <c r="L206" s="20">
        <v>1150</v>
      </c>
      <c r="M206" s="20">
        <v>41967</v>
      </c>
      <c r="N206" s="20">
        <v>0</v>
      </c>
      <c r="O206" s="20">
        <v>16393</v>
      </c>
    </row>
    <row r="207" spans="1:15" s="5" customFormat="1" ht="12.65" customHeight="1">
      <c r="A207" s="22" t="s">
        <v>485</v>
      </c>
      <c r="B207" s="21" t="s">
        <v>486</v>
      </c>
      <c r="C207" s="23" t="s">
        <v>75</v>
      </c>
      <c r="D207" s="23" t="s">
        <v>77</v>
      </c>
      <c r="E207" s="9" t="s">
        <v>78</v>
      </c>
      <c r="F207" s="20" t="s">
        <v>989</v>
      </c>
      <c r="G207" s="43" t="s">
        <v>16</v>
      </c>
      <c r="H207" s="20">
        <v>4000</v>
      </c>
      <c r="I207" s="20"/>
      <c r="J207" s="20">
        <v>159</v>
      </c>
      <c r="K207" s="20">
        <f t="shared" si="4"/>
        <v>13.25</v>
      </c>
      <c r="L207" s="20">
        <v>159</v>
      </c>
      <c r="M207" s="20">
        <v>159</v>
      </c>
      <c r="N207" s="20">
        <v>159</v>
      </c>
      <c r="O207" s="20">
        <v>159</v>
      </c>
    </row>
    <row r="208" spans="1:15" s="5" customFormat="1" ht="12.65" customHeight="1">
      <c r="A208" s="22" t="s">
        <v>487</v>
      </c>
      <c r="B208" s="21" t="s">
        <v>488</v>
      </c>
      <c r="C208" s="23" t="s">
        <v>75</v>
      </c>
      <c r="D208" s="23" t="s">
        <v>77</v>
      </c>
      <c r="E208" s="9" t="s">
        <v>78</v>
      </c>
      <c r="F208" s="20" t="s">
        <v>989</v>
      </c>
      <c r="G208" s="43" t="s">
        <v>6</v>
      </c>
      <c r="H208" s="20">
        <v>4500</v>
      </c>
      <c r="I208" s="20"/>
      <c r="J208" s="20">
        <v>6895</v>
      </c>
      <c r="K208" s="20">
        <f t="shared" si="4"/>
        <v>574.58333333333337</v>
      </c>
      <c r="L208" s="20">
        <v>998</v>
      </c>
      <c r="M208" s="20">
        <v>43331</v>
      </c>
      <c r="N208" s="20">
        <v>0</v>
      </c>
      <c r="O208" s="20">
        <v>20499</v>
      </c>
    </row>
    <row r="209" spans="1:15" s="5" customFormat="1" ht="12.65" customHeight="1">
      <c r="A209" s="22" t="s">
        <v>490</v>
      </c>
      <c r="B209" s="21" t="s">
        <v>491</v>
      </c>
      <c r="C209" s="23" t="s">
        <v>75</v>
      </c>
      <c r="D209" s="23" t="s">
        <v>77</v>
      </c>
      <c r="E209" s="9" t="s">
        <v>97</v>
      </c>
      <c r="F209" s="20" t="s">
        <v>989</v>
      </c>
      <c r="G209" s="43" t="s">
        <v>14</v>
      </c>
      <c r="H209" s="20">
        <v>10000</v>
      </c>
      <c r="I209" s="20"/>
      <c r="J209" s="20">
        <v>640</v>
      </c>
      <c r="K209" s="20">
        <f t="shared" si="4"/>
        <v>53.333333333333336</v>
      </c>
      <c r="L209" s="20">
        <v>640</v>
      </c>
      <c r="M209" s="20">
        <v>640</v>
      </c>
      <c r="N209" s="20">
        <v>640</v>
      </c>
      <c r="O209" s="20">
        <v>640</v>
      </c>
    </row>
    <row r="210" spans="1:15" s="5" customFormat="1" ht="12.65" customHeight="1">
      <c r="A210" s="22" t="s">
        <v>492</v>
      </c>
      <c r="B210" s="21" t="s">
        <v>493</v>
      </c>
      <c r="C210" s="23" t="s">
        <v>75</v>
      </c>
      <c r="D210" s="23" t="s">
        <v>77</v>
      </c>
      <c r="E210" s="9" t="s">
        <v>78</v>
      </c>
      <c r="F210" s="20" t="s">
        <v>989</v>
      </c>
      <c r="G210" s="43" t="s">
        <v>6</v>
      </c>
      <c r="H210" s="20">
        <v>4500</v>
      </c>
      <c r="I210" s="20"/>
      <c r="J210" s="20">
        <v>7532</v>
      </c>
      <c r="K210" s="20">
        <f t="shared" si="4"/>
        <v>627.66666666666663</v>
      </c>
      <c r="L210" s="20">
        <v>1327</v>
      </c>
      <c r="M210" s="20">
        <v>43331</v>
      </c>
      <c r="N210" s="20">
        <v>0</v>
      </c>
      <c r="O210" s="20">
        <v>18739</v>
      </c>
    </row>
    <row r="211" spans="1:15" s="5" customFormat="1" ht="12.65" customHeight="1">
      <c r="A211" s="22" t="s">
        <v>494</v>
      </c>
      <c r="B211" s="21" t="s">
        <v>495</v>
      </c>
      <c r="C211" s="23" t="s">
        <v>75</v>
      </c>
      <c r="D211" s="23" t="s">
        <v>77</v>
      </c>
      <c r="E211" s="9" t="s">
        <v>97</v>
      </c>
      <c r="F211" s="20" t="s">
        <v>1005</v>
      </c>
      <c r="G211" s="43" t="s">
        <v>52</v>
      </c>
      <c r="H211" s="20">
        <v>7000</v>
      </c>
      <c r="I211" s="20"/>
      <c r="J211" s="20">
        <v>384</v>
      </c>
      <c r="K211" s="20">
        <f t="shared" si="4"/>
        <v>32</v>
      </c>
      <c r="L211" s="20">
        <v>116</v>
      </c>
      <c r="M211" s="20">
        <v>10839</v>
      </c>
      <c r="N211" s="20">
        <v>51715</v>
      </c>
      <c r="O211" s="20">
        <v>776</v>
      </c>
    </row>
    <row r="212" spans="1:15" s="5" customFormat="1" ht="12.65" customHeight="1">
      <c r="A212" s="22" t="s">
        <v>496</v>
      </c>
      <c r="B212" s="21" t="s">
        <v>497</v>
      </c>
      <c r="C212" s="23" t="s">
        <v>75</v>
      </c>
      <c r="D212" s="23" t="s">
        <v>77</v>
      </c>
      <c r="E212" s="9" t="s">
        <v>97</v>
      </c>
      <c r="F212" s="20" t="s">
        <v>989</v>
      </c>
      <c r="G212" s="43" t="s">
        <v>52</v>
      </c>
      <c r="H212" s="20">
        <v>7000</v>
      </c>
      <c r="I212" s="20"/>
      <c r="J212" s="20">
        <v>437</v>
      </c>
      <c r="K212" s="20">
        <f t="shared" si="4"/>
        <v>36.416666666666664</v>
      </c>
      <c r="L212" s="20">
        <v>110</v>
      </c>
      <c r="M212" s="20">
        <v>11298</v>
      </c>
      <c r="N212" s="20">
        <v>51004</v>
      </c>
      <c r="O212" s="20">
        <v>994</v>
      </c>
    </row>
    <row r="213" spans="1:15" s="5" customFormat="1" ht="12.65" customHeight="1">
      <c r="A213" s="22" t="s">
        <v>367</v>
      </c>
      <c r="B213" s="21" t="s">
        <v>368</v>
      </c>
      <c r="C213" s="23" t="s">
        <v>75</v>
      </c>
      <c r="D213" s="23" t="s">
        <v>77</v>
      </c>
      <c r="E213" s="9" t="s">
        <v>78</v>
      </c>
      <c r="F213" s="20" t="s">
        <v>1005</v>
      </c>
      <c r="G213" s="43" t="s">
        <v>60</v>
      </c>
      <c r="H213" s="20">
        <v>4000</v>
      </c>
      <c r="I213" s="20"/>
      <c r="J213" s="20">
        <v>687</v>
      </c>
      <c r="K213" s="20">
        <f t="shared" si="4"/>
        <v>57.25</v>
      </c>
      <c r="L213" s="20">
        <v>143</v>
      </c>
      <c r="M213" s="20">
        <v>0</v>
      </c>
      <c r="N213" s="20">
        <v>34772</v>
      </c>
      <c r="O213" s="20">
        <v>1286</v>
      </c>
    </row>
    <row r="214" spans="1:15" s="5" customFormat="1" ht="12.65" customHeight="1">
      <c r="A214" s="22" t="s">
        <v>500</v>
      </c>
      <c r="B214" s="21" t="s">
        <v>501</v>
      </c>
      <c r="C214" s="23" t="s">
        <v>75</v>
      </c>
      <c r="D214" s="23" t="s">
        <v>77</v>
      </c>
      <c r="E214" s="9" t="s">
        <v>97</v>
      </c>
      <c r="F214" s="20" t="s">
        <v>1005</v>
      </c>
      <c r="G214" s="43" t="s">
        <v>54</v>
      </c>
      <c r="H214" s="20">
        <v>11000</v>
      </c>
      <c r="I214" s="20"/>
      <c r="J214" s="20">
        <v>382</v>
      </c>
      <c r="K214" s="20">
        <f t="shared" si="4"/>
        <v>31.833333333333332</v>
      </c>
      <c r="L214" s="20">
        <v>104</v>
      </c>
      <c r="M214" s="20">
        <v>21677</v>
      </c>
      <c r="N214" s="20">
        <v>78151</v>
      </c>
      <c r="O214" s="20">
        <v>858</v>
      </c>
    </row>
    <row r="215" spans="1:15" s="5" customFormat="1" ht="12.65" customHeight="1">
      <c r="A215" s="22" t="s">
        <v>502</v>
      </c>
      <c r="B215" s="21" t="s">
        <v>503</v>
      </c>
      <c r="C215" s="23" t="s">
        <v>75</v>
      </c>
      <c r="D215" s="23" t="s">
        <v>77</v>
      </c>
      <c r="E215" s="9" t="s">
        <v>97</v>
      </c>
      <c r="F215" s="20" t="s">
        <v>1006</v>
      </c>
      <c r="G215" s="43" t="s">
        <v>54</v>
      </c>
      <c r="H215" s="20">
        <v>12000</v>
      </c>
      <c r="I215" s="20"/>
      <c r="J215" s="20">
        <v>714</v>
      </c>
      <c r="K215" s="20">
        <f t="shared" si="4"/>
        <v>59.5</v>
      </c>
      <c r="L215" s="20">
        <v>160</v>
      </c>
      <c r="M215" s="20">
        <v>21275</v>
      </c>
      <c r="N215" s="20">
        <v>86830</v>
      </c>
      <c r="O215" s="20">
        <v>1891</v>
      </c>
    </row>
    <row r="216" spans="1:15" s="5" customFormat="1" ht="12.65" customHeight="1">
      <c r="A216" s="22" t="s">
        <v>504</v>
      </c>
      <c r="B216" s="21" t="s">
        <v>505</v>
      </c>
      <c r="C216" s="23" t="s">
        <v>75</v>
      </c>
      <c r="D216" s="23" t="s">
        <v>77</v>
      </c>
      <c r="E216" s="9" t="s">
        <v>97</v>
      </c>
      <c r="F216" s="20" t="s">
        <v>1006</v>
      </c>
      <c r="G216" s="43" t="s">
        <v>54</v>
      </c>
      <c r="H216" s="20">
        <v>7000</v>
      </c>
      <c r="I216" s="20"/>
      <c r="J216" s="20">
        <v>393</v>
      </c>
      <c r="K216" s="20">
        <f t="shared" si="4"/>
        <v>32.75</v>
      </c>
      <c r="L216" s="20">
        <v>133</v>
      </c>
      <c r="M216" s="20">
        <v>21275</v>
      </c>
      <c r="N216" s="20">
        <v>43549</v>
      </c>
      <c r="O216" s="20">
        <v>738</v>
      </c>
    </row>
    <row r="217" spans="1:15" s="5" customFormat="1" ht="12.65" customHeight="1">
      <c r="A217" s="22" t="s">
        <v>506</v>
      </c>
      <c r="B217" s="21" t="s">
        <v>507</v>
      </c>
      <c r="C217" s="23" t="s">
        <v>75</v>
      </c>
      <c r="D217" s="23" t="s">
        <v>77</v>
      </c>
      <c r="E217" s="9" t="s">
        <v>97</v>
      </c>
      <c r="F217" s="20" t="s">
        <v>989</v>
      </c>
      <c r="G217" s="43" t="s">
        <v>54</v>
      </c>
      <c r="H217" s="20">
        <v>10000</v>
      </c>
      <c r="I217" s="20"/>
      <c r="J217" s="20">
        <v>442</v>
      </c>
      <c r="K217" s="20">
        <f t="shared" si="4"/>
        <v>36.833333333333336</v>
      </c>
      <c r="L217" s="20">
        <v>93</v>
      </c>
      <c r="M217" s="20">
        <v>22596</v>
      </c>
      <c r="N217" s="20">
        <v>67551</v>
      </c>
      <c r="O217" s="20">
        <v>1142</v>
      </c>
    </row>
    <row r="218" spans="1:15" s="5" customFormat="1" ht="12.65" customHeight="1">
      <c r="A218" s="22" t="s">
        <v>508</v>
      </c>
      <c r="B218" s="21" t="s">
        <v>509</v>
      </c>
      <c r="C218" s="23" t="s">
        <v>75</v>
      </c>
      <c r="D218" s="23" t="s">
        <v>77</v>
      </c>
      <c r="E218" s="9" t="s">
        <v>78</v>
      </c>
      <c r="F218" s="20" t="s">
        <v>1007</v>
      </c>
      <c r="G218" s="43" t="s">
        <v>6</v>
      </c>
      <c r="H218" s="20">
        <v>3500</v>
      </c>
      <c r="I218" s="20"/>
      <c r="J218" s="20">
        <v>2465</v>
      </c>
      <c r="K218" s="20">
        <f t="shared" si="4"/>
        <v>205.41666666666666</v>
      </c>
      <c r="L218" s="20">
        <v>446</v>
      </c>
      <c r="M218" s="20">
        <v>43971</v>
      </c>
      <c r="N218" s="20">
        <v>0</v>
      </c>
      <c r="O218" s="20">
        <v>6610</v>
      </c>
    </row>
    <row r="219" spans="1:15" s="5" customFormat="1" ht="12.65" customHeight="1">
      <c r="A219" s="22" t="s">
        <v>510</v>
      </c>
      <c r="B219" s="21" t="s">
        <v>511</v>
      </c>
      <c r="C219" s="23" t="s">
        <v>75</v>
      </c>
      <c r="D219" s="23" t="s">
        <v>77</v>
      </c>
      <c r="E219" s="9" t="s">
        <v>78</v>
      </c>
      <c r="F219" s="20" t="s">
        <v>989</v>
      </c>
      <c r="G219" s="43" t="s">
        <v>6</v>
      </c>
      <c r="H219" s="20">
        <v>2000</v>
      </c>
      <c r="I219" s="20"/>
      <c r="J219" s="20">
        <v>907</v>
      </c>
      <c r="K219" s="20">
        <f t="shared" si="4"/>
        <v>75.583333333333329</v>
      </c>
      <c r="L219" s="20">
        <v>367</v>
      </c>
      <c r="M219" s="20">
        <v>43331</v>
      </c>
      <c r="N219" s="20">
        <v>0</v>
      </c>
      <c r="O219" s="20">
        <v>1952</v>
      </c>
    </row>
    <row r="220" spans="1:15" s="5" customFormat="1" ht="12.65" customHeight="1">
      <c r="A220" s="22" t="s">
        <v>512</v>
      </c>
      <c r="B220" s="21" t="s">
        <v>513</v>
      </c>
      <c r="C220" s="23" t="s">
        <v>75</v>
      </c>
      <c r="D220" s="23" t="s">
        <v>77</v>
      </c>
      <c r="E220" s="9" t="s">
        <v>97</v>
      </c>
      <c r="F220" s="20" t="s">
        <v>1005</v>
      </c>
      <c r="G220" s="43" t="s">
        <v>54</v>
      </c>
      <c r="H220" s="20">
        <v>14500</v>
      </c>
      <c r="I220" s="20"/>
      <c r="J220" s="20">
        <v>540</v>
      </c>
      <c r="K220" s="20">
        <f t="shared" si="4"/>
        <v>45</v>
      </c>
      <c r="L220" s="20">
        <v>126</v>
      </c>
      <c r="M220" s="20">
        <v>21677</v>
      </c>
      <c r="N220" s="20">
        <v>113031</v>
      </c>
      <c r="O220" s="20">
        <v>1332</v>
      </c>
    </row>
    <row r="221" spans="1:15" s="5" customFormat="1" ht="12.65" customHeight="1">
      <c r="A221" s="22" t="s">
        <v>514</v>
      </c>
      <c r="B221" s="21" t="s">
        <v>515</v>
      </c>
      <c r="C221" s="23" t="s">
        <v>75</v>
      </c>
      <c r="D221" s="23" t="s">
        <v>77</v>
      </c>
      <c r="E221" s="9" t="s">
        <v>97</v>
      </c>
      <c r="F221" s="20" t="s">
        <v>989</v>
      </c>
      <c r="G221" s="43" t="s">
        <v>53</v>
      </c>
      <c r="H221" s="20">
        <v>9000</v>
      </c>
      <c r="I221" s="20"/>
      <c r="J221" s="20">
        <v>471</v>
      </c>
      <c r="K221" s="20">
        <f t="shared" si="4"/>
        <v>39.25</v>
      </c>
      <c r="L221" s="20">
        <v>104</v>
      </c>
      <c r="M221" s="20">
        <v>16947</v>
      </c>
      <c r="N221" s="20">
        <v>63851</v>
      </c>
      <c r="O221" s="20">
        <v>1116</v>
      </c>
    </row>
    <row r="222" spans="1:15" s="5" customFormat="1" ht="12.65" customHeight="1">
      <c r="A222" s="22" t="s">
        <v>516</v>
      </c>
      <c r="B222" s="21" t="s">
        <v>517</v>
      </c>
      <c r="C222" s="23" t="s">
        <v>75</v>
      </c>
      <c r="D222" s="23" t="s">
        <v>77</v>
      </c>
      <c r="E222" s="9" t="s">
        <v>78</v>
      </c>
      <c r="F222" s="20" t="s">
        <v>989</v>
      </c>
      <c r="G222" s="43" t="s">
        <v>7</v>
      </c>
      <c r="H222" s="20">
        <v>5500</v>
      </c>
      <c r="I222" s="20"/>
      <c r="J222" s="20">
        <v>8346</v>
      </c>
      <c r="K222" s="20">
        <f t="shared" si="4"/>
        <v>695.5</v>
      </c>
      <c r="L222" s="20">
        <v>1411</v>
      </c>
      <c r="M222" s="20">
        <v>50842</v>
      </c>
      <c r="N222" s="20">
        <v>0</v>
      </c>
      <c r="O222" s="20">
        <v>21081</v>
      </c>
    </row>
    <row r="223" spans="1:15" s="5" customFormat="1" ht="12.65" customHeight="1">
      <c r="A223" s="22" t="s">
        <v>518</v>
      </c>
      <c r="B223" s="21" t="s">
        <v>519</v>
      </c>
      <c r="C223" s="23" t="s">
        <v>75</v>
      </c>
      <c r="D223" s="23" t="s">
        <v>77</v>
      </c>
      <c r="E223" s="9" t="s">
        <v>78</v>
      </c>
      <c r="F223" s="20" t="s">
        <v>1005</v>
      </c>
      <c r="G223" s="43" t="s">
        <v>6</v>
      </c>
      <c r="H223" s="20">
        <v>5000</v>
      </c>
      <c r="I223" s="20"/>
      <c r="J223" s="20">
        <v>6572</v>
      </c>
      <c r="K223" s="20">
        <f t="shared" si="4"/>
        <v>547.66666666666663</v>
      </c>
      <c r="L223" s="20">
        <v>1150</v>
      </c>
      <c r="M223" s="20">
        <v>41967</v>
      </c>
      <c r="N223" s="20">
        <v>0</v>
      </c>
      <c r="O223" s="20">
        <v>16393</v>
      </c>
    </row>
    <row r="224" spans="1:15" s="5" customFormat="1" ht="12.65" customHeight="1">
      <c r="A224" s="22" t="s">
        <v>520</v>
      </c>
      <c r="B224" s="21" t="s">
        <v>521</v>
      </c>
      <c r="C224" s="23" t="s">
        <v>75</v>
      </c>
      <c r="D224" s="23" t="s">
        <v>77</v>
      </c>
      <c r="E224" s="9" t="s">
        <v>97</v>
      </c>
      <c r="F224" s="20" t="s">
        <v>1005</v>
      </c>
      <c r="G224" s="43" t="s">
        <v>54</v>
      </c>
      <c r="H224" s="20">
        <v>9000</v>
      </c>
      <c r="I224" s="20"/>
      <c r="J224" s="20">
        <v>316</v>
      </c>
      <c r="K224" s="20">
        <f t="shared" si="4"/>
        <v>26.333333333333332</v>
      </c>
      <c r="L224" s="20">
        <v>91</v>
      </c>
      <c r="M224" s="20">
        <v>21677</v>
      </c>
      <c r="N224" s="20">
        <v>60073</v>
      </c>
      <c r="O224" s="20">
        <v>668</v>
      </c>
    </row>
    <row r="225" spans="1:15" s="5" customFormat="1" ht="12.65" customHeight="1">
      <c r="A225" s="22" t="s">
        <v>522</v>
      </c>
      <c r="B225" s="21" t="s">
        <v>523</v>
      </c>
      <c r="C225" s="23" t="s">
        <v>75</v>
      </c>
      <c r="D225" s="23" t="s">
        <v>77</v>
      </c>
      <c r="E225" s="9" t="s">
        <v>78</v>
      </c>
      <c r="F225" s="20" t="s">
        <v>1006</v>
      </c>
      <c r="G225" s="43" t="s">
        <v>8</v>
      </c>
      <c r="H225" s="20">
        <v>6000</v>
      </c>
      <c r="I225" s="20"/>
      <c r="J225" s="20">
        <v>8581</v>
      </c>
      <c r="K225" s="20">
        <f t="shared" si="4"/>
        <v>715.08333333333337</v>
      </c>
      <c r="L225" s="20">
        <v>1454</v>
      </c>
      <c r="M225" s="20">
        <v>53160</v>
      </c>
      <c r="N225" s="20">
        <v>0</v>
      </c>
      <c r="O225" s="20">
        <v>21659</v>
      </c>
    </row>
    <row r="226" spans="1:15" s="5" customFormat="1" ht="12.65" customHeight="1">
      <c r="A226" s="22" t="s">
        <v>524</v>
      </c>
      <c r="B226" s="21" t="s">
        <v>525</v>
      </c>
      <c r="C226" s="23" t="s">
        <v>75</v>
      </c>
      <c r="D226" s="23" t="s">
        <v>77</v>
      </c>
      <c r="E226" s="9" t="s">
        <v>78</v>
      </c>
      <c r="F226" s="20" t="s">
        <v>1005</v>
      </c>
      <c r="G226" s="43" t="s">
        <v>6</v>
      </c>
      <c r="H226" s="20">
        <v>3000</v>
      </c>
      <c r="I226" s="20"/>
      <c r="J226" s="20">
        <v>3488</v>
      </c>
      <c r="K226" s="20">
        <f t="shared" si="4"/>
        <v>290.66666666666669</v>
      </c>
      <c r="L226" s="20">
        <v>664</v>
      </c>
      <c r="M226" s="20">
        <v>41967</v>
      </c>
      <c r="N226" s="20">
        <v>0</v>
      </c>
      <c r="O226" s="20">
        <v>9737</v>
      </c>
    </row>
    <row r="227" spans="1:15" s="5" customFormat="1" ht="12.65" customHeight="1">
      <c r="A227" s="22" t="s">
        <v>526</v>
      </c>
      <c r="B227" s="21" t="s">
        <v>527</v>
      </c>
      <c r="C227" s="23" t="s">
        <v>75</v>
      </c>
      <c r="D227" s="23" t="s">
        <v>77</v>
      </c>
      <c r="E227" s="9" t="s">
        <v>78</v>
      </c>
      <c r="F227" s="20" t="s">
        <v>989</v>
      </c>
      <c r="G227" s="43" t="s">
        <v>6</v>
      </c>
      <c r="H227" s="20">
        <v>2500</v>
      </c>
      <c r="I227" s="20"/>
      <c r="J227" s="20">
        <v>1312</v>
      </c>
      <c r="K227" s="20">
        <f t="shared" si="4"/>
        <v>109.33333333333333</v>
      </c>
      <c r="L227" s="20">
        <v>441</v>
      </c>
      <c r="M227" s="20">
        <v>43331</v>
      </c>
      <c r="N227" s="20">
        <v>0</v>
      </c>
      <c r="O227" s="20">
        <v>2935</v>
      </c>
    </row>
    <row r="228" spans="1:15" s="5" customFormat="1" ht="12.65" customHeight="1">
      <c r="A228" s="22" t="s">
        <v>528</v>
      </c>
      <c r="B228" s="21" t="s">
        <v>529</v>
      </c>
      <c r="C228" s="23" t="s">
        <v>75</v>
      </c>
      <c r="D228" s="23" t="s">
        <v>77</v>
      </c>
      <c r="E228" s="9" t="s">
        <v>78</v>
      </c>
      <c r="F228" s="20" t="s">
        <v>1006</v>
      </c>
      <c r="G228" s="43" t="s">
        <v>6</v>
      </c>
      <c r="H228" s="20">
        <v>4500</v>
      </c>
      <c r="I228" s="20"/>
      <c r="J228" s="20">
        <v>7923</v>
      </c>
      <c r="K228" s="20">
        <f t="shared" si="4"/>
        <v>660.25</v>
      </c>
      <c r="L228" s="20">
        <v>1106</v>
      </c>
      <c r="M228" s="20">
        <v>40782</v>
      </c>
      <c r="N228" s="20">
        <v>0</v>
      </c>
      <c r="O228" s="20">
        <v>23155</v>
      </c>
    </row>
    <row r="229" spans="1:15" s="5" customFormat="1" ht="12.65" customHeight="1">
      <c r="A229" s="22" t="s">
        <v>530</v>
      </c>
      <c r="B229" s="21" t="s">
        <v>531</v>
      </c>
      <c r="C229" s="23" t="s">
        <v>75</v>
      </c>
      <c r="D229" s="23" t="s">
        <v>77</v>
      </c>
      <c r="E229" s="9" t="s">
        <v>97</v>
      </c>
      <c r="F229" s="20" t="s">
        <v>1005</v>
      </c>
      <c r="G229" s="43" t="s">
        <v>54</v>
      </c>
      <c r="H229" s="20">
        <v>7000</v>
      </c>
      <c r="I229" s="20"/>
      <c r="J229" s="20">
        <v>353</v>
      </c>
      <c r="K229" s="20">
        <f t="shared" si="4"/>
        <v>29.416666666666668</v>
      </c>
      <c r="L229" s="20">
        <v>107</v>
      </c>
      <c r="M229" s="20">
        <v>21677</v>
      </c>
      <c r="N229" s="20">
        <v>43091</v>
      </c>
      <c r="O229" s="20">
        <v>708</v>
      </c>
    </row>
    <row r="230" spans="1:15" s="5" customFormat="1" ht="12.65" customHeight="1">
      <c r="A230" s="22" t="s">
        <v>532</v>
      </c>
      <c r="B230" s="21" t="s">
        <v>533</v>
      </c>
      <c r="C230" s="23" t="s">
        <v>75</v>
      </c>
      <c r="D230" s="23" t="s">
        <v>77</v>
      </c>
      <c r="E230" s="9" t="s">
        <v>78</v>
      </c>
      <c r="F230" s="20" t="s">
        <v>989</v>
      </c>
      <c r="G230" s="43" t="s">
        <v>13</v>
      </c>
      <c r="H230" s="20">
        <v>5500</v>
      </c>
      <c r="I230" s="20"/>
      <c r="J230" s="20">
        <v>523</v>
      </c>
      <c r="K230" s="20">
        <f t="shared" si="4"/>
        <v>43.583333333333336</v>
      </c>
      <c r="L230" s="20">
        <v>523</v>
      </c>
      <c r="M230" s="20">
        <v>523</v>
      </c>
      <c r="N230" s="20">
        <v>523</v>
      </c>
      <c r="O230" s="20">
        <v>523</v>
      </c>
    </row>
    <row r="231" spans="1:15" s="5" customFormat="1" ht="12.65" customHeight="1">
      <c r="A231" s="22" t="s">
        <v>534</v>
      </c>
      <c r="B231" s="21" t="s">
        <v>535</v>
      </c>
      <c r="C231" s="23" t="s">
        <v>75</v>
      </c>
      <c r="D231" s="23" t="s">
        <v>77</v>
      </c>
      <c r="E231" s="9" t="s">
        <v>97</v>
      </c>
      <c r="F231" s="20" t="s">
        <v>989</v>
      </c>
      <c r="G231" s="43" t="s">
        <v>54</v>
      </c>
      <c r="H231" s="20">
        <v>9000</v>
      </c>
      <c r="I231" s="20"/>
      <c r="J231" s="20">
        <v>443</v>
      </c>
      <c r="K231" s="20">
        <f t="shared" si="4"/>
        <v>36.916666666666664</v>
      </c>
      <c r="L231" s="20">
        <v>82</v>
      </c>
      <c r="M231" s="20">
        <v>22596</v>
      </c>
      <c r="N231" s="20">
        <v>58727</v>
      </c>
      <c r="O231" s="20">
        <v>1046</v>
      </c>
    </row>
    <row r="232" spans="1:15" s="5" customFormat="1" ht="12.65" customHeight="1">
      <c r="A232" s="22" t="s">
        <v>536</v>
      </c>
      <c r="B232" s="21" t="s">
        <v>537</v>
      </c>
      <c r="C232" s="23" t="s">
        <v>75</v>
      </c>
      <c r="D232" s="23" t="s">
        <v>77</v>
      </c>
      <c r="E232" s="9" t="s">
        <v>78</v>
      </c>
      <c r="F232" s="20" t="s">
        <v>1005</v>
      </c>
      <c r="G232" s="43" t="s">
        <v>6</v>
      </c>
      <c r="H232" s="20">
        <v>4500</v>
      </c>
      <c r="I232" s="20"/>
      <c r="J232" s="20">
        <v>7370</v>
      </c>
      <c r="K232" s="20">
        <f t="shared" si="4"/>
        <v>614.16666666666663</v>
      </c>
      <c r="L232" s="20">
        <v>1251</v>
      </c>
      <c r="M232" s="20">
        <v>41967</v>
      </c>
      <c r="N232" s="20">
        <v>0</v>
      </c>
      <c r="O232" s="20">
        <v>21679</v>
      </c>
    </row>
    <row r="233" spans="1:15" s="5" customFormat="1" ht="12.65" customHeight="1">
      <c r="A233" s="22" t="s">
        <v>179</v>
      </c>
      <c r="B233" s="21" t="s">
        <v>180</v>
      </c>
      <c r="C233" s="23" t="s">
        <v>75</v>
      </c>
      <c r="D233" s="23" t="s">
        <v>77</v>
      </c>
      <c r="E233" s="9" t="s">
        <v>78</v>
      </c>
      <c r="F233" s="20" t="s">
        <v>1006</v>
      </c>
      <c r="G233" s="43" t="s">
        <v>6</v>
      </c>
      <c r="H233" s="20">
        <v>3000</v>
      </c>
      <c r="I233" s="20"/>
      <c r="J233" s="20">
        <v>3866</v>
      </c>
      <c r="K233" s="20">
        <f t="shared" si="4"/>
        <v>322.16666666666669</v>
      </c>
      <c r="L233" s="20">
        <v>682</v>
      </c>
      <c r="M233" s="20">
        <v>40792</v>
      </c>
      <c r="N233" s="20">
        <v>0</v>
      </c>
      <c r="O233" s="20">
        <v>10034</v>
      </c>
    </row>
    <row r="234" spans="1:15" s="5" customFormat="1" ht="12.65" customHeight="1">
      <c r="A234" s="22" t="s">
        <v>540</v>
      </c>
      <c r="B234" s="21" t="s">
        <v>541</v>
      </c>
      <c r="C234" s="23" t="s">
        <v>75</v>
      </c>
      <c r="D234" s="23" t="s">
        <v>77</v>
      </c>
      <c r="E234" s="9" t="s">
        <v>78</v>
      </c>
      <c r="F234" s="20" t="s">
        <v>1005</v>
      </c>
      <c r="G234" s="43" t="s">
        <v>3</v>
      </c>
      <c r="H234" s="20">
        <v>2500</v>
      </c>
      <c r="I234" s="20"/>
      <c r="J234" s="20">
        <v>3052</v>
      </c>
      <c r="K234" s="20">
        <f t="shared" si="4"/>
        <v>254.33333333333334</v>
      </c>
      <c r="L234" s="20">
        <v>603</v>
      </c>
      <c r="M234" s="20">
        <v>21881</v>
      </c>
      <c r="N234" s="20">
        <v>0</v>
      </c>
      <c r="O234" s="20">
        <v>7266</v>
      </c>
    </row>
    <row r="235" spans="1:15" s="5" customFormat="1" ht="12.65" customHeight="1">
      <c r="A235" s="22" t="s">
        <v>542</v>
      </c>
      <c r="B235" s="21" t="s">
        <v>543</v>
      </c>
      <c r="C235" s="23" t="s">
        <v>75</v>
      </c>
      <c r="D235" s="23" t="s">
        <v>77</v>
      </c>
      <c r="E235" s="9" t="s">
        <v>97</v>
      </c>
      <c r="F235" s="20" t="s">
        <v>1005</v>
      </c>
      <c r="G235" s="43" t="s">
        <v>54</v>
      </c>
      <c r="H235" s="20">
        <v>20000</v>
      </c>
      <c r="I235" s="20"/>
      <c r="J235" s="20">
        <v>1025</v>
      </c>
      <c r="K235" s="20">
        <f t="shared" si="4"/>
        <v>85.416666666666671</v>
      </c>
      <c r="L235" s="20">
        <v>118</v>
      </c>
      <c r="M235" s="20">
        <v>21677</v>
      </c>
      <c r="N235" s="20">
        <v>163931</v>
      </c>
      <c r="O235" s="20">
        <v>2607</v>
      </c>
    </row>
    <row r="236" spans="1:15" s="5" customFormat="1" ht="12.65" customHeight="1">
      <c r="A236" s="22" t="s">
        <v>544</v>
      </c>
      <c r="B236" s="21" t="s">
        <v>545</v>
      </c>
      <c r="C236" s="23" t="s">
        <v>75</v>
      </c>
      <c r="D236" s="23" t="s">
        <v>77</v>
      </c>
      <c r="E236" s="9" t="s">
        <v>97</v>
      </c>
      <c r="F236" s="20" t="s">
        <v>1007</v>
      </c>
      <c r="G236" s="43" t="s">
        <v>54</v>
      </c>
      <c r="H236" s="20">
        <v>11000</v>
      </c>
      <c r="I236" s="20"/>
      <c r="J236" s="20">
        <v>700</v>
      </c>
      <c r="K236" s="20">
        <f t="shared" si="4"/>
        <v>58.333333333333336</v>
      </c>
      <c r="L236" s="20">
        <v>135</v>
      </c>
      <c r="M236" s="20">
        <v>22938</v>
      </c>
      <c r="N236" s="20">
        <v>75720</v>
      </c>
      <c r="O236" s="20">
        <v>1922</v>
      </c>
    </row>
    <row r="237" spans="1:15" s="5" customFormat="1" ht="12.65" customHeight="1">
      <c r="A237" s="22" t="s">
        <v>546</v>
      </c>
      <c r="B237" s="21" t="s">
        <v>547</v>
      </c>
      <c r="C237" s="23" t="s">
        <v>75</v>
      </c>
      <c r="D237" s="23" t="s">
        <v>77</v>
      </c>
      <c r="E237" s="9" t="s">
        <v>78</v>
      </c>
      <c r="F237" s="20" t="s">
        <v>1005</v>
      </c>
      <c r="G237" s="43" t="s">
        <v>7</v>
      </c>
      <c r="H237" s="20">
        <v>6000</v>
      </c>
      <c r="I237" s="20"/>
      <c r="J237" s="20">
        <v>8177</v>
      </c>
      <c r="K237" s="20">
        <f t="shared" si="4"/>
        <v>681.41666666666663</v>
      </c>
      <c r="L237" s="20">
        <v>1378</v>
      </c>
      <c r="M237" s="20">
        <v>49233</v>
      </c>
      <c r="N237" s="20">
        <v>0</v>
      </c>
      <c r="O237" s="20">
        <v>24114</v>
      </c>
    </row>
    <row r="238" spans="1:15" s="5" customFormat="1" ht="12.65" customHeight="1">
      <c r="A238" s="22" t="s">
        <v>842</v>
      </c>
      <c r="B238" s="21" t="s">
        <v>843</v>
      </c>
      <c r="C238" s="23" t="s">
        <v>75</v>
      </c>
      <c r="D238" s="23" t="s">
        <v>77</v>
      </c>
      <c r="E238" s="9" t="s">
        <v>78</v>
      </c>
      <c r="F238" s="20" t="s">
        <v>1005</v>
      </c>
      <c r="G238" s="43" t="s">
        <v>8</v>
      </c>
      <c r="H238" s="20">
        <v>5000</v>
      </c>
      <c r="I238" s="20"/>
      <c r="J238" s="20">
        <v>4060</v>
      </c>
      <c r="K238" s="20">
        <f t="shared" si="4"/>
        <v>338.33333333333331</v>
      </c>
      <c r="L238" s="20">
        <v>717</v>
      </c>
      <c r="M238" s="20">
        <v>54703</v>
      </c>
      <c r="N238" s="20">
        <v>0</v>
      </c>
      <c r="O238" s="20">
        <v>11742</v>
      </c>
    </row>
    <row r="239" spans="1:15" s="5" customFormat="1" ht="12.65" customHeight="1">
      <c r="A239" s="22" t="s">
        <v>550</v>
      </c>
      <c r="B239" s="21" t="s">
        <v>551</v>
      </c>
      <c r="C239" s="23" t="s">
        <v>75</v>
      </c>
      <c r="D239" s="23" t="s">
        <v>77</v>
      </c>
      <c r="E239" s="9" t="s">
        <v>78</v>
      </c>
      <c r="F239" s="20" t="s">
        <v>1007</v>
      </c>
      <c r="G239" s="43" t="s">
        <v>6</v>
      </c>
      <c r="H239" s="20">
        <v>3500</v>
      </c>
      <c r="I239" s="20"/>
      <c r="J239" s="20">
        <v>2492</v>
      </c>
      <c r="K239" s="20">
        <f t="shared" si="4"/>
        <v>207.66666666666666</v>
      </c>
      <c r="L239" s="20">
        <v>505</v>
      </c>
      <c r="M239" s="20">
        <v>43971</v>
      </c>
      <c r="N239" s="20">
        <v>0</v>
      </c>
      <c r="O239" s="20">
        <v>5878</v>
      </c>
    </row>
    <row r="240" spans="1:15" s="5" customFormat="1" ht="12.65" customHeight="1">
      <c r="A240" s="22" t="s">
        <v>552</v>
      </c>
      <c r="B240" s="21" t="s">
        <v>553</v>
      </c>
      <c r="C240" s="23" t="s">
        <v>75</v>
      </c>
      <c r="D240" s="23" t="s">
        <v>77</v>
      </c>
      <c r="E240" s="9" t="s">
        <v>78</v>
      </c>
      <c r="F240" s="20" t="s">
        <v>1005</v>
      </c>
      <c r="G240" s="43" t="s">
        <v>6</v>
      </c>
      <c r="H240" s="20">
        <v>3500</v>
      </c>
      <c r="I240" s="20"/>
      <c r="J240" s="20">
        <v>2483</v>
      </c>
      <c r="K240" s="20">
        <f t="shared" si="4"/>
        <v>206.91666666666666</v>
      </c>
      <c r="L240" s="20">
        <v>492</v>
      </c>
      <c r="M240" s="20">
        <v>41967</v>
      </c>
      <c r="N240" s="20">
        <v>0</v>
      </c>
      <c r="O240" s="20">
        <v>6791</v>
      </c>
    </row>
    <row r="241" spans="1:15" s="5" customFormat="1" ht="12.65" customHeight="1">
      <c r="A241" s="22" t="s">
        <v>554</v>
      </c>
      <c r="B241" s="21" t="s">
        <v>555</v>
      </c>
      <c r="C241" s="23" t="s">
        <v>75</v>
      </c>
      <c r="D241" s="23" t="s">
        <v>77</v>
      </c>
      <c r="E241" s="9" t="s">
        <v>78</v>
      </c>
      <c r="F241" s="20" t="s">
        <v>1005</v>
      </c>
      <c r="G241" s="43" t="s">
        <v>6</v>
      </c>
      <c r="H241" s="20">
        <v>4000</v>
      </c>
      <c r="I241" s="20"/>
      <c r="J241" s="20">
        <v>4466</v>
      </c>
      <c r="K241" s="20">
        <f t="shared" si="4"/>
        <v>372.16666666666669</v>
      </c>
      <c r="L241" s="20">
        <v>587</v>
      </c>
      <c r="M241" s="20">
        <v>41967</v>
      </c>
      <c r="N241" s="20">
        <v>0</v>
      </c>
      <c r="O241" s="20">
        <v>12967</v>
      </c>
    </row>
    <row r="242" spans="1:15" s="5" customFormat="1" ht="12.65" customHeight="1">
      <c r="A242" s="22" t="s">
        <v>130</v>
      </c>
      <c r="B242" s="21" t="s">
        <v>131</v>
      </c>
      <c r="C242" s="23" t="s">
        <v>75</v>
      </c>
      <c r="D242" s="23" t="s">
        <v>77</v>
      </c>
      <c r="E242" s="9" t="s">
        <v>78</v>
      </c>
      <c r="F242" s="20" t="s">
        <v>1007</v>
      </c>
      <c r="G242" s="43" t="s">
        <v>6</v>
      </c>
      <c r="H242" s="20">
        <v>4000</v>
      </c>
      <c r="I242" s="20"/>
      <c r="J242" s="20">
        <v>3662</v>
      </c>
      <c r="K242" s="20">
        <f t="shared" si="4"/>
        <v>305.16666666666669</v>
      </c>
      <c r="L242" s="20">
        <v>587</v>
      </c>
      <c r="M242" s="20">
        <v>43971</v>
      </c>
      <c r="N242" s="20">
        <v>0</v>
      </c>
      <c r="O242" s="20">
        <v>10263</v>
      </c>
    </row>
    <row r="243" spans="1:15" s="5" customFormat="1" ht="12.65" customHeight="1">
      <c r="A243" s="22" t="s">
        <v>558</v>
      </c>
      <c r="B243" s="21" t="s">
        <v>559</v>
      </c>
      <c r="C243" s="23" t="s">
        <v>75</v>
      </c>
      <c r="D243" s="23" t="s">
        <v>77</v>
      </c>
      <c r="E243" s="9" t="s">
        <v>78</v>
      </c>
      <c r="F243" s="20" t="s">
        <v>1007</v>
      </c>
      <c r="G243" s="43" t="s">
        <v>6</v>
      </c>
      <c r="H243" s="20">
        <v>3500</v>
      </c>
      <c r="I243" s="20"/>
      <c r="J243" s="20">
        <v>2465</v>
      </c>
      <c r="K243" s="20">
        <f t="shared" si="4"/>
        <v>205.41666666666666</v>
      </c>
      <c r="L243" s="20">
        <v>446</v>
      </c>
      <c r="M243" s="20">
        <v>43971</v>
      </c>
      <c r="N243" s="20">
        <v>0</v>
      </c>
      <c r="O243" s="20">
        <v>6610</v>
      </c>
    </row>
    <row r="244" spans="1:15" s="5" customFormat="1" ht="12.65" customHeight="1">
      <c r="A244" s="22" t="s">
        <v>560</v>
      </c>
      <c r="B244" s="21" t="s">
        <v>561</v>
      </c>
      <c r="C244" s="23" t="s">
        <v>75</v>
      </c>
      <c r="D244" s="23" t="s">
        <v>77</v>
      </c>
      <c r="E244" s="9" t="s">
        <v>97</v>
      </c>
      <c r="F244" s="20" t="s">
        <v>989</v>
      </c>
      <c r="G244" s="43" t="s">
        <v>54</v>
      </c>
      <c r="H244" s="20">
        <v>16000</v>
      </c>
      <c r="I244" s="20"/>
      <c r="J244" s="20">
        <v>1140</v>
      </c>
      <c r="K244" s="20">
        <f t="shared" si="4"/>
        <v>95</v>
      </c>
      <c r="L244" s="20">
        <v>127</v>
      </c>
      <c r="M244" s="20">
        <v>22596</v>
      </c>
      <c r="N244" s="20">
        <v>124776</v>
      </c>
      <c r="O244" s="20">
        <v>2951</v>
      </c>
    </row>
    <row r="245" spans="1:15" s="5" customFormat="1" ht="12.65" customHeight="1">
      <c r="A245" s="22" t="s">
        <v>562</v>
      </c>
      <c r="B245" s="21" t="s">
        <v>563</v>
      </c>
      <c r="C245" s="23" t="s">
        <v>75</v>
      </c>
      <c r="D245" s="23" t="s">
        <v>77</v>
      </c>
      <c r="E245" s="9" t="s">
        <v>97</v>
      </c>
      <c r="F245" s="20" t="s">
        <v>989</v>
      </c>
      <c r="G245" s="43" t="s">
        <v>47</v>
      </c>
      <c r="H245" s="20">
        <v>1000</v>
      </c>
      <c r="I245" s="20"/>
      <c r="J245" s="20">
        <v>874</v>
      </c>
      <c r="K245" s="20">
        <f t="shared" si="4"/>
        <v>72.833333333333329</v>
      </c>
      <c r="L245" s="20">
        <v>312</v>
      </c>
      <c r="M245" s="20">
        <v>28245</v>
      </c>
      <c r="N245" s="20">
        <v>0</v>
      </c>
      <c r="O245" s="20">
        <v>1403</v>
      </c>
    </row>
    <row r="246" spans="1:15" s="5" customFormat="1" ht="12.65" customHeight="1">
      <c r="A246" s="22" t="s">
        <v>564</v>
      </c>
      <c r="B246" s="21" t="s">
        <v>565</v>
      </c>
      <c r="C246" s="23" t="s">
        <v>75</v>
      </c>
      <c r="D246" s="23" t="s">
        <v>77</v>
      </c>
      <c r="E246" s="9" t="s">
        <v>78</v>
      </c>
      <c r="F246" s="20" t="s">
        <v>1006</v>
      </c>
      <c r="G246" s="43" t="s">
        <v>6</v>
      </c>
      <c r="H246" s="20">
        <v>3500</v>
      </c>
      <c r="I246" s="20"/>
      <c r="J246" s="20">
        <v>2920</v>
      </c>
      <c r="K246" s="20">
        <f t="shared" si="4"/>
        <v>243.33333333333334</v>
      </c>
      <c r="L246" s="20">
        <v>497</v>
      </c>
      <c r="M246" s="20">
        <v>40782</v>
      </c>
      <c r="N246" s="20">
        <v>0</v>
      </c>
      <c r="O246" s="20">
        <v>8018</v>
      </c>
    </row>
    <row r="247" spans="1:15" s="5" customFormat="1" ht="12.65" customHeight="1">
      <c r="A247" s="22" t="s">
        <v>566</v>
      </c>
      <c r="B247" s="21" t="s">
        <v>567</v>
      </c>
      <c r="C247" s="23" t="s">
        <v>75</v>
      </c>
      <c r="D247" s="23" t="s">
        <v>77</v>
      </c>
      <c r="E247" s="9" t="s">
        <v>78</v>
      </c>
      <c r="F247" s="20" t="s">
        <v>1005</v>
      </c>
      <c r="G247" s="43" t="s">
        <v>6</v>
      </c>
      <c r="H247" s="20">
        <v>6000</v>
      </c>
      <c r="I247" s="20"/>
      <c r="J247" s="20">
        <v>11004</v>
      </c>
      <c r="K247" s="20">
        <f t="shared" si="4"/>
        <v>917</v>
      </c>
      <c r="L247" s="20">
        <v>1833</v>
      </c>
      <c r="M247" s="20">
        <v>41967</v>
      </c>
      <c r="N247" s="20">
        <v>0</v>
      </c>
      <c r="O247" s="20">
        <v>27938</v>
      </c>
    </row>
    <row r="248" spans="1:15" s="5" customFormat="1" ht="12.65" customHeight="1">
      <c r="A248" s="22" t="s">
        <v>568</v>
      </c>
      <c r="B248" s="21" t="s">
        <v>569</v>
      </c>
      <c r="C248" s="23" t="s">
        <v>75</v>
      </c>
      <c r="D248" s="23" t="s">
        <v>77</v>
      </c>
      <c r="E248" s="9" t="s">
        <v>78</v>
      </c>
      <c r="F248" s="20" t="s">
        <v>989</v>
      </c>
      <c r="G248" s="43" t="s">
        <v>3</v>
      </c>
      <c r="H248" s="20">
        <v>3000</v>
      </c>
      <c r="I248" s="20"/>
      <c r="J248" s="20">
        <v>5926</v>
      </c>
      <c r="K248" s="20">
        <f t="shared" si="4"/>
        <v>493.83333333333331</v>
      </c>
      <c r="L248" s="20">
        <v>1050</v>
      </c>
      <c r="M248" s="20">
        <v>22596</v>
      </c>
      <c r="N248" s="20">
        <v>0</v>
      </c>
      <c r="O248" s="20">
        <v>14734</v>
      </c>
    </row>
    <row r="249" spans="1:15" s="5" customFormat="1" ht="12.65" customHeight="1">
      <c r="A249" s="22" t="s">
        <v>570</v>
      </c>
      <c r="B249" s="21" t="s">
        <v>571</v>
      </c>
      <c r="C249" s="23" t="s">
        <v>75</v>
      </c>
      <c r="D249" s="23" t="s">
        <v>77</v>
      </c>
      <c r="E249" s="9" t="s">
        <v>78</v>
      </c>
      <c r="F249" s="20" t="s">
        <v>1007</v>
      </c>
      <c r="G249" s="43" t="s">
        <v>6</v>
      </c>
      <c r="H249" s="20">
        <v>4000</v>
      </c>
      <c r="I249" s="20"/>
      <c r="J249" s="20">
        <v>3662</v>
      </c>
      <c r="K249" s="20">
        <f t="shared" si="4"/>
        <v>305.16666666666669</v>
      </c>
      <c r="L249" s="20">
        <v>587</v>
      </c>
      <c r="M249" s="20">
        <v>43971</v>
      </c>
      <c r="N249" s="20">
        <v>0</v>
      </c>
      <c r="O249" s="20">
        <v>10263</v>
      </c>
    </row>
    <row r="250" spans="1:15" s="5" customFormat="1" ht="12.65" customHeight="1">
      <c r="A250" s="22" t="s">
        <v>572</v>
      </c>
      <c r="B250" s="21" t="s">
        <v>573</v>
      </c>
      <c r="C250" s="23" t="s">
        <v>75</v>
      </c>
      <c r="D250" s="23" t="s">
        <v>77</v>
      </c>
      <c r="E250" s="9" t="s">
        <v>78</v>
      </c>
      <c r="F250" s="20" t="s">
        <v>1005</v>
      </c>
      <c r="G250" s="43" t="s">
        <v>61</v>
      </c>
      <c r="H250" s="20">
        <v>4000</v>
      </c>
      <c r="I250" s="20"/>
      <c r="J250" s="20">
        <v>516</v>
      </c>
      <c r="K250" s="20">
        <f t="shared" si="4"/>
        <v>43</v>
      </c>
      <c r="L250" s="20">
        <v>107</v>
      </c>
      <c r="M250" s="20">
        <v>5419</v>
      </c>
      <c r="N250" s="20">
        <v>29275</v>
      </c>
      <c r="O250" s="20">
        <v>973</v>
      </c>
    </row>
    <row r="251" spans="1:15" s="5" customFormat="1" ht="12.65" customHeight="1">
      <c r="A251" s="22" t="s">
        <v>574</v>
      </c>
      <c r="B251" s="21" t="s">
        <v>575</v>
      </c>
      <c r="C251" s="23" t="s">
        <v>75</v>
      </c>
      <c r="D251" s="23" t="s">
        <v>77</v>
      </c>
      <c r="E251" s="9" t="s">
        <v>78</v>
      </c>
      <c r="F251" s="20" t="s">
        <v>1007</v>
      </c>
      <c r="G251" s="43" t="s">
        <v>6</v>
      </c>
      <c r="H251" s="20">
        <v>4000</v>
      </c>
      <c r="I251" s="20"/>
      <c r="J251" s="20">
        <v>3796</v>
      </c>
      <c r="K251" s="20">
        <f t="shared" si="4"/>
        <v>316.33333333333331</v>
      </c>
      <c r="L251" s="20">
        <v>722</v>
      </c>
      <c r="M251" s="20">
        <v>43971</v>
      </c>
      <c r="N251" s="20">
        <v>0</v>
      </c>
      <c r="O251" s="20">
        <v>9176</v>
      </c>
    </row>
    <row r="252" spans="1:15" s="5" customFormat="1" ht="12.65" customHeight="1">
      <c r="A252" s="22" t="s">
        <v>576</v>
      </c>
      <c r="B252" s="21" t="s">
        <v>577</v>
      </c>
      <c r="C252" s="23" t="s">
        <v>75</v>
      </c>
      <c r="D252" s="23" t="s">
        <v>77</v>
      </c>
      <c r="E252" s="9" t="s">
        <v>78</v>
      </c>
      <c r="F252" s="20" t="s">
        <v>989</v>
      </c>
      <c r="G252" s="43" t="s">
        <v>6</v>
      </c>
      <c r="H252" s="20">
        <v>6000</v>
      </c>
      <c r="I252" s="20"/>
      <c r="J252" s="20">
        <v>9307</v>
      </c>
      <c r="K252" s="20">
        <f t="shared" si="4"/>
        <v>775.58333333333337</v>
      </c>
      <c r="L252" s="20">
        <v>1288</v>
      </c>
      <c r="M252" s="20">
        <v>43331</v>
      </c>
      <c r="N252" s="20">
        <v>0</v>
      </c>
      <c r="O252" s="20">
        <v>27955</v>
      </c>
    </row>
    <row r="253" spans="1:15" s="5" customFormat="1" ht="12.65" customHeight="1">
      <c r="A253" s="22" t="s">
        <v>578</v>
      </c>
      <c r="B253" s="21" t="s">
        <v>579</v>
      </c>
      <c r="C253" s="23" t="s">
        <v>75</v>
      </c>
      <c r="D253" s="23" t="s">
        <v>77</v>
      </c>
      <c r="E253" s="9" t="s">
        <v>78</v>
      </c>
      <c r="F253" s="20" t="s">
        <v>989</v>
      </c>
      <c r="G253" s="43" t="s">
        <v>16</v>
      </c>
      <c r="H253" s="20">
        <v>9500</v>
      </c>
      <c r="I253" s="20"/>
      <c r="J253" s="20">
        <v>343</v>
      </c>
      <c r="K253" s="20">
        <f t="shared" si="4"/>
        <v>28.583333333333332</v>
      </c>
      <c r="L253" s="20">
        <v>343</v>
      </c>
      <c r="M253" s="20">
        <v>343</v>
      </c>
      <c r="N253" s="20">
        <v>343</v>
      </c>
      <c r="O253" s="20">
        <v>343</v>
      </c>
    </row>
    <row r="254" spans="1:15" s="5" customFormat="1" ht="12.65" customHeight="1">
      <c r="A254" s="22" t="s">
        <v>580</v>
      </c>
      <c r="B254" s="21" t="s">
        <v>581</v>
      </c>
      <c r="C254" s="23" t="s">
        <v>75</v>
      </c>
      <c r="D254" s="23" t="s">
        <v>77</v>
      </c>
      <c r="E254" s="9" t="s">
        <v>97</v>
      </c>
      <c r="F254" s="20" t="s">
        <v>1005</v>
      </c>
      <c r="G254" s="43" t="s">
        <v>54</v>
      </c>
      <c r="H254" s="20">
        <v>7000</v>
      </c>
      <c r="I254" s="20"/>
      <c r="J254" s="20">
        <v>353</v>
      </c>
      <c r="K254" s="20">
        <f t="shared" si="4"/>
        <v>29.416666666666668</v>
      </c>
      <c r="L254" s="20">
        <v>107</v>
      </c>
      <c r="M254" s="20">
        <v>21677</v>
      </c>
      <c r="N254" s="20">
        <v>43091</v>
      </c>
      <c r="O254" s="20">
        <v>708</v>
      </c>
    </row>
    <row r="255" spans="1:15" s="5" customFormat="1" ht="12.65" customHeight="1">
      <c r="A255" s="22" t="s">
        <v>582</v>
      </c>
      <c r="B255" s="21" t="s">
        <v>583</v>
      </c>
      <c r="C255" s="23" t="s">
        <v>75</v>
      </c>
      <c r="D255" s="23" t="s">
        <v>77</v>
      </c>
      <c r="E255" s="9" t="s">
        <v>78</v>
      </c>
      <c r="F255" s="20" t="s">
        <v>989</v>
      </c>
      <c r="G255" s="43" t="s">
        <v>6</v>
      </c>
      <c r="H255" s="20">
        <v>3500</v>
      </c>
      <c r="I255" s="20"/>
      <c r="J255" s="20">
        <v>2711</v>
      </c>
      <c r="K255" s="20">
        <f t="shared" si="4"/>
        <v>225.91666666666666</v>
      </c>
      <c r="L255" s="20">
        <v>542</v>
      </c>
      <c r="M255" s="20">
        <v>43331</v>
      </c>
      <c r="N255" s="20">
        <v>0</v>
      </c>
      <c r="O255" s="20">
        <v>6433</v>
      </c>
    </row>
    <row r="256" spans="1:15" s="5" customFormat="1" ht="12.65" customHeight="1">
      <c r="A256" s="22" t="s">
        <v>584</v>
      </c>
      <c r="B256" s="21" t="s">
        <v>585</v>
      </c>
      <c r="C256" s="23" t="s">
        <v>75</v>
      </c>
      <c r="D256" s="23" t="s">
        <v>77</v>
      </c>
      <c r="E256" s="9" t="s">
        <v>78</v>
      </c>
      <c r="F256" s="20" t="s">
        <v>1006</v>
      </c>
      <c r="G256" s="43" t="s">
        <v>4</v>
      </c>
      <c r="H256" s="20">
        <v>2500</v>
      </c>
      <c r="I256" s="20"/>
      <c r="J256" s="20">
        <v>2599</v>
      </c>
      <c r="K256" s="20">
        <f t="shared" si="4"/>
        <v>216.58333333333334</v>
      </c>
      <c r="L256" s="20">
        <v>537</v>
      </c>
      <c r="M256" s="20">
        <v>26580</v>
      </c>
      <c r="N256" s="20">
        <v>0</v>
      </c>
      <c r="O256" s="20">
        <v>6070</v>
      </c>
    </row>
    <row r="257" spans="1:15" s="5" customFormat="1" ht="12.65" customHeight="1">
      <c r="A257" s="22" t="s">
        <v>586</v>
      </c>
      <c r="B257" s="21" t="s">
        <v>587</v>
      </c>
      <c r="C257" s="23" t="s">
        <v>75</v>
      </c>
      <c r="D257" s="23" t="s">
        <v>77</v>
      </c>
      <c r="E257" s="9" t="s">
        <v>78</v>
      </c>
      <c r="F257" s="20" t="s">
        <v>989</v>
      </c>
      <c r="G257" s="43" t="s">
        <v>6</v>
      </c>
      <c r="H257" s="20">
        <v>3500</v>
      </c>
      <c r="I257" s="20"/>
      <c r="J257" s="20">
        <v>2711</v>
      </c>
      <c r="K257" s="20">
        <f t="shared" si="4"/>
        <v>225.91666666666666</v>
      </c>
      <c r="L257" s="20">
        <v>542</v>
      </c>
      <c r="M257" s="20">
        <v>43331</v>
      </c>
      <c r="N257" s="20">
        <v>0</v>
      </c>
      <c r="O257" s="20">
        <v>6433</v>
      </c>
    </row>
    <row r="258" spans="1:15" s="5" customFormat="1" ht="12.65" customHeight="1">
      <c r="A258" s="22" t="s">
        <v>588</v>
      </c>
      <c r="B258" s="21" t="s">
        <v>589</v>
      </c>
      <c r="C258" s="23" t="s">
        <v>75</v>
      </c>
      <c r="D258" s="23" t="s">
        <v>77</v>
      </c>
      <c r="E258" s="9" t="s">
        <v>97</v>
      </c>
      <c r="F258" s="20" t="s">
        <v>1005</v>
      </c>
      <c r="G258" s="43" t="s">
        <v>54</v>
      </c>
      <c r="H258" s="20">
        <v>8000</v>
      </c>
      <c r="I258" s="20"/>
      <c r="J258" s="20">
        <v>396</v>
      </c>
      <c r="K258" s="20">
        <f t="shared" si="4"/>
        <v>33</v>
      </c>
      <c r="L258" s="20">
        <v>112</v>
      </c>
      <c r="M258" s="20">
        <v>21677</v>
      </c>
      <c r="N258" s="20">
        <v>51223</v>
      </c>
      <c r="O258" s="20">
        <v>846</v>
      </c>
    </row>
    <row r="259" spans="1:15" s="5" customFormat="1" ht="12.65" customHeight="1">
      <c r="A259" s="22" t="s">
        <v>590</v>
      </c>
      <c r="B259" s="21" t="s">
        <v>591</v>
      </c>
      <c r="C259" s="23" t="s">
        <v>75</v>
      </c>
      <c r="D259" s="23" t="s">
        <v>77</v>
      </c>
      <c r="E259" s="9" t="s">
        <v>78</v>
      </c>
      <c r="F259" s="20" t="s">
        <v>1007</v>
      </c>
      <c r="G259" s="43" t="s">
        <v>6</v>
      </c>
      <c r="H259" s="20">
        <v>3000</v>
      </c>
      <c r="I259" s="20"/>
      <c r="J259" s="20">
        <v>3263</v>
      </c>
      <c r="K259" s="20">
        <f t="shared" si="4"/>
        <v>271.91666666666669</v>
      </c>
      <c r="L259" s="20">
        <v>634</v>
      </c>
      <c r="M259" s="20">
        <v>43971</v>
      </c>
      <c r="N259" s="20">
        <v>0</v>
      </c>
      <c r="O259" s="20">
        <v>9016</v>
      </c>
    </row>
    <row r="260" spans="1:15" s="5" customFormat="1" ht="12.65" customHeight="1">
      <c r="A260" s="22" t="s">
        <v>592</v>
      </c>
      <c r="B260" s="21" t="s">
        <v>593</v>
      </c>
      <c r="C260" s="23" t="s">
        <v>75</v>
      </c>
      <c r="D260" s="23" t="s">
        <v>77</v>
      </c>
      <c r="E260" s="9" t="s">
        <v>78</v>
      </c>
      <c r="F260" s="20" t="s">
        <v>989</v>
      </c>
      <c r="G260" s="43" t="s">
        <v>8</v>
      </c>
      <c r="H260" s="20">
        <v>4000</v>
      </c>
      <c r="I260" s="20"/>
      <c r="J260" s="20">
        <v>3601</v>
      </c>
      <c r="K260" s="20">
        <f t="shared" si="4"/>
        <v>300.08333333333331</v>
      </c>
      <c r="L260" s="20">
        <v>3601</v>
      </c>
      <c r="M260" s="20">
        <v>3601</v>
      </c>
      <c r="N260" s="20">
        <v>3601</v>
      </c>
      <c r="O260" s="20">
        <v>3601</v>
      </c>
    </row>
    <row r="261" spans="1:15" s="5" customFormat="1" ht="12.65" customHeight="1">
      <c r="A261" s="22" t="s">
        <v>594</v>
      </c>
      <c r="B261" s="21" t="s">
        <v>595</v>
      </c>
      <c r="C261" s="23" t="s">
        <v>75</v>
      </c>
      <c r="D261" s="23" t="s">
        <v>77</v>
      </c>
      <c r="E261" s="9" t="s">
        <v>97</v>
      </c>
      <c r="F261" s="20" t="s">
        <v>989</v>
      </c>
      <c r="G261" s="43" t="s">
        <v>54</v>
      </c>
      <c r="H261" s="20">
        <v>12000</v>
      </c>
      <c r="I261" s="20"/>
      <c r="J261" s="20">
        <v>894</v>
      </c>
      <c r="K261" s="20">
        <f t="shared" si="4"/>
        <v>74.5</v>
      </c>
      <c r="L261" s="20">
        <v>101</v>
      </c>
      <c r="M261" s="20">
        <v>22596</v>
      </c>
      <c r="N261" s="20">
        <v>85476</v>
      </c>
      <c r="O261" s="20">
        <v>2295</v>
      </c>
    </row>
    <row r="262" spans="1:15" s="5" customFormat="1" ht="12.65" customHeight="1">
      <c r="A262" s="22" t="s">
        <v>596</v>
      </c>
      <c r="B262" s="21" t="s">
        <v>597</v>
      </c>
      <c r="C262" s="23" t="s">
        <v>75</v>
      </c>
      <c r="D262" s="23" t="s">
        <v>77</v>
      </c>
      <c r="E262" s="9" t="s">
        <v>78</v>
      </c>
      <c r="F262" s="20" t="s">
        <v>1007</v>
      </c>
      <c r="G262" s="43" t="s">
        <v>6</v>
      </c>
      <c r="H262" s="20">
        <v>3000</v>
      </c>
      <c r="I262" s="20"/>
      <c r="J262" s="20">
        <v>3448</v>
      </c>
      <c r="K262" s="20">
        <f t="shared" si="4"/>
        <v>287.33333333333331</v>
      </c>
      <c r="L262" s="20">
        <v>676</v>
      </c>
      <c r="M262" s="20">
        <v>43971</v>
      </c>
      <c r="N262" s="20">
        <v>0</v>
      </c>
      <c r="O262" s="20">
        <v>8237</v>
      </c>
    </row>
    <row r="263" spans="1:15" s="5" customFormat="1" ht="12.65" customHeight="1">
      <c r="A263" s="22" t="s">
        <v>138</v>
      </c>
      <c r="B263" s="21" t="s">
        <v>139</v>
      </c>
      <c r="C263" s="23" t="s">
        <v>75</v>
      </c>
      <c r="D263" s="23" t="s">
        <v>77</v>
      </c>
      <c r="E263" s="9" t="s">
        <v>78</v>
      </c>
      <c r="F263" s="20" t="s">
        <v>1007</v>
      </c>
      <c r="G263" s="43" t="s">
        <v>6</v>
      </c>
      <c r="H263" s="20">
        <v>4000</v>
      </c>
      <c r="I263" s="20"/>
      <c r="J263" s="20">
        <v>3662</v>
      </c>
      <c r="K263" s="20">
        <f t="shared" si="4"/>
        <v>305.16666666666669</v>
      </c>
      <c r="L263" s="20">
        <v>587</v>
      </c>
      <c r="M263" s="20">
        <v>43971</v>
      </c>
      <c r="N263" s="20">
        <v>0</v>
      </c>
      <c r="O263" s="20">
        <v>10263</v>
      </c>
    </row>
    <row r="264" spans="1:15" s="5" customFormat="1" ht="12.65" customHeight="1">
      <c r="A264" s="22" t="s">
        <v>600</v>
      </c>
      <c r="B264" s="21" t="s">
        <v>601</v>
      </c>
      <c r="C264" s="23" t="s">
        <v>75</v>
      </c>
      <c r="D264" s="23" t="s">
        <v>77</v>
      </c>
      <c r="E264" s="9" t="s">
        <v>78</v>
      </c>
      <c r="F264" s="20" t="s">
        <v>989</v>
      </c>
      <c r="G264" s="43" t="s">
        <v>6</v>
      </c>
      <c r="H264" s="20">
        <v>3000</v>
      </c>
      <c r="I264" s="20"/>
      <c r="J264" s="20">
        <v>2885</v>
      </c>
      <c r="K264" s="20">
        <f t="shared" ref="K264:K327" si="5">J264/12</f>
        <v>240.41666666666666</v>
      </c>
      <c r="L264" s="20">
        <v>843</v>
      </c>
      <c r="M264" s="20">
        <v>43331</v>
      </c>
      <c r="N264" s="20">
        <v>0</v>
      </c>
      <c r="O264" s="20">
        <v>6637</v>
      </c>
    </row>
    <row r="265" spans="1:15" s="5" customFormat="1" ht="12.65" customHeight="1">
      <c r="A265" s="22" t="s">
        <v>602</v>
      </c>
      <c r="B265" s="21" t="s">
        <v>603</v>
      </c>
      <c r="C265" s="23" t="s">
        <v>75</v>
      </c>
      <c r="D265" s="23" t="s">
        <v>77</v>
      </c>
      <c r="E265" s="9" t="s">
        <v>97</v>
      </c>
      <c r="F265" s="20" t="s">
        <v>1005</v>
      </c>
      <c r="G265" s="43" t="s">
        <v>50</v>
      </c>
      <c r="H265" s="20">
        <v>9000</v>
      </c>
      <c r="I265" s="20"/>
      <c r="J265" s="20">
        <v>376</v>
      </c>
      <c r="K265" s="20">
        <f t="shared" si="5"/>
        <v>31.333333333333332</v>
      </c>
      <c r="L265" s="20">
        <v>110</v>
      </c>
      <c r="M265" s="20">
        <v>0</v>
      </c>
      <c r="N265" s="20">
        <v>82008</v>
      </c>
      <c r="O265" s="20">
        <v>868</v>
      </c>
    </row>
    <row r="266" spans="1:15" s="5" customFormat="1" ht="12.65" customHeight="1">
      <c r="A266" s="22" t="s">
        <v>726</v>
      </c>
      <c r="B266" s="21" t="s">
        <v>727</v>
      </c>
      <c r="C266" s="23" t="s">
        <v>75</v>
      </c>
      <c r="D266" s="23" t="s">
        <v>77</v>
      </c>
      <c r="E266" s="9" t="s">
        <v>97</v>
      </c>
      <c r="F266" s="20" t="s">
        <v>1005</v>
      </c>
      <c r="G266" s="43" t="s">
        <v>50</v>
      </c>
      <c r="H266" s="20">
        <v>7000</v>
      </c>
      <c r="I266" s="20"/>
      <c r="J266" s="20">
        <v>470</v>
      </c>
      <c r="K266" s="20">
        <f t="shared" si="5"/>
        <v>39.166666666666664</v>
      </c>
      <c r="L266" s="20">
        <v>133</v>
      </c>
      <c r="M266" s="20">
        <v>0</v>
      </c>
      <c r="N266" s="20">
        <v>63074</v>
      </c>
      <c r="O266" s="20">
        <v>844</v>
      </c>
    </row>
    <row r="267" spans="1:15" s="5" customFormat="1" ht="12.65" customHeight="1">
      <c r="A267" s="22" t="s">
        <v>606</v>
      </c>
      <c r="B267" s="21" t="s">
        <v>607</v>
      </c>
      <c r="C267" s="23" t="s">
        <v>75</v>
      </c>
      <c r="D267" s="23" t="s">
        <v>77</v>
      </c>
      <c r="E267" s="9" t="s">
        <v>78</v>
      </c>
      <c r="F267" s="20" t="s">
        <v>1007</v>
      </c>
      <c r="G267" s="43" t="s">
        <v>6</v>
      </c>
      <c r="H267" s="20">
        <v>3000</v>
      </c>
      <c r="I267" s="20"/>
      <c r="J267" s="20">
        <v>3448</v>
      </c>
      <c r="K267" s="20">
        <f t="shared" si="5"/>
        <v>287.33333333333331</v>
      </c>
      <c r="L267" s="20">
        <v>676</v>
      </c>
      <c r="M267" s="20">
        <v>43971</v>
      </c>
      <c r="N267" s="20">
        <v>0</v>
      </c>
      <c r="O267" s="20">
        <v>8237</v>
      </c>
    </row>
    <row r="268" spans="1:15" s="5" customFormat="1" ht="12.65" customHeight="1">
      <c r="A268" s="22" t="s">
        <v>608</v>
      </c>
      <c r="B268" s="21" t="s">
        <v>609</v>
      </c>
      <c r="C268" s="23" t="s">
        <v>75</v>
      </c>
      <c r="D268" s="23" t="s">
        <v>77</v>
      </c>
      <c r="E268" s="9" t="s">
        <v>97</v>
      </c>
      <c r="F268" s="20" t="s">
        <v>1005</v>
      </c>
      <c r="G268" s="43" t="s">
        <v>52</v>
      </c>
      <c r="H268" s="20">
        <v>15000</v>
      </c>
      <c r="I268" s="20"/>
      <c r="J268" s="20">
        <v>1469</v>
      </c>
      <c r="K268" s="20">
        <f t="shared" si="5"/>
        <v>122.41666666666667</v>
      </c>
      <c r="L268" s="20">
        <v>170</v>
      </c>
      <c r="M268" s="20">
        <v>10839</v>
      </c>
      <c r="N268" s="20">
        <v>125183</v>
      </c>
      <c r="O268" s="20">
        <v>3491</v>
      </c>
    </row>
    <row r="269" spans="1:15" s="5" customFormat="1" ht="12.65" customHeight="1">
      <c r="A269" s="22" t="s">
        <v>610</v>
      </c>
      <c r="B269" s="21" t="s">
        <v>611</v>
      </c>
      <c r="C269" s="23" t="s">
        <v>75</v>
      </c>
      <c r="D269" s="23" t="s">
        <v>77</v>
      </c>
      <c r="E269" s="9" t="s">
        <v>78</v>
      </c>
      <c r="F269" s="20" t="s">
        <v>989</v>
      </c>
      <c r="G269" s="43" t="s">
        <v>6</v>
      </c>
      <c r="H269" s="20">
        <v>3500</v>
      </c>
      <c r="I269" s="20"/>
      <c r="J269" s="20">
        <v>2658</v>
      </c>
      <c r="K269" s="20">
        <f t="shared" si="5"/>
        <v>221.5</v>
      </c>
      <c r="L269" s="20">
        <v>470</v>
      </c>
      <c r="M269" s="20">
        <v>43331</v>
      </c>
      <c r="N269" s="20">
        <v>0</v>
      </c>
      <c r="O269" s="20">
        <v>7190</v>
      </c>
    </row>
    <row r="270" spans="1:15" s="5" customFormat="1" ht="12.65" customHeight="1">
      <c r="A270" s="22" t="s">
        <v>612</v>
      </c>
      <c r="B270" s="21" t="s">
        <v>613</v>
      </c>
      <c r="C270" s="23" t="s">
        <v>75</v>
      </c>
      <c r="D270" s="23" t="s">
        <v>77</v>
      </c>
      <c r="E270" s="9" t="s">
        <v>97</v>
      </c>
      <c r="F270" s="20" t="s">
        <v>1006</v>
      </c>
      <c r="G270" s="43" t="s">
        <v>54</v>
      </c>
      <c r="H270" s="20">
        <v>9000</v>
      </c>
      <c r="I270" s="20"/>
      <c r="J270" s="20">
        <v>462</v>
      </c>
      <c r="K270" s="20">
        <f t="shared" si="5"/>
        <v>38.5</v>
      </c>
      <c r="L270" s="20">
        <v>93</v>
      </c>
      <c r="M270" s="20">
        <v>21275</v>
      </c>
      <c r="N270" s="20">
        <v>59906</v>
      </c>
      <c r="O270" s="20">
        <v>1213</v>
      </c>
    </row>
    <row r="271" spans="1:15" s="5" customFormat="1" ht="12.65" customHeight="1">
      <c r="A271" s="22" t="s">
        <v>614</v>
      </c>
      <c r="B271" s="21" t="s">
        <v>615</v>
      </c>
      <c r="C271" s="23" t="s">
        <v>75</v>
      </c>
      <c r="D271" s="23" t="s">
        <v>77</v>
      </c>
      <c r="E271" s="9" t="s">
        <v>78</v>
      </c>
      <c r="F271" s="20" t="s">
        <v>989</v>
      </c>
      <c r="G271" s="43" t="s">
        <v>6</v>
      </c>
      <c r="H271" s="20">
        <v>3500</v>
      </c>
      <c r="I271" s="20"/>
      <c r="J271" s="20">
        <v>2658</v>
      </c>
      <c r="K271" s="20">
        <f t="shared" si="5"/>
        <v>221.5</v>
      </c>
      <c r="L271" s="20">
        <v>470</v>
      </c>
      <c r="M271" s="20">
        <v>43331</v>
      </c>
      <c r="N271" s="20">
        <v>0</v>
      </c>
      <c r="O271" s="20">
        <v>7190</v>
      </c>
    </row>
    <row r="272" spans="1:15" s="5" customFormat="1" ht="12.65" customHeight="1">
      <c r="A272" s="22" t="s">
        <v>616</v>
      </c>
      <c r="B272" s="21" t="s">
        <v>617</v>
      </c>
      <c r="C272" s="23" t="s">
        <v>75</v>
      </c>
      <c r="D272" s="23" t="s">
        <v>77</v>
      </c>
      <c r="E272" s="9" t="s">
        <v>78</v>
      </c>
      <c r="F272" s="20" t="s">
        <v>1005</v>
      </c>
      <c r="G272" s="43" t="s">
        <v>6</v>
      </c>
      <c r="H272" s="20">
        <v>3000</v>
      </c>
      <c r="I272" s="20"/>
      <c r="J272" s="20">
        <v>3488</v>
      </c>
      <c r="K272" s="20">
        <f t="shared" si="5"/>
        <v>290.66666666666669</v>
      </c>
      <c r="L272" s="20">
        <v>664</v>
      </c>
      <c r="M272" s="20">
        <v>41967</v>
      </c>
      <c r="N272" s="20">
        <v>0</v>
      </c>
      <c r="O272" s="20">
        <v>9737</v>
      </c>
    </row>
    <row r="273" spans="1:15" s="5" customFormat="1" ht="12.65" customHeight="1">
      <c r="A273" s="22" t="s">
        <v>618</v>
      </c>
      <c r="B273" s="21" t="s">
        <v>619</v>
      </c>
      <c r="C273" s="23" t="s">
        <v>75</v>
      </c>
      <c r="D273" s="23" t="s">
        <v>77</v>
      </c>
      <c r="E273" s="9" t="s">
        <v>97</v>
      </c>
      <c r="F273" s="20" t="s">
        <v>1005</v>
      </c>
      <c r="G273" s="43" t="s">
        <v>64</v>
      </c>
      <c r="H273" s="20">
        <v>21000</v>
      </c>
      <c r="I273" s="20"/>
      <c r="J273" s="20">
        <v>1005</v>
      </c>
      <c r="K273" s="20">
        <f t="shared" si="5"/>
        <v>83.75</v>
      </c>
      <c r="L273" s="20">
        <v>103</v>
      </c>
      <c r="M273" s="20">
        <v>21701</v>
      </c>
      <c r="N273" s="20">
        <v>174526</v>
      </c>
      <c r="O273" s="20">
        <v>2525</v>
      </c>
    </row>
    <row r="274" spans="1:15" s="5" customFormat="1" ht="12.65" customHeight="1">
      <c r="A274" s="22" t="s">
        <v>620</v>
      </c>
      <c r="B274" s="21" t="s">
        <v>621</v>
      </c>
      <c r="C274" s="23" t="s">
        <v>75</v>
      </c>
      <c r="D274" s="23" t="s">
        <v>77</v>
      </c>
      <c r="E274" s="9" t="s">
        <v>97</v>
      </c>
      <c r="F274" s="20" t="s">
        <v>1006</v>
      </c>
      <c r="G274" s="43" t="s">
        <v>52</v>
      </c>
      <c r="H274" s="20">
        <v>4000</v>
      </c>
      <c r="I274" s="20"/>
      <c r="J274" s="20">
        <v>323</v>
      </c>
      <c r="K274" s="20">
        <f t="shared" si="5"/>
        <v>26.916666666666668</v>
      </c>
      <c r="L274" s="20">
        <v>93</v>
      </c>
      <c r="M274" s="20">
        <v>10638</v>
      </c>
      <c r="N274" s="20">
        <v>24677</v>
      </c>
      <c r="O274" s="20">
        <v>700</v>
      </c>
    </row>
    <row r="275" spans="1:15" s="5" customFormat="1" ht="12.65" customHeight="1">
      <c r="A275" s="22" t="s">
        <v>622</v>
      </c>
      <c r="B275" s="21" t="s">
        <v>623</v>
      </c>
      <c r="C275" s="23" t="s">
        <v>75</v>
      </c>
      <c r="D275" s="23" t="s">
        <v>77</v>
      </c>
      <c r="E275" s="9" t="s">
        <v>97</v>
      </c>
      <c r="F275" s="20" t="s">
        <v>1007</v>
      </c>
      <c r="G275" s="43" t="s">
        <v>54</v>
      </c>
      <c r="H275" s="20">
        <v>13000</v>
      </c>
      <c r="I275" s="20"/>
      <c r="J275" s="20">
        <v>851</v>
      </c>
      <c r="K275" s="20">
        <f t="shared" si="5"/>
        <v>70.916666666666671</v>
      </c>
      <c r="L275" s="20">
        <v>187</v>
      </c>
      <c r="M275" s="20">
        <v>22938</v>
      </c>
      <c r="N275" s="20">
        <v>94110</v>
      </c>
      <c r="O275" s="20">
        <v>2297</v>
      </c>
    </row>
    <row r="276" spans="1:15" s="5" customFormat="1" ht="12.65" customHeight="1">
      <c r="A276" s="22" t="s">
        <v>419</v>
      </c>
      <c r="B276" s="21" t="s">
        <v>420</v>
      </c>
      <c r="C276" s="23" t="s">
        <v>75</v>
      </c>
      <c r="D276" s="23" t="s">
        <v>77</v>
      </c>
      <c r="E276" s="9" t="s">
        <v>78</v>
      </c>
      <c r="F276" s="20" t="s">
        <v>1006</v>
      </c>
      <c r="G276" s="43" t="s">
        <v>6</v>
      </c>
      <c r="H276" s="20">
        <v>3000</v>
      </c>
      <c r="I276" s="20"/>
      <c r="J276" s="20">
        <v>3866</v>
      </c>
      <c r="K276" s="20">
        <f t="shared" si="5"/>
        <v>322.16666666666669</v>
      </c>
      <c r="L276" s="20">
        <v>682</v>
      </c>
      <c r="M276" s="20">
        <v>40792</v>
      </c>
      <c r="N276" s="20">
        <v>0</v>
      </c>
      <c r="O276" s="20">
        <v>10034</v>
      </c>
    </row>
    <row r="277" spans="1:15" s="5" customFormat="1" ht="12.65" customHeight="1">
      <c r="A277" s="22" t="s">
        <v>776</v>
      </c>
      <c r="B277" s="21" t="s">
        <v>777</v>
      </c>
      <c r="C277" s="23" t="s">
        <v>75</v>
      </c>
      <c r="D277" s="23" t="s">
        <v>77</v>
      </c>
      <c r="E277" s="9" t="s">
        <v>97</v>
      </c>
      <c r="F277" s="20" t="s">
        <v>1005</v>
      </c>
      <c r="G277" s="43" t="s">
        <v>60</v>
      </c>
      <c r="H277" s="20">
        <v>5000</v>
      </c>
      <c r="I277" s="20"/>
      <c r="J277" s="20">
        <v>854</v>
      </c>
      <c r="K277" s="20">
        <f t="shared" si="5"/>
        <v>71.166666666666671</v>
      </c>
      <c r="L277" s="20">
        <v>177</v>
      </c>
      <c r="M277" s="20">
        <v>0</v>
      </c>
      <c r="N277" s="20">
        <v>43939</v>
      </c>
      <c r="O277" s="20">
        <v>1598</v>
      </c>
    </row>
    <row r="278" spans="1:15" s="5" customFormat="1" ht="12.65" customHeight="1">
      <c r="A278" s="22" t="s">
        <v>628</v>
      </c>
      <c r="B278" s="21" t="s">
        <v>629</v>
      </c>
      <c r="C278" s="23" t="s">
        <v>75</v>
      </c>
      <c r="D278" s="23" t="s">
        <v>77</v>
      </c>
      <c r="E278" s="9" t="s">
        <v>78</v>
      </c>
      <c r="F278" s="20" t="s">
        <v>1005</v>
      </c>
      <c r="G278" s="43" t="s">
        <v>6</v>
      </c>
      <c r="H278" s="20">
        <v>6000</v>
      </c>
      <c r="I278" s="20"/>
      <c r="J278" s="20">
        <v>9585</v>
      </c>
      <c r="K278" s="20">
        <f t="shared" si="5"/>
        <v>798.75</v>
      </c>
      <c r="L278" s="20">
        <v>1595</v>
      </c>
      <c r="M278" s="20">
        <v>41967</v>
      </c>
      <c r="N278" s="20">
        <v>0</v>
      </c>
      <c r="O278" s="20">
        <v>28413</v>
      </c>
    </row>
    <row r="279" spans="1:15" s="5" customFormat="1" ht="12.65" customHeight="1">
      <c r="A279" s="22" t="s">
        <v>630</v>
      </c>
      <c r="B279" s="21" t="s">
        <v>631</v>
      </c>
      <c r="C279" s="23" t="s">
        <v>75</v>
      </c>
      <c r="D279" s="23" t="s">
        <v>77</v>
      </c>
      <c r="E279" s="9" t="s">
        <v>97</v>
      </c>
      <c r="F279" s="20" t="s">
        <v>1005</v>
      </c>
      <c r="G279" s="43" t="s">
        <v>63</v>
      </c>
      <c r="H279" s="20">
        <v>9000</v>
      </c>
      <c r="I279" s="20"/>
      <c r="J279" s="20">
        <v>706</v>
      </c>
      <c r="K279" s="20">
        <f t="shared" si="5"/>
        <v>58.833333333333336</v>
      </c>
      <c r="L279" s="20">
        <v>80</v>
      </c>
      <c r="M279" s="20">
        <v>16258</v>
      </c>
      <c r="N279" s="20">
        <v>64755</v>
      </c>
      <c r="O279" s="20">
        <v>1696</v>
      </c>
    </row>
    <row r="280" spans="1:15" s="5" customFormat="1" ht="12.65" customHeight="1">
      <c r="A280" s="22" t="s">
        <v>632</v>
      </c>
      <c r="B280" s="21" t="s">
        <v>633</v>
      </c>
      <c r="C280" s="23" t="s">
        <v>75</v>
      </c>
      <c r="D280" s="23" t="s">
        <v>77</v>
      </c>
      <c r="E280" s="9" t="s">
        <v>78</v>
      </c>
      <c r="F280" s="20" t="s">
        <v>1005</v>
      </c>
      <c r="G280" s="43" t="s">
        <v>16</v>
      </c>
      <c r="H280" s="20">
        <v>5000</v>
      </c>
      <c r="I280" s="20"/>
      <c r="J280" s="20">
        <v>450</v>
      </c>
      <c r="K280" s="20">
        <f t="shared" si="5"/>
        <v>37.5</v>
      </c>
      <c r="L280" s="20">
        <v>174</v>
      </c>
      <c r="M280" s="20">
        <v>25466</v>
      </c>
      <c r="N280" s="20">
        <v>25430</v>
      </c>
      <c r="O280" s="20">
        <v>1126</v>
      </c>
    </row>
    <row r="281" spans="1:15" s="5" customFormat="1" ht="12.65" customHeight="1">
      <c r="A281" s="22" t="s">
        <v>634</v>
      </c>
      <c r="B281" s="21" t="s">
        <v>635</v>
      </c>
      <c r="C281" s="23" t="s">
        <v>75</v>
      </c>
      <c r="D281" s="23" t="s">
        <v>77</v>
      </c>
      <c r="E281" s="9" t="s">
        <v>78</v>
      </c>
      <c r="F281" s="20" t="s">
        <v>1005</v>
      </c>
      <c r="G281" s="43" t="s">
        <v>6</v>
      </c>
      <c r="H281" s="20">
        <v>4500</v>
      </c>
      <c r="I281" s="20"/>
      <c r="J281" s="20">
        <v>8039</v>
      </c>
      <c r="K281" s="20">
        <f t="shared" si="5"/>
        <v>669.91666666666663</v>
      </c>
      <c r="L281" s="20">
        <v>1251</v>
      </c>
      <c r="M281" s="20">
        <v>41967</v>
      </c>
      <c r="N281" s="20">
        <v>0</v>
      </c>
      <c r="O281" s="20">
        <v>22129</v>
      </c>
    </row>
    <row r="282" spans="1:15" s="5" customFormat="1" ht="12.65" customHeight="1">
      <c r="A282" s="22" t="s">
        <v>636</v>
      </c>
      <c r="B282" s="21" t="s">
        <v>637</v>
      </c>
      <c r="C282" s="23" t="s">
        <v>75</v>
      </c>
      <c r="D282" s="23" t="s">
        <v>77</v>
      </c>
      <c r="E282" s="9" t="s">
        <v>78</v>
      </c>
      <c r="F282" s="20" t="s">
        <v>1005</v>
      </c>
      <c r="G282" s="43" t="s">
        <v>6</v>
      </c>
      <c r="H282" s="20">
        <v>4500</v>
      </c>
      <c r="I282" s="20"/>
      <c r="J282" s="20">
        <v>8313</v>
      </c>
      <c r="K282" s="20">
        <f t="shared" si="5"/>
        <v>692.75</v>
      </c>
      <c r="L282" s="20">
        <v>1447</v>
      </c>
      <c r="M282" s="20">
        <v>41967</v>
      </c>
      <c r="N282" s="20">
        <v>0</v>
      </c>
      <c r="O282" s="20">
        <v>20777</v>
      </c>
    </row>
    <row r="283" spans="1:15" s="5" customFormat="1" ht="12.65" customHeight="1">
      <c r="A283" s="22" t="s">
        <v>638</v>
      </c>
      <c r="B283" s="21" t="s">
        <v>639</v>
      </c>
      <c r="C283" s="23" t="s">
        <v>75</v>
      </c>
      <c r="D283" s="23" t="s">
        <v>77</v>
      </c>
      <c r="E283" s="9" t="s">
        <v>78</v>
      </c>
      <c r="F283" s="20" t="s">
        <v>1005</v>
      </c>
      <c r="G283" s="43" t="s">
        <v>6</v>
      </c>
      <c r="H283" s="20">
        <v>9500</v>
      </c>
      <c r="I283" s="20"/>
      <c r="J283" s="20">
        <v>24611</v>
      </c>
      <c r="K283" s="20">
        <f t="shared" si="5"/>
        <v>2050.9166666666665</v>
      </c>
      <c r="L283" s="20">
        <v>3691</v>
      </c>
      <c r="M283" s="20">
        <v>41967</v>
      </c>
      <c r="N283" s="20">
        <v>0</v>
      </c>
      <c r="O283" s="20">
        <v>58643</v>
      </c>
    </row>
    <row r="284" spans="1:15" s="5" customFormat="1" ht="12.65" customHeight="1">
      <c r="A284" s="22" t="s">
        <v>640</v>
      </c>
      <c r="B284" s="21" t="s">
        <v>641</v>
      </c>
      <c r="C284" s="23" t="s">
        <v>75</v>
      </c>
      <c r="D284" s="23" t="s">
        <v>77</v>
      </c>
      <c r="E284" s="9" t="s">
        <v>97</v>
      </c>
      <c r="F284" s="20" t="s">
        <v>989</v>
      </c>
      <c r="G284" s="43" t="s">
        <v>54</v>
      </c>
      <c r="H284" s="20">
        <v>4000</v>
      </c>
      <c r="I284" s="20"/>
      <c r="J284" s="20">
        <v>535</v>
      </c>
      <c r="K284" s="20">
        <f t="shared" si="5"/>
        <v>44.583333333333336</v>
      </c>
      <c r="L284" s="20">
        <v>535</v>
      </c>
      <c r="M284" s="20">
        <v>535</v>
      </c>
      <c r="N284" s="20">
        <v>535</v>
      </c>
      <c r="O284" s="20">
        <v>535</v>
      </c>
    </row>
    <row r="285" spans="1:15" s="5" customFormat="1" ht="12.65" customHeight="1">
      <c r="A285" s="22" t="s">
        <v>642</v>
      </c>
      <c r="B285" s="21" t="s">
        <v>643</v>
      </c>
      <c r="C285" s="23" t="s">
        <v>75</v>
      </c>
      <c r="D285" s="23" t="s">
        <v>77</v>
      </c>
      <c r="E285" s="9" t="s">
        <v>97</v>
      </c>
      <c r="F285" s="20" t="s">
        <v>989</v>
      </c>
      <c r="G285" s="43" t="s">
        <v>54</v>
      </c>
      <c r="H285" s="20">
        <v>16000</v>
      </c>
      <c r="I285" s="20"/>
      <c r="J285" s="20">
        <v>1140</v>
      </c>
      <c r="K285" s="20">
        <f t="shared" si="5"/>
        <v>95</v>
      </c>
      <c r="L285" s="20">
        <v>127</v>
      </c>
      <c r="M285" s="20">
        <v>22596</v>
      </c>
      <c r="N285" s="20">
        <v>124776</v>
      </c>
      <c r="O285" s="20">
        <v>2951</v>
      </c>
    </row>
    <row r="286" spans="1:15" s="5" customFormat="1" ht="12.65" customHeight="1">
      <c r="A286" s="22" t="s">
        <v>644</v>
      </c>
      <c r="B286" s="21" t="s">
        <v>645</v>
      </c>
      <c r="C286" s="23" t="s">
        <v>75</v>
      </c>
      <c r="D286" s="23" t="s">
        <v>77</v>
      </c>
      <c r="E286" s="9" t="s">
        <v>78</v>
      </c>
      <c r="F286" s="20" t="s">
        <v>1005</v>
      </c>
      <c r="G286" s="43" t="s">
        <v>6</v>
      </c>
      <c r="H286" s="20">
        <v>2500</v>
      </c>
      <c r="I286" s="20"/>
      <c r="J286" s="20">
        <v>1094</v>
      </c>
      <c r="K286" s="20">
        <f t="shared" si="5"/>
        <v>91.166666666666671</v>
      </c>
      <c r="L286" s="20">
        <v>431</v>
      </c>
      <c r="M286" s="20">
        <v>41967</v>
      </c>
      <c r="N286" s="20">
        <v>0</v>
      </c>
      <c r="O286" s="20">
        <v>2350</v>
      </c>
    </row>
    <row r="287" spans="1:15" s="5" customFormat="1" ht="12.65" customHeight="1">
      <c r="A287" s="22" t="s">
        <v>646</v>
      </c>
      <c r="B287" s="21" t="s">
        <v>647</v>
      </c>
      <c r="C287" s="23" t="s">
        <v>75</v>
      </c>
      <c r="D287" s="23" t="s">
        <v>77</v>
      </c>
      <c r="E287" s="9" t="s">
        <v>97</v>
      </c>
      <c r="F287" s="20" t="s">
        <v>1005</v>
      </c>
      <c r="G287" s="43" t="s">
        <v>53</v>
      </c>
      <c r="H287" s="20">
        <v>7000</v>
      </c>
      <c r="I287" s="20"/>
      <c r="J287" s="20">
        <v>361</v>
      </c>
      <c r="K287" s="20">
        <f t="shared" si="5"/>
        <v>30.083333333333332</v>
      </c>
      <c r="L287" s="20">
        <v>109</v>
      </c>
      <c r="M287" s="20">
        <v>16258</v>
      </c>
      <c r="N287" s="20">
        <v>46487</v>
      </c>
      <c r="O287" s="20">
        <v>724</v>
      </c>
    </row>
    <row r="288" spans="1:15" s="5" customFormat="1" ht="12.65" customHeight="1">
      <c r="A288" s="22" t="s">
        <v>648</v>
      </c>
      <c r="B288" s="21" t="s">
        <v>649</v>
      </c>
      <c r="C288" s="23" t="s">
        <v>75</v>
      </c>
      <c r="D288" s="23" t="s">
        <v>77</v>
      </c>
      <c r="E288" s="9" t="s">
        <v>78</v>
      </c>
      <c r="F288" s="20" t="s">
        <v>989</v>
      </c>
      <c r="G288" s="43" t="s">
        <v>6</v>
      </c>
      <c r="H288" s="20">
        <v>3500</v>
      </c>
      <c r="I288" s="20"/>
      <c r="J288" s="20">
        <v>2711</v>
      </c>
      <c r="K288" s="20">
        <f t="shared" si="5"/>
        <v>225.91666666666666</v>
      </c>
      <c r="L288" s="20">
        <v>542</v>
      </c>
      <c r="M288" s="20">
        <v>43331</v>
      </c>
      <c r="N288" s="20">
        <v>0</v>
      </c>
      <c r="O288" s="20">
        <v>6433</v>
      </c>
    </row>
    <row r="289" spans="1:15" s="5" customFormat="1" ht="12.65" customHeight="1">
      <c r="A289" s="22" t="s">
        <v>650</v>
      </c>
      <c r="B289" s="21" t="s">
        <v>651</v>
      </c>
      <c r="C289" s="23" t="s">
        <v>75</v>
      </c>
      <c r="D289" s="23" t="s">
        <v>77</v>
      </c>
      <c r="E289" s="9" t="s">
        <v>78</v>
      </c>
      <c r="F289" s="20" t="s">
        <v>1005</v>
      </c>
      <c r="G289" s="43" t="s">
        <v>6</v>
      </c>
      <c r="H289" s="20">
        <v>3500</v>
      </c>
      <c r="I289" s="20"/>
      <c r="J289" s="20">
        <v>2649</v>
      </c>
      <c r="K289" s="20">
        <f t="shared" si="5"/>
        <v>220.75</v>
      </c>
      <c r="L289" s="20">
        <v>529</v>
      </c>
      <c r="M289" s="20">
        <v>41967</v>
      </c>
      <c r="N289" s="20">
        <v>0</v>
      </c>
      <c r="O289" s="20">
        <v>6292</v>
      </c>
    </row>
    <row r="290" spans="1:15" s="5" customFormat="1" ht="12.65" customHeight="1">
      <c r="A290" s="22" t="s">
        <v>652</v>
      </c>
      <c r="B290" s="21" t="s">
        <v>653</v>
      </c>
      <c r="C290" s="23" t="s">
        <v>75</v>
      </c>
      <c r="D290" s="23" t="s">
        <v>77</v>
      </c>
      <c r="E290" s="9" t="s">
        <v>78</v>
      </c>
      <c r="F290" s="20" t="s">
        <v>1006</v>
      </c>
      <c r="G290" s="43" t="s">
        <v>6</v>
      </c>
      <c r="H290" s="20">
        <v>3500</v>
      </c>
      <c r="I290" s="20"/>
      <c r="J290" s="20">
        <v>2920</v>
      </c>
      <c r="K290" s="20">
        <f t="shared" si="5"/>
        <v>243.33333333333334</v>
      </c>
      <c r="L290" s="20">
        <v>497</v>
      </c>
      <c r="M290" s="20">
        <v>40782</v>
      </c>
      <c r="N290" s="20">
        <v>0</v>
      </c>
      <c r="O290" s="20">
        <v>8018</v>
      </c>
    </row>
    <row r="291" spans="1:15" s="5" customFormat="1" ht="12.65" customHeight="1">
      <c r="A291" s="22" t="s">
        <v>654</v>
      </c>
      <c r="B291" s="21" t="s">
        <v>655</v>
      </c>
      <c r="C291" s="23" t="s">
        <v>75</v>
      </c>
      <c r="D291" s="23" t="s">
        <v>77</v>
      </c>
      <c r="E291" s="9" t="s">
        <v>78</v>
      </c>
      <c r="F291" s="20" t="s">
        <v>1005</v>
      </c>
      <c r="G291" s="43" t="s">
        <v>61</v>
      </c>
      <c r="H291" s="20">
        <v>4000</v>
      </c>
      <c r="I291" s="20"/>
      <c r="J291" s="20">
        <v>516</v>
      </c>
      <c r="K291" s="20">
        <f t="shared" si="5"/>
        <v>43</v>
      </c>
      <c r="L291" s="20">
        <v>107</v>
      </c>
      <c r="M291" s="20">
        <v>5419</v>
      </c>
      <c r="N291" s="20">
        <v>29275</v>
      </c>
      <c r="O291" s="20">
        <v>973</v>
      </c>
    </row>
    <row r="292" spans="1:15" s="5" customFormat="1" ht="12.65" customHeight="1">
      <c r="A292" s="22" t="s">
        <v>656</v>
      </c>
      <c r="B292" s="21" t="s">
        <v>657</v>
      </c>
      <c r="C292" s="23" t="s">
        <v>75</v>
      </c>
      <c r="D292" s="23" t="s">
        <v>77</v>
      </c>
      <c r="E292" s="9" t="s">
        <v>78</v>
      </c>
      <c r="F292" s="20" t="s">
        <v>1005</v>
      </c>
      <c r="G292" s="43" t="s">
        <v>62</v>
      </c>
      <c r="H292" s="20">
        <v>11000</v>
      </c>
      <c r="I292" s="20"/>
      <c r="J292" s="20">
        <v>845</v>
      </c>
      <c r="K292" s="20">
        <f t="shared" si="5"/>
        <v>70.416666666666671</v>
      </c>
      <c r="L292" s="20">
        <v>93</v>
      </c>
      <c r="M292" s="20">
        <v>10839</v>
      </c>
      <c r="N292" s="20">
        <v>88880</v>
      </c>
      <c r="O292" s="20">
        <v>2063</v>
      </c>
    </row>
    <row r="293" spans="1:15" s="5" customFormat="1" ht="12.65" customHeight="1">
      <c r="A293" s="22" t="s">
        <v>658</v>
      </c>
      <c r="B293" s="21" t="s">
        <v>659</v>
      </c>
      <c r="C293" s="23" t="s">
        <v>75</v>
      </c>
      <c r="D293" s="23" t="s">
        <v>77</v>
      </c>
      <c r="E293" s="9" t="s">
        <v>78</v>
      </c>
      <c r="F293" s="20" t="s">
        <v>1005</v>
      </c>
      <c r="G293" s="43" t="s">
        <v>3</v>
      </c>
      <c r="H293" s="20">
        <v>4000</v>
      </c>
      <c r="I293" s="20"/>
      <c r="J293" s="20">
        <v>8766</v>
      </c>
      <c r="K293" s="20">
        <f t="shared" si="5"/>
        <v>730.5</v>
      </c>
      <c r="L293" s="20">
        <v>1490</v>
      </c>
      <c r="M293" s="20">
        <v>21881</v>
      </c>
      <c r="N293" s="20">
        <v>0</v>
      </c>
      <c r="O293" s="20">
        <v>22099</v>
      </c>
    </row>
    <row r="294" spans="1:15" s="5" customFormat="1" ht="12.65" customHeight="1">
      <c r="A294" s="22" t="s">
        <v>660</v>
      </c>
      <c r="B294" s="21" t="s">
        <v>661</v>
      </c>
      <c r="C294" s="23" t="s">
        <v>75</v>
      </c>
      <c r="D294" s="23" t="s">
        <v>77</v>
      </c>
      <c r="E294" s="9" t="s">
        <v>97</v>
      </c>
      <c r="F294" s="20" t="s">
        <v>1005</v>
      </c>
      <c r="G294" s="43" t="s">
        <v>54</v>
      </c>
      <c r="H294" s="20">
        <v>20000</v>
      </c>
      <c r="I294" s="20"/>
      <c r="J294" s="20">
        <v>751</v>
      </c>
      <c r="K294" s="20">
        <f t="shared" si="5"/>
        <v>62.583333333333336</v>
      </c>
      <c r="L294" s="20">
        <v>118</v>
      </c>
      <c r="M294" s="20">
        <v>21677</v>
      </c>
      <c r="N294" s="20">
        <v>163931</v>
      </c>
      <c r="O294" s="20">
        <v>2607</v>
      </c>
    </row>
    <row r="295" spans="1:15" s="5" customFormat="1" ht="12.65" customHeight="1">
      <c r="A295" s="22" t="s">
        <v>662</v>
      </c>
      <c r="B295" s="21" t="s">
        <v>663</v>
      </c>
      <c r="C295" s="23" t="s">
        <v>75</v>
      </c>
      <c r="D295" s="23" t="s">
        <v>77</v>
      </c>
      <c r="E295" s="9" t="s">
        <v>97</v>
      </c>
      <c r="F295" s="20" t="s">
        <v>1005</v>
      </c>
      <c r="G295" s="43" t="s">
        <v>54</v>
      </c>
      <c r="H295" s="20">
        <v>12000</v>
      </c>
      <c r="I295" s="20"/>
      <c r="J295" s="20">
        <v>799</v>
      </c>
      <c r="K295" s="20">
        <f t="shared" si="5"/>
        <v>66.583333333333329</v>
      </c>
      <c r="L295" s="20">
        <v>98</v>
      </c>
      <c r="M295" s="20">
        <v>21677</v>
      </c>
      <c r="N295" s="20">
        <v>86971</v>
      </c>
      <c r="O295" s="20">
        <v>1963</v>
      </c>
    </row>
    <row r="296" spans="1:15" s="5" customFormat="1" ht="12.65" customHeight="1">
      <c r="A296" s="22" t="s">
        <v>498</v>
      </c>
      <c r="B296" s="21" t="s">
        <v>499</v>
      </c>
      <c r="C296" s="23" t="s">
        <v>75</v>
      </c>
      <c r="D296" s="23" t="s">
        <v>77</v>
      </c>
      <c r="E296" s="9" t="s">
        <v>78</v>
      </c>
      <c r="F296" s="20" t="s">
        <v>1005</v>
      </c>
      <c r="G296" s="43" t="s">
        <v>60</v>
      </c>
      <c r="H296" s="20">
        <v>6000</v>
      </c>
      <c r="I296" s="20"/>
      <c r="J296" s="20">
        <v>778</v>
      </c>
      <c r="K296" s="20">
        <f t="shared" si="5"/>
        <v>64.833333333333329</v>
      </c>
      <c r="L296" s="20">
        <v>161</v>
      </c>
      <c r="M296" s="20">
        <v>10839</v>
      </c>
      <c r="N296" s="20">
        <v>41970</v>
      </c>
      <c r="O296" s="20">
        <v>1457</v>
      </c>
    </row>
    <row r="297" spans="1:15" s="5" customFormat="1" ht="12.65" customHeight="1">
      <c r="A297" s="22" t="s">
        <v>666</v>
      </c>
      <c r="B297" s="21" t="s">
        <v>667</v>
      </c>
      <c r="C297" s="23" t="s">
        <v>75</v>
      </c>
      <c r="D297" s="23" t="s">
        <v>77</v>
      </c>
      <c r="E297" s="9" t="s">
        <v>97</v>
      </c>
      <c r="F297" s="20" t="s">
        <v>1005</v>
      </c>
      <c r="G297" s="43" t="s">
        <v>54</v>
      </c>
      <c r="H297" s="20">
        <v>18000</v>
      </c>
      <c r="I297" s="20"/>
      <c r="J297" s="20">
        <v>960</v>
      </c>
      <c r="K297" s="20">
        <f t="shared" si="5"/>
        <v>80</v>
      </c>
      <c r="L297" s="20">
        <v>119</v>
      </c>
      <c r="M297" s="20">
        <v>21677</v>
      </c>
      <c r="N297" s="20">
        <v>146074</v>
      </c>
      <c r="O297" s="20">
        <v>1437</v>
      </c>
    </row>
    <row r="298" spans="1:15" s="5" customFormat="1" ht="12.65" customHeight="1">
      <c r="A298" s="22" t="s">
        <v>668</v>
      </c>
      <c r="B298" s="21" t="s">
        <v>669</v>
      </c>
      <c r="C298" s="23" t="s">
        <v>75</v>
      </c>
      <c r="D298" s="23" t="s">
        <v>77</v>
      </c>
      <c r="E298" s="9" t="s">
        <v>78</v>
      </c>
      <c r="F298" s="20" t="s">
        <v>1005</v>
      </c>
      <c r="G298" s="43" t="s">
        <v>6</v>
      </c>
      <c r="H298" s="20">
        <v>4000</v>
      </c>
      <c r="I298" s="20"/>
      <c r="J298" s="20">
        <v>3939</v>
      </c>
      <c r="K298" s="20">
        <f t="shared" si="5"/>
        <v>328.25</v>
      </c>
      <c r="L298" s="20">
        <v>711</v>
      </c>
      <c r="M298" s="20">
        <v>41967</v>
      </c>
      <c r="N298" s="20">
        <v>0</v>
      </c>
      <c r="O298" s="20">
        <v>11275</v>
      </c>
    </row>
    <row r="299" spans="1:15" s="5" customFormat="1" ht="12.65" customHeight="1">
      <c r="A299" s="22" t="s">
        <v>762</v>
      </c>
      <c r="B299" s="21" t="s">
        <v>763</v>
      </c>
      <c r="C299" s="23" t="s">
        <v>75</v>
      </c>
      <c r="D299" s="23" t="s">
        <v>77</v>
      </c>
      <c r="E299" s="9" t="s">
        <v>78</v>
      </c>
      <c r="F299" s="20" t="s">
        <v>1005</v>
      </c>
      <c r="G299" s="43" t="s">
        <v>8</v>
      </c>
      <c r="H299" s="20">
        <v>5500</v>
      </c>
      <c r="I299" s="20"/>
      <c r="J299" s="20">
        <v>6502</v>
      </c>
      <c r="K299" s="20">
        <f t="shared" si="5"/>
        <v>541.83333333333337</v>
      </c>
      <c r="L299" s="20">
        <v>1123</v>
      </c>
      <c r="M299" s="20">
        <v>54703</v>
      </c>
      <c r="N299" s="20">
        <v>0</v>
      </c>
      <c r="O299" s="20">
        <v>18972</v>
      </c>
    </row>
    <row r="300" spans="1:15" s="5" customFormat="1" ht="12.65" customHeight="1">
      <c r="A300" s="22" t="s">
        <v>672</v>
      </c>
      <c r="B300" s="21" t="s">
        <v>673</v>
      </c>
      <c r="C300" s="23" t="s">
        <v>75</v>
      </c>
      <c r="D300" s="23" t="s">
        <v>77</v>
      </c>
      <c r="E300" s="9" t="s">
        <v>97</v>
      </c>
      <c r="F300" s="20" t="s">
        <v>1006</v>
      </c>
      <c r="G300" s="43" t="s">
        <v>54</v>
      </c>
      <c r="H300" s="20">
        <v>12000</v>
      </c>
      <c r="I300" s="20"/>
      <c r="J300" s="20">
        <v>714</v>
      </c>
      <c r="K300" s="20">
        <f t="shared" si="5"/>
        <v>59.5</v>
      </c>
      <c r="L300" s="20">
        <v>160</v>
      </c>
      <c r="M300" s="20">
        <v>21275</v>
      </c>
      <c r="N300" s="20">
        <v>86830</v>
      </c>
      <c r="O300" s="20">
        <v>1891</v>
      </c>
    </row>
    <row r="301" spans="1:15" s="5" customFormat="1" ht="12.65" customHeight="1">
      <c r="A301" s="22" t="s">
        <v>674</v>
      </c>
      <c r="B301" s="21" t="s">
        <v>675</v>
      </c>
      <c r="C301" s="23" t="s">
        <v>75</v>
      </c>
      <c r="D301" s="23" t="s">
        <v>77</v>
      </c>
      <c r="E301" s="9" t="s">
        <v>78</v>
      </c>
      <c r="F301" s="20" t="s">
        <v>1007</v>
      </c>
      <c r="G301" s="43" t="s">
        <v>7</v>
      </c>
      <c r="H301" s="20">
        <v>7500</v>
      </c>
      <c r="I301" s="20"/>
      <c r="J301" s="20">
        <v>17054</v>
      </c>
      <c r="K301" s="20">
        <f t="shared" si="5"/>
        <v>1421.1666666666667</v>
      </c>
      <c r="L301" s="20">
        <v>1416</v>
      </c>
      <c r="M301" s="20">
        <v>51587</v>
      </c>
      <c r="N301" s="20">
        <v>0</v>
      </c>
      <c r="O301" s="20">
        <v>46333</v>
      </c>
    </row>
    <row r="302" spans="1:15" s="5" customFormat="1" ht="12.65" customHeight="1">
      <c r="A302" s="22" t="s">
        <v>676</v>
      </c>
      <c r="B302" s="21" t="s">
        <v>677</v>
      </c>
      <c r="C302" s="23" t="s">
        <v>75</v>
      </c>
      <c r="D302" s="23" t="s">
        <v>77</v>
      </c>
      <c r="E302" s="9" t="s">
        <v>97</v>
      </c>
      <c r="F302" s="20" t="s">
        <v>1005</v>
      </c>
      <c r="G302" s="43" t="s">
        <v>50</v>
      </c>
      <c r="H302" s="20">
        <v>23000</v>
      </c>
      <c r="I302" s="20"/>
      <c r="J302" s="20">
        <v>1078</v>
      </c>
      <c r="K302" s="20">
        <f t="shared" si="5"/>
        <v>89.833333333333329</v>
      </c>
      <c r="L302" s="20">
        <v>145</v>
      </c>
      <c r="M302" s="20">
        <v>0</v>
      </c>
      <c r="N302" s="20">
        <v>215084</v>
      </c>
      <c r="O302" s="20">
        <v>2653</v>
      </c>
    </row>
    <row r="303" spans="1:15" s="5" customFormat="1" ht="12.65" customHeight="1">
      <c r="A303" s="22" t="s">
        <v>678</v>
      </c>
      <c r="B303" s="21" t="s">
        <v>679</v>
      </c>
      <c r="C303" s="23" t="s">
        <v>75</v>
      </c>
      <c r="D303" s="23" t="s">
        <v>77</v>
      </c>
      <c r="E303" s="9" t="s">
        <v>78</v>
      </c>
      <c r="F303" s="20" t="s">
        <v>1005</v>
      </c>
      <c r="G303" s="43" t="s">
        <v>63</v>
      </c>
      <c r="H303" s="20">
        <v>10000</v>
      </c>
      <c r="I303" s="20"/>
      <c r="J303" s="20">
        <v>398</v>
      </c>
      <c r="K303" s="20">
        <f t="shared" si="5"/>
        <v>33.166666666666664</v>
      </c>
      <c r="L303" s="20">
        <v>100</v>
      </c>
      <c r="M303" s="20">
        <v>16258</v>
      </c>
      <c r="N303" s="20">
        <v>74395</v>
      </c>
      <c r="O303" s="20">
        <v>818</v>
      </c>
    </row>
    <row r="304" spans="1:15" s="5" customFormat="1" ht="12.65" customHeight="1">
      <c r="A304" s="22" t="s">
        <v>680</v>
      </c>
      <c r="B304" s="21" t="s">
        <v>681</v>
      </c>
      <c r="C304" s="23" t="s">
        <v>75</v>
      </c>
      <c r="D304" s="23" t="s">
        <v>77</v>
      </c>
      <c r="E304" s="9" t="s">
        <v>97</v>
      </c>
      <c r="F304" s="20" t="s">
        <v>1006</v>
      </c>
      <c r="G304" s="43" t="s">
        <v>54</v>
      </c>
      <c r="H304" s="20">
        <v>10000</v>
      </c>
      <c r="I304" s="20"/>
      <c r="J304" s="20">
        <v>558</v>
      </c>
      <c r="K304" s="20">
        <f t="shared" si="5"/>
        <v>46.5</v>
      </c>
      <c r="L304" s="20">
        <v>122</v>
      </c>
      <c r="M304" s="20">
        <v>21275</v>
      </c>
      <c r="N304" s="20">
        <v>68644</v>
      </c>
      <c r="O304" s="20">
        <v>1436</v>
      </c>
    </row>
    <row r="305" spans="1:15" s="5" customFormat="1" ht="12.65" customHeight="1">
      <c r="A305" s="22" t="s">
        <v>682</v>
      </c>
      <c r="B305" s="21" t="s">
        <v>683</v>
      </c>
      <c r="C305" s="23" t="s">
        <v>75</v>
      </c>
      <c r="D305" s="23" t="s">
        <v>77</v>
      </c>
      <c r="E305" s="9" t="s">
        <v>78</v>
      </c>
      <c r="F305" s="20" t="s">
        <v>989</v>
      </c>
      <c r="G305" s="43" t="s">
        <v>6</v>
      </c>
      <c r="H305" s="20">
        <v>2000</v>
      </c>
      <c r="I305" s="20"/>
      <c r="J305" s="20">
        <v>907</v>
      </c>
      <c r="K305" s="20">
        <f t="shared" si="5"/>
        <v>75.583333333333329</v>
      </c>
      <c r="L305" s="20">
        <v>367</v>
      </c>
      <c r="M305" s="20">
        <v>43331</v>
      </c>
      <c r="N305" s="20">
        <v>0</v>
      </c>
      <c r="O305" s="20">
        <v>1952</v>
      </c>
    </row>
    <row r="306" spans="1:15" s="5" customFormat="1" ht="12.65" customHeight="1">
      <c r="A306" s="22" t="s">
        <v>684</v>
      </c>
      <c r="B306" s="21" t="s">
        <v>685</v>
      </c>
      <c r="C306" s="23" t="s">
        <v>75</v>
      </c>
      <c r="D306" s="23" t="s">
        <v>77</v>
      </c>
      <c r="E306" s="9" t="s">
        <v>97</v>
      </c>
      <c r="F306" s="20" t="s">
        <v>1005</v>
      </c>
      <c r="G306" s="43" t="s">
        <v>54</v>
      </c>
      <c r="H306" s="20">
        <v>23000</v>
      </c>
      <c r="I306" s="20"/>
      <c r="J306" s="20">
        <v>1167</v>
      </c>
      <c r="K306" s="20">
        <f t="shared" si="5"/>
        <v>97.25</v>
      </c>
      <c r="L306" s="20">
        <v>129</v>
      </c>
      <c r="M306" s="20">
        <v>21677</v>
      </c>
      <c r="N306" s="20">
        <v>191878</v>
      </c>
      <c r="O306" s="20">
        <v>3023</v>
      </c>
    </row>
    <row r="307" spans="1:15" s="5" customFormat="1" ht="12.65" customHeight="1">
      <c r="A307" s="22" t="s">
        <v>626</v>
      </c>
      <c r="B307" s="21" t="s">
        <v>627</v>
      </c>
      <c r="C307" s="23" t="s">
        <v>75</v>
      </c>
      <c r="D307" s="23" t="s">
        <v>77</v>
      </c>
      <c r="E307" s="9" t="s">
        <v>97</v>
      </c>
      <c r="F307" s="20" t="s">
        <v>1005</v>
      </c>
      <c r="G307" s="43" t="s">
        <v>60</v>
      </c>
      <c r="H307" s="20">
        <v>9000</v>
      </c>
      <c r="I307" s="20"/>
      <c r="J307" s="20">
        <v>534</v>
      </c>
      <c r="K307" s="20">
        <f t="shared" si="5"/>
        <v>44.5</v>
      </c>
      <c r="L307" s="20">
        <v>101</v>
      </c>
      <c r="M307" s="20">
        <v>0</v>
      </c>
      <c r="N307" s="20">
        <v>81808</v>
      </c>
      <c r="O307" s="20">
        <v>1085</v>
      </c>
    </row>
    <row r="308" spans="1:15" s="5" customFormat="1" ht="12.65" customHeight="1">
      <c r="A308" s="22" t="s">
        <v>688</v>
      </c>
      <c r="B308" s="21" t="s">
        <v>689</v>
      </c>
      <c r="C308" s="23" t="s">
        <v>75</v>
      </c>
      <c r="D308" s="23" t="s">
        <v>77</v>
      </c>
      <c r="E308" s="9" t="s">
        <v>78</v>
      </c>
      <c r="F308" s="20" t="s">
        <v>1007</v>
      </c>
      <c r="G308" s="43" t="s">
        <v>6</v>
      </c>
      <c r="H308" s="20">
        <v>3500</v>
      </c>
      <c r="I308" s="20"/>
      <c r="J308" s="20">
        <v>2492</v>
      </c>
      <c r="K308" s="20">
        <f t="shared" si="5"/>
        <v>207.66666666666666</v>
      </c>
      <c r="L308" s="20">
        <v>505</v>
      </c>
      <c r="M308" s="20">
        <v>43971</v>
      </c>
      <c r="N308" s="20">
        <v>0</v>
      </c>
      <c r="O308" s="20">
        <v>5878</v>
      </c>
    </row>
    <row r="309" spans="1:15" s="5" customFormat="1" ht="12.65" customHeight="1">
      <c r="A309" s="22" t="s">
        <v>624</v>
      </c>
      <c r="B309" s="21" t="s">
        <v>625</v>
      </c>
      <c r="C309" s="23" t="s">
        <v>75</v>
      </c>
      <c r="D309" s="23" t="s">
        <v>77</v>
      </c>
      <c r="E309" s="9" t="s">
        <v>78</v>
      </c>
      <c r="F309" s="20" t="s">
        <v>1006</v>
      </c>
      <c r="G309" s="43" t="s">
        <v>6</v>
      </c>
      <c r="H309" s="20">
        <v>3000</v>
      </c>
      <c r="I309" s="20"/>
      <c r="J309" s="20">
        <v>3866</v>
      </c>
      <c r="K309" s="20">
        <f t="shared" si="5"/>
        <v>322.16666666666669</v>
      </c>
      <c r="L309" s="20">
        <v>682</v>
      </c>
      <c r="M309" s="20">
        <v>40792</v>
      </c>
      <c r="N309" s="20">
        <v>0</v>
      </c>
      <c r="O309" s="20">
        <v>10034</v>
      </c>
    </row>
    <row r="310" spans="1:15" s="5" customFormat="1" ht="12.65" customHeight="1">
      <c r="A310" s="22" t="s">
        <v>692</v>
      </c>
      <c r="B310" s="21" t="s">
        <v>693</v>
      </c>
      <c r="C310" s="23" t="s">
        <v>75</v>
      </c>
      <c r="D310" s="23" t="s">
        <v>77</v>
      </c>
      <c r="E310" s="9" t="s">
        <v>78</v>
      </c>
      <c r="F310" s="20" t="s">
        <v>1005</v>
      </c>
      <c r="G310" s="43" t="s">
        <v>6</v>
      </c>
      <c r="H310" s="20">
        <v>3000</v>
      </c>
      <c r="I310" s="20"/>
      <c r="J310" s="20">
        <v>3305</v>
      </c>
      <c r="K310" s="20">
        <f t="shared" si="5"/>
        <v>275.41666666666669</v>
      </c>
      <c r="L310" s="20">
        <v>664</v>
      </c>
      <c r="M310" s="20">
        <v>41967</v>
      </c>
      <c r="N310" s="20">
        <v>0</v>
      </c>
      <c r="O310" s="20">
        <v>9737</v>
      </c>
    </row>
    <row r="311" spans="1:15" s="5" customFormat="1" ht="12.65" customHeight="1">
      <c r="A311" s="22" t="s">
        <v>694</v>
      </c>
      <c r="B311" s="21" t="s">
        <v>695</v>
      </c>
      <c r="C311" s="23" t="s">
        <v>75</v>
      </c>
      <c r="D311" s="23" t="s">
        <v>77</v>
      </c>
      <c r="E311" s="9" t="s">
        <v>78</v>
      </c>
      <c r="F311" s="20" t="s">
        <v>1006</v>
      </c>
      <c r="G311" s="43" t="s">
        <v>6</v>
      </c>
      <c r="H311" s="20">
        <v>3500</v>
      </c>
      <c r="I311" s="20"/>
      <c r="J311" s="20">
        <v>2920</v>
      </c>
      <c r="K311" s="20">
        <f t="shared" si="5"/>
        <v>243.33333333333334</v>
      </c>
      <c r="L311" s="20">
        <v>497</v>
      </c>
      <c r="M311" s="20">
        <v>40782</v>
      </c>
      <c r="N311" s="20">
        <v>0</v>
      </c>
      <c r="O311" s="20">
        <v>8018</v>
      </c>
    </row>
    <row r="312" spans="1:15" s="5" customFormat="1" ht="12.65" customHeight="1">
      <c r="A312" s="22" t="s">
        <v>696</v>
      </c>
      <c r="B312" s="21" t="s">
        <v>697</v>
      </c>
      <c r="C312" s="23" t="s">
        <v>75</v>
      </c>
      <c r="D312" s="23" t="s">
        <v>77</v>
      </c>
      <c r="E312" s="9" t="s">
        <v>78</v>
      </c>
      <c r="F312" s="20" t="s">
        <v>1005</v>
      </c>
      <c r="G312" s="43" t="s">
        <v>6</v>
      </c>
      <c r="H312" s="20">
        <v>3000</v>
      </c>
      <c r="I312" s="20"/>
      <c r="J312" s="20">
        <v>3740</v>
      </c>
      <c r="K312" s="20">
        <f t="shared" si="5"/>
        <v>311.66666666666669</v>
      </c>
      <c r="L312" s="20">
        <v>716</v>
      </c>
      <c r="M312" s="20">
        <v>41967</v>
      </c>
      <c r="N312" s="20">
        <v>0</v>
      </c>
      <c r="O312" s="20">
        <v>9026</v>
      </c>
    </row>
    <row r="313" spans="1:15" s="5" customFormat="1" ht="12.65" customHeight="1">
      <c r="A313" s="22" t="s">
        <v>698</v>
      </c>
      <c r="B313" s="21" t="s">
        <v>699</v>
      </c>
      <c r="C313" s="23" t="s">
        <v>75</v>
      </c>
      <c r="D313" s="23" t="s">
        <v>77</v>
      </c>
      <c r="E313" s="9" t="s">
        <v>97</v>
      </c>
      <c r="F313" s="20" t="s">
        <v>1006</v>
      </c>
      <c r="G313" s="43" t="s">
        <v>54</v>
      </c>
      <c r="H313" s="20">
        <v>11000</v>
      </c>
      <c r="I313" s="20"/>
      <c r="J313" s="20">
        <v>963</v>
      </c>
      <c r="K313" s="20">
        <f t="shared" si="5"/>
        <v>80.25</v>
      </c>
      <c r="L313" s="20">
        <v>110</v>
      </c>
      <c r="M313" s="20">
        <v>21275</v>
      </c>
      <c r="N313" s="20">
        <v>77365</v>
      </c>
      <c r="O313" s="20">
        <v>2459</v>
      </c>
    </row>
    <row r="314" spans="1:15" s="5" customFormat="1" ht="12.65" customHeight="1">
      <c r="A314" s="22" t="s">
        <v>700</v>
      </c>
      <c r="B314" s="21" t="s">
        <v>701</v>
      </c>
      <c r="C314" s="23" t="s">
        <v>75</v>
      </c>
      <c r="D314" s="23" t="s">
        <v>77</v>
      </c>
      <c r="E314" s="9" t="s">
        <v>78</v>
      </c>
      <c r="F314" s="20" t="s">
        <v>1007</v>
      </c>
      <c r="G314" s="43" t="s">
        <v>6</v>
      </c>
      <c r="H314" s="20">
        <v>3500</v>
      </c>
      <c r="I314" s="20"/>
      <c r="J314" s="20">
        <v>2465</v>
      </c>
      <c r="K314" s="20">
        <f t="shared" si="5"/>
        <v>205.41666666666666</v>
      </c>
      <c r="L314" s="20">
        <v>446</v>
      </c>
      <c r="M314" s="20">
        <v>43971</v>
      </c>
      <c r="N314" s="20">
        <v>0</v>
      </c>
      <c r="O314" s="20">
        <v>6610</v>
      </c>
    </row>
    <row r="315" spans="1:15" s="5" customFormat="1" ht="12.65" customHeight="1">
      <c r="A315" s="22" t="s">
        <v>670</v>
      </c>
      <c r="B315" s="21" t="s">
        <v>671</v>
      </c>
      <c r="C315" s="23" t="s">
        <v>75</v>
      </c>
      <c r="D315" s="23" t="s">
        <v>77</v>
      </c>
      <c r="E315" s="9" t="s">
        <v>78</v>
      </c>
      <c r="F315" s="20" t="s">
        <v>1005</v>
      </c>
      <c r="G315" s="43" t="s">
        <v>8</v>
      </c>
      <c r="H315" s="20">
        <v>6500</v>
      </c>
      <c r="I315" s="20"/>
      <c r="J315" s="20">
        <v>11005</v>
      </c>
      <c r="K315" s="20">
        <f t="shared" si="5"/>
        <v>917.08333333333337</v>
      </c>
      <c r="L315" s="20">
        <v>1835</v>
      </c>
      <c r="M315" s="20">
        <v>54703</v>
      </c>
      <c r="N315" s="20">
        <v>0</v>
      </c>
      <c r="O315" s="20">
        <v>32595</v>
      </c>
    </row>
    <row r="316" spans="1:15" s="5" customFormat="1" ht="12.65" customHeight="1">
      <c r="A316" s="22" t="s">
        <v>704</v>
      </c>
      <c r="B316" s="21" t="s">
        <v>705</v>
      </c>
      <c r="C316" s="23" t="s">
        <v>75</v>
      </c>
      <c r="D316" s="23" t="s">
        <v>77</v>
      </c>
      <c r="E316" s="9" t="s">
        <v>78</v>
      </c>
      <c r="F316" s="20" t="s">
        <v>1005</v>
      </c>
      <c r="G316" s="43" t="s">
        <v>6</v>
      </c>
      <c r="H316" s="20">
        <v>3500</v>
      </c>
      <c r="I316" s="20"/>
      <c r="J316" s="20">
        <v>2649</v>
      </c>
      <c r="K316" s="20">
        <f t="shared" si="5"/>
        <v>220.75</v>
      </c>
      <c r="L316" s="20">
        <v>529</v>
      </c>
      <c r="M316" s="20">
        <v>41967</v>
      </c>
      <c r="N316" s="20">
        <v>0</v>
      </c>
      <c r="O316" s="20">
        <v>6292</v>
      </c>
    </row>
    <row r="317" spans="1:15" s="5" customFormat="1" ht="12.65" customHeight="1">
      <c r="A317" s="22" t="s">
        <v>706</v>
      </c>
      <c r="B317" s="21" t="s">
        <v>707</v>
      </c>
      <c r="C317" s="23" t="s">
        <v>75</v>
      </c>
      <c r="D317" s="23" t="s">
        <v>77</v>
      </c>
      <c r="E317" s="9" t="s">
        <v>78</v>
      </c>
      <c r="F317" s="20" t="s">
        <v>989</v>
      </c>
      <c r="G317" s="43" t="s">
        <v>6</v>
      </c>
      <c r="H317" s="20">
        <v>3000</v>
      </c>
      <c r="I317" s="20"/>
      <c r="J317" s="20">
        <v>2885</v>
      </c>
      <c r="K317" s="20">
        <f t="shared" si="5"/>
        <v>240.41666666666666</v>
      </c>
      <c r="L317" s="20">
        <v>843</v>
      </c>
      <c r="M317" s="20">
        <v>43331</v>
      </c>
      <c r="N317" s="20">
        <v>0</v>
      </c>
      <c r="O317" s="20">
        <v>6637</v>
      </c>
    </row>
    <row r="318" spans="1:15" s="5" customFormat="1" ht="12.65" customHeight="1">
      <c r="A318" s="22" t="s">
        <v>708</v>
      </c>
      <c r="B318" s="21" t="s">
        <v>709</v>
      </c>
      <c r="C318" s="23" t="s">
        <v>75</v>
      </c>
      <c r="D318" s="23" t="s">
        <v>77</v>
      </c>
      <c r="E318" s="9" t="s">
        <v>97</v>
      </c>
      <c r="F318" s="20" t="s">
        <v>989</v>
      </c>
      <c r="G318" s="43" t="s">
        <v>62</v>
      </c>
      <c r="H318" s="20">
        <v>5000</v>
      </c>
      <c r="I318" s="20"/>
      <c r="J318" s="20">
        <v>669</v>
      </c>
      <c r="K318" s="20">
        <f t="shared" si="5"/>
        <v>55.75</v>
      </c>
      <c r="L318" s="20">
        <v>669</v>
      </c>
      <c r="M318" s="20">
        <v>669</v>
      </c>
      <c r="N318" s="20">
        <v>669</v>
      </c>
      <c r="O318" s="20">
        <v>669</v>
      </c>
    </row>
    <row r="319" spans="1:15" s="5" customFormat="1" ht="12.65" customHeight="1">
      <c r="A319" s="22" t="s">
        <v>710</v>
      </c>
      <c r="B319" s="21" t="s">
        <v>711</v>
      </c>
      <c r="C319" s="23" t="s">
        <v>75</v>
      </c>
      <c r="D319" s="23" t="s">
        <v>77</v>
      </c>
      <c r="E319" s="9" t="s">
        <v>97</v>
      </c>
      <c r="F319" s="20" t="s">
        <v>989</v>
      </c>
      <c r="G319" s="43" t="s">
        <v>54</v>
      </c>
      <c r="H319" s="20">
        <v>8000</v>
      </c>
      <c r="I319" s="20"/>
      <c r="J319" s="20">
        <v>390</v>
      </c>
      <c r="K319" s="20">
        <f t="shared" si="5"/>
        <v>32.5</v>
      </c>
      <c r="L319" s="20">
        <v>100</v>
      </c>
      <c r="M319" s="20">
        <v>22596</v>
      </c>
      <c r="N319" s="20">
        <v>50537</v>
      </c>
      <c r="O319" s="20">
        <v>917</v>
      </c>
    </row>
    <row r="320" spans="1:15" s="5" customFormat="1" ht="12.65" customHeight="1">
      <c r="A320" s="22" t="s">
        <v>712</v>
      </c>
      <c r="B320" s="21" t="s">
        <v>713</v>
      </c>
      <c r="C320" s="23" t="s">
        <v>75</v>
      </c>
      <c r="D320" s="23" t="s">
        <v>77</v>
      </c>
      <c r="E320" s="9" t="s">
        <v>78</v>
      </c>
      <c r="F320" s="20" t="s">
        <v>989</v>
      </c>
      <c r="G320" s="43" t="s">
        <v>6</v>
      </c>
      <c r="H320" s="20">
        <v>4000</v>
      </c>
      <c r="I320" s="20"/>
      <c r="J320" s="20">
        <v>3843</v>
      </c>
      <c r="K320" s="20">
        <f t="shared" si="5"/>
        <v>320.25</v>
      </c>
      <c r="L320" s="20">
        <v>1002</v>
      </c>
      <c r="M320" s="20">
        <v>43331</v>
      </c>
      <c r="N320" s="20">
        <v>0</v>
      </c>
      <c r="O320" s="20">
        <v>9020</v>
      </c>
    </row>
    <row r="321" spans="1:15" s="5" customFormat="1" ht="12.65" customHeight="1">
      <c r="A321" s="22" t="s">
        <v>714</v>
      </c>
      <c r="B321" s="21" t="s">
        <v>715</v>
      </c>
      <c r="C321" s="23" t="s">
        <v>75</v>
      </c>
      <c r="D321" s="23" t="s">
        <v>77</v>
      </c>
      <c r="E321" s="9" t="s">
        <v>97</v>
      </c>
      <c r="F321" s="20" t="s">
        <v>989</v>
      </c>
      <c r="G321" s="43" t="s">
        <v>62</v>
      </c>
      <c r="H321" s="20">
        <v>5000</v>
      </c>
      <c r="I321" s="20"/>
      <c r="J321" s="20">
        <v>669</v>
      </c>
      <c r="K321" s="20">
        <f t="shared" si="5"/>
        <v>55.75</v>
      </c>
      <c r="L321" s="20">
        <v>669</v>
      </c>
      <c r="M321" s="20">
        <v>669</v>
      </c>
      <c r="N321" s="20">
        <v>669</v>
      </c>
      <c r="O321" s="20">
        <v>669</v>
      </c>
    </row>
    <row r="322" spans="1:15" s="5" customFormat="1" ht="12.65" customHeight="1">
      <c r="A322" s="22" t="s">
        <v>716</v>
      </c>
      <c r="B322" s="21" t="s">
        <v>717</v>
      </c>
      <c r="C322" s="23" t="s">
        <v>75</v>
      </c>
      <c r="D322" s="23" t="s">
        <v>77</v>
      </c>
      <c r="E322" s="9" t="s">
        <v>78</v>
      </c>
      <c r="F322" s="20" t="s">
        <v>989</v>
      </c>
      <c r="G322" s="43" t="s">
        <v>6</v>
      </c>
      <c r="H322" s="20">
        <v>3500</v>
      </c>
      <c r="I322" s="20"/>
      <c r="J322" s="20">
        <v>2658</v>
      </c>
      <c r="K322" s="20">
        <f t="shared" si="5"/>
        <v>221.5</v>
      </c>
      <c r="L322" s="20">
        <v>470</v>
      </c>
      <c r="M322" s="20">
        <v>43331</v>
      </c>
      <c r="N322" s="20">
        <v>0</v>
      </c>
      <c r="O322" s="20">
        <v>7190</v>
      </c>
    </row>
    <row r="323" spans="1:15" s="5" customFormat="1" ht="12.65" customHeight="1">
      <c r="A323" s="22" t="s">
        <v>718</v>
      </c>
      <c r="B323" s="21" t="s">
        <v>719</v>
      </c>
      <c r="C323" s="23" t="s">
        <v>75</v>
      </c>
      <c r="D323" s="23" t="s">
        <v>77</v>
      </c>
      <c r="E323" s="9" t="s">
        <v>97</v>
      </c>
      <c r="F323" s="20" t="s">
        <v>1007</v>
      </c>
      <c r="G323" s="43" t="s">
        <v>64</v>
      </c>
      <c r="H323" s="20">
        <v>4000</v>
      </c>
      <c r="I323" s="20"/>
      <c r="J323" s="20">
        <v>1920</v>
      </c>
      <c r="K323" s="20">
        <f t="shared" si="5"/>
        <v>160</v>
      </c>
      <c r="L323" s="20">
        <v>226</v>
      </c>
      <c r="M323" s="20">
        <v>22938</v>
      </c>
      <c r="N323" s="20">
        <v>20860</v>
      </c>
      <c r="O323" s="20">
        <v>4517</v>
      </c>
    </row>
    <row r="324" spans="1:15" s="5" customFormat="1" ht="12.65" customHeight="1">
      <c r="A324" s="22" t="s">
        <v>720</v>
      </c>
      <c r="B324" s="21" t="s">
        <v>721</v>
      </c>
      <c r="C324" s="23" t="s">
        <v>75</v>
      </c>
      <c r="D324" s="23" t="s">
        <v>77</v>
      </c>
      <c r="E324" s="9" t="s">
        <v>78</v>
      </c>
      <c r="F324" s="20" t="s">
        <v>1005</v>
      </c>
      <c r="G324" s="43" t="s">
        <v>6</v>
      </c>
      <c r="H324" s="20">
        <v>2500</v>
      </c>
      <c r="I324" s="20"/>
      <c r="J324" s="20">
        <v>1094</v>
      </c>
      <c r="K324" s="20">
        <f t="shared" si="5"/>
        <v>91.166666666666671</v>
      </c>
      <c r="L324" s="20">
        <v>431</v>
      </c>
      <c r="M324" s="20">
        <v>41967</v>
      </c>
      <c r="N324" s="20">
        <v>0</v>
      </c>
      <c r="O324" s="20">
        <v>2350</v>
      </c>
    </row>
    <row r="325" spans="1:15" s="5" customFormat="1" ht="12.65" customHeight="1">
      <c r="A325" s="22" t="s">
        <v>722</v>
      </c>
      <c r="B325" s="21" t="s">
        <v>723</v>
      </c>
      <c r="C325" s="23" t="s">
        <v>75</v>
      </c>
      <c r="D325" s="23" t="s">
        <v>77</v>
      </c>
      <c r="E325" s="9" t="s">
        <v>97</v>
      </c>
      <c r="F325" s="20" t="s">
        <v>1005</v>
      </c>
      <c r="G325" s="43" t="s">
        <v>54</v>
      </c>
      <c r="H325" s="20">
        <v>21000</v>
      </c>
      <c r="I325" s="20"/>
      <c r="J325" s="20">
        <v>1066</v>
      </c>
      <c r="K325" s="20">
        <f t="shared" si="5"/>
        <v>88.833333333333329</v>
      </c>
      <c r="L325" s="20">
        <v>123</v>
      </c>
      <c r="M325" s="20">
        <v>21677</v>
      </c>
      <c r="N325" s="20">
        <v>173271</v>
      </c>
      <c r="O325" s="20">
        <v>2715</v>
      </c>
    </row>
    <row r="326" spans="1:15" s="5" customFormat="1" ht="12.65" customHeight="1">
      <c r="A326" s="22" t="s">
        <v>724</v>
      </c>
      <c r="B326" s="21" t="s">
        <v>725</v>
      </c>
      <c r="C326" s="23" t="s">
        <v>75</v>
      </c>
      <c r="D326" s="23" t="s">
        <v>77</v>
      </c>
      <c r="E326" s="9" t="s">
        <v>78</v>
      </c>
      <c r="F326" s="20" t="s">
        <v>1005</v>
      </c>
      <c r="G326" s="43" t="s">
        <v>6</v>
      </c>
      <c r="H326" s="20">
        <v>3500</v>
      </c>
      <c r="I326" s="20"/>
      <c r="J326" s="20">
        <v>2403</v>
      </c>
      <c r="K326" s="20">
        <f t="shared" si="5"/>
        <v>200.25</v>
      </c>
      <c r="L326" s="20">
        <v>689</v>
      </c>
      <c r="M326" s="20">
        <v>41967</v>
      </c>
      <c r="N326" s="20">
        <v>0</v>
      </c>
      <c r="O326" s="20">
        <v>5548</v>
      </c>
    </row>
    <row r="327" spans="1:15" s="5" customFormat="1" ht="12.65" customHeight="1">
      <c r="A327" s="22" t="s">
        <v>828</v>
      </c>
      <c r="B327" s="21" t="s">
        <v>829</v>
      </c>
      <c r="C327" s="23" t="s">
        <v>75</v>
      </c>
      <c r="D327" s="23" t="s">
        <v>77</v>
      </c>
      <c r="E327" s="9" t="s">
        <v>97</v>
      </c>
      <c r="F327" s="20" t="s">
        <v>1005</v>
      </c>
      <c r="G327" s="43" t="s">
        <v>50</v>
      </c>
      <c r="H327" s="20">
        <v>25000</v>
      </c>
      <c r="I327" s="20"/>
      <c r="J327" s="20">
        <v>1312</v>
      </c>
      <c r="K327" s="20">
        <f t="shared" si="5"/>
        <v>109.33333333333333</v>
      </c>
      <c r="L327" s="20">
        <v>126</v>
      </c>
      <c r="M327" s="20">
        <v>0</v>
      </c>
      <c r="N327" s="20">
        <v>233386</v>
      </c>
      <c r="O327" s="20">
        <v>3366</v>
      </c>
    </row>
    <row r="328" spans="1:15" s="5" customFormat="1" ht="12.65" customHeight="1">
      <c r="A328" s="22" t="s">
        <v>728</v>
      </c>
      <c r="B328" s="21" t="s">
        <v>729</v>
      </c>
      <c r="C328" s="23" t="s">
        <v>75</v>
      </c>
      <c r="D328" s="23" t="s">
        <v>77</v>
      </c>
      <c r="E328" s="9" t="s">
        <v>97</v>
      </c>
      <c r="F328" s="20" t="s">
        <v>1006</v>
      </c>
      <c r="G328" s="43" t="s">
        <v>54</v>
      </c>
      <c r="H328" s="20">
        <v>8000</v>
      </c>
      <c r="I328" s="20"/>
      <c r="J328" s="20">
        <v>457</v>
      </c>
      <c r="K328" s="20">
        <f t="shared" ref="K328:K391" si="6">J328/12</f>
        <v>38.083333333333336</v>
      </c>
      <c r="L328" s="20">
        <v>150</v>
      </c>
      <c r="M328" s="20">
        <v>21275</v>
      </c>
      <c r="N328" s="20">
        <v>51606</v>
      </c>
      <c r="O328" s="20">
        <v>909</v>
      </c>
    </row>
    <row r="329" spans="1:15" s="5" customFormat="1" ht="12.65" customHeight="1">
      <c r="A329" s="22" t="s">
        <v>730</v>
      </c>
      <c r="B329" s="21" t="s">
        <v>731</v>
      </c>
      <c r="C329" s="23" t="s">
        <v>75</v>
      </c>
      <c r="D329" s="23" t="s">
        <v>77</v>
      </c>
      <c r="E329" s="9" t="s">
        <v>97</v>
      </c>
      <c r="F329" s="20" t="s">
        <v>989</v>
      </c>
      <c r="G329" s="43" t="s">
        <v>54</v>
      </c>
      <c r="H329" s="20">
        <v>12000</v>
      </c>
      <c r="I329" s="20"/>
      <c r="J329" s="20">
        <v>894</v>
      </c>
      <c r="K329" s="20">
        <f t="shared" si="6"/>
        <v>74.5</v>
      </c>
      <c r="L329" s="20">
        <v>101</v>
      </c>
      <c r="M329" s="20">
        <v>22596</v>
      </c>
      <c r="N329" s="20">
        <v>85476</v>
      </c>
      <c r="O329" s="20">
        <v>2295</v>
      </c>
    </row>
    <row r="330" spans="1:15" s="5" customFormat="1" ht="12.65" customHeight="1">
      <c r="A330" s="22" t="s">
        <v>732</v>
      </c>
      <c r="B330" s="21" t="s">
        <v>733</v>
      </c>
      <c r="C330" s="23" t="s">
        <v>75</v>
      </c>
      <c r="D330" s="23" t="s">
        <v>77</v>
      </c>
      <c r="E330" s="9" t="s">
        <v>97</v>
      </c>
      <c r="F330" s="20" t="s">
        <v>1005</v>
      </c>
      <c r="G330" s="43" t="s">
        <v>54</v>
      </c>
      <c r="H330" s="20">
        <v>11000</v>
      </c>
      <c r="I330" s="20"/>
      <c r="J330" s="20">
        <v>382</v>
      </c>
      <c r="K330" s="20">
        <f t="shared" si="6"/>
        <v>31.833333333333332</v>
      </c>
      <c r="L330" s="20">
        <v>104</v>
      </c>
      <c r="M330" s="20">
        <v>21677</v>
      </c>
      <c r="N330" s="20">
        <v>78151</v>
      </c>
      <c r="O330" s="20">
        <v>858</v>
      </c>
    </row>
    <row r="331" spans="1:15" s="5" customFormat="1" ht="12.65" customHeight="1">
      <c r="A331" s="22" t="s">
        <v>734</v>
      </c>
      <c r="B331" s="21" t="s">
        <v>735</v>
      </c>
      <c r="C331" s="23" t="s">
        <v>75</v>
      </c>
      <c r="D331" s="23" t="s">
        <v>77</v>
      </c>
      <c r="E331" s="9" t="s">
        <v>78</v>
      </c>
      <c r="F331" s="20" t="s">
        <v>1007</v>
      </c>
      <c r="G331" s="43" t="s">
        <v>9</v>
      </c>
      <c r="H331" s="20">
        <v>5500</v>
      </c>
      <c r="I331" s="20"/>
      <c r="J331" s="20">
        <v>2998</v>
      </c>
      <c r="K331" s="20">
        <f t="shared" si="6"/>
        <v>249.83333333333334</v>
      </c>
      <c r="L331" s="20">
        <v>784</v>
      </c>
      <c r="M331" s="20">
        <v>68783</v>
      </c>
      <c r="N331" s="20">
        <v>0</v>
      </c>
      <c r="O331" s="20">
        <v>31228</v>
      </c>
    </row>
    <row r="332" spans="1:15" s="5" customFormat="1" ht="12.65" customHeight="1">
      <c r="A332" s="22" t="s">
        <v>736</v>
      </c>
      <c r="B332" s="21" t="s">
        <v>737</v>
      </c>
      <c r="C332" s="23" t="s">
        <v>75</v>
      </c>
      <c r="D332" s="23" t="s">
        <v>77</v>
      </c>
      <c r="E332" s="9" t="s">
        <v>97</v>
      </c>
      <c r="F332" s="20" t="s">
        <v>989</v>
      </c>
      <c r="G332" s="43" t="s">
        <v>54</v>
      </c>
      <c r="H332" s="20">
        <v>10000</v>
      </c>
      <c r="I332" s="20"/>
      <c r="J332" s="20">
        <v>442</v>
      </c>
      <c r="K332" s="20">
        <f t="shared" si="6"/>
        <v>36.833333333333336</v>
      </c>
      <c r="L332" s="20">
        <v>93</v>
      </c>
      <c r="M332" s="20">
        <v>22596</v>
      </c>
      <c r="N332" s="20">
        <v>67551</v>
      </c>
      <c r="O332" s="20">
        <v>1142</v>
      </c>
    </row>
    <row r="333" spans="1:15" s="5" customFormat="1" ht="12.65" customHeight="1">
      <c r="A333" s="22" t="s">
        <v>738</v>
      </c>
      <c r="B333" s="21" t="s">
        <v>739</v>
      </c>
      <c r="C333" s="23" t="s">
        <v>75</v>
      </c>
      <c r="D333" s="23" t="s">
        <v>77</v>
      </c>
      <c r="E333" s="9" t="s">
        <v>78</v>
      </c>
      <c r="F333" s="20" t="s">
        <v>989</v>
      </c>
      <c r="G333" s="43" t="s">
        <v>6</v>
      </c>
      <c r="H333" s="20">
        <v>2000</v>
      </c>
      <c r="I333" s="20"/>
      <c r="J333" s="20">
        <v>907</v>
      </c>
      <c r="K333" s="20">
        <f t="shared" si="6"/>
        <v>75.583333333333329</v>
      </c>
      <c r="L333" s="20">
        <v>367</v>
      </c>
      <c r="M333" s="20">
        <v>43331</v>
      </c>
      <c r="N333" s="20">
        <v>0</v>
      </c>
      <c r="O333" s="20">
        <v>1952</v>
      </c>
    </row>
    <row r="334" spans="1:15" s="5" customFormat="1" ht="12.65" customHeight="1">
      <c r="A334" s="22" t="s">
        <v>740</v>
      </c>
      <c r="B334" s="21" t="s">
        <v>741</v>
      </c>
      <c r="C334" s="23" t="s">
        <v>75</v>
      </c>
      <c r="D334" s="23" t="s">
        <v>77</v>
      </c>
      <c r="E334" s="9" t="s">
        <v>78</v>
      </c>
      <c r="F334" s="20" t="s">
        <v>1007</v>
      </c>
      <c r="G334" s="43" t="s">
        <v>6</v>
      </c>
      <c r="H334" s="20">
        <v>3000</v>
      </c>
      <c r="I334" s="20"/>
      <c r="J334" s="20">
        <v>3263</v>
      </c>
      <c r="K334" s="20">
        <f t="shared" si="6"/>
        <v>271.91666666666669</v>
      </c>
      <c r="L334" s="20">
        <v>634</v>
      </c>
      <c r="M334" s="20">
        <v>43971</v>
      </c>
      <c r="N334" s="20">
        <v>0</v>
      </c>
      <c r="O334" s="20">
        <v>9016</v>
      </c>
    </row>
    <row r="335" spans="1:15" s="5" customFormat="1" ht="12.65" customHeight="1">
      <c r="A335" s="22" t="s">
        <v>742</v>
      </c>
      <c r="B335" s="21" t="s">
        <v>743</v>
      </c>
      <c r="C335" s="23" t="s">
        <v>75</v>
      </c>
      <c r="D335" s="23" t="s">
        <v>77</v>
      </c>
      <c r="E335" s="9" t="s">
        <v>97</v>
      </c>
      <c r="F335" s="20" t="s">
        <v>989</v>
      </c>
      <c r="G335" s="43" t="s">
        <v>7</v>
      </c>
      <c r="H335" s="20">
        <v>7000</v>
      </c>
      <c r="I335" s="20"/>
      <c r="J335" s="20">
        <v>14377</v>
      </c>
      <c r="K335" s="20">
        <f t="shared" si="6"/>
        <v>1198.0833333333333</v>
      </c>
      <c r="L335" s="20">
        <v>2368</v>
      </c>
      <c r="M335" s="20">
        <v>50842</v>
      </c>
      <c r="N335" s="20">
        <v>0</v>
      </c>
      <c r="O335" s="20">
        <v>36654</v>
      </c>
    </row>
    <row r="336" spans="1:15" s="5" customFormat="1" ht="12.65" customHeight="1">
      <c r="A336" s="22" t="s">
        <v>744</v>
      </c>
      <c r="B336" s="21" t="s">
        <v>745</v>
      </c>
      <c r="C336" s="23" t="s">
        <v>75</v>
      </c>
      <c r="D336" s="23" t="s">
        <v>77</v>
      </c>
      <c r="E336" s="9" t="s">
        <v>78</v>
      </c>
      <c r="F336" s="20" t="s">
        <v>1005</v>
      </c>
      <c r="G336" s="43" t="s">
        <v>6</v>
      </c>
      <c r="H336" s="20">
        <v>4000</v>
      </c>
      <c r="I336" s="20"/>
      <c r="J336" s="20">
        <v>3939</v>
      </c>
      <c r="K336" s="20">
        <f t="shared" si="6"/>
        <v>328.25</v>
      </c>
      <c r="L336" s="20">
        <v>711</v>
      </c>
      <c r="M336" s="20">
        <v>41967</v>
      </c>
      <c r="N336" s="20">
        <v>0</v>
      </c>
      <c r="O336" s="20">
        <v>11275</v>
      </c>
    </row>
    <row r="337" spans="1:15" s="5" customFormat="1" ht="12.65" customHeight="1">
      <c r="A337" s="22" t="s">
        <v>746</v>
      </c>
      <c r="B337" s="21" t="s">
        <v>747</v>
      </c>
      <c r="C337" s="23" t="s">
        <v>75</v>
      </c>
      <c r="D337" s="23" t="s">
        <v>77</v>
      </c>
      <c r="E337" s="9" t="s">
        <v>97</v>
      </c>
      <c r="F337" s="20" t="s">
        <v>1007</v>
      </c>
      <c r="G337" s="43" t="s">
        <v>54</v>
      </c>
      <c r="H337" s="20">
        <v>13000</v>
      </c>
      <c r="I337" s="20"/>
      <c r="J337" s="20">
        <v>851</v>
      </c>
      <c r="K337" s="20">
        <f t="shared" si="6"/>
        <v>70.916666666666671</v>
      </c>
      <c r="L337" s="20">
        <v>187</v>
      </c>
      <c r="M337" s="20">
        <v>22938</v>
      </c>
      <c r="N337" s="20">
        <v>94110</v>
      </c>
      <c r="O337" s="20">
        <v>2297</v>
      </c>
    </row>
    <row r="338" spans="1:15" s="5" customFormat="1" ht="12.65" customHeight="1">
      <c r="A338" s="22" t="s">
        <v>748</v>
      </c>
      <c r="B338" s="21" t="s">
        <v>749</v>
      </c>
      <c r="C338" s="23" t="s">
        <v>75</v>
      </c>
      <c r="D338" s="23" t="s">
        <v>77</v>
      </c>
      <c r="E338" s="9" t="s">
        <v>78</v>
      </c>
      <c r="F338" s="20" t="s">
        <v>989</v>
      </c>
      <c r="G338" s="43" t="s">
        <v>6</v>
      </c>
      <c r="H338" s="20">
        <v>3000</v>
      </c>
      <c r="I338" s="20"/>
      <c r="J338" s="20">
        <v>2885</v>
      </c>
      <c r="K338" s="20">
        <f t="shared" si="6"/>
        <v>240.41666666666666</v>
      </c>
      <c r="L338" s="20">
        <v>843</v>
      </c>
      <c r="M338" s="20">
        <v>43331</v>
      </c>
      <c r="N338" s="20">
        <v>0</v>
      </c>
      <c r="O338" s="20">
        <v>6637</v>
      </c>
    </row>
    <row r="339" spans="1:15" s="5" customFormat="1" ht="12.65" customHeight="1">
      <c r="A339" s="22" t="s">
        <v>750</v>
      </c>
      <c r="B339" s="21" t="s">
        <v>751</v>
      </c>
      <c r="C339" s="23" t="s">
        <v>75</v>
      </c>
      <c r="D339" s="23" t="s">
        <v>77</v>
      </c>
      <c r="E339" s="9" t="s">
        <v>78</v>
      </c>
      <c r="F339" s="20" t="s">
        <v>1005</v>
      </c>
      <c r="G339" s="43" t="s">
        <v>6</v>
      </c>
      <c r="H339" s="20">
        <v>3500</v>
      </c>
      <c r="I339" s="20"/>
      <c r="J339" s="20">
        <v>2483</v>
      </c>
      <c r="K339" s="20">
        <f t="shared" si="6"/>
        <v>206.91666666666666</v>
      </c>
      <c r="L339" s="20">
        <v>492</v>
      </c>
      <c r="M339" s="20">
        <v>41967</v>
      </c>
      <c r="N339" s="20">
        <v>0</v>
      </c>
      <c r="O339" s="20">
        <v>6791</v>
      </c>
    </row>
    <row r="340" spans="1:15" s="5" customFormat="1" ht="12.65" customHeight="1">
      <c r="A340" s="22" t="s">
        <v>752</v>
      </c>
      <c r="B340" s="21" t="s">
        <v>753</v>
      </c>
      <c r="C340" s="23" t="s">
        <v>75</v>
      </c>
      <c r="D340" s="23" t="s">
        <v>77</v>
      </c>
      <c r="E340" s="9" t="s">
        <v>97</v>
      </c>
      <c r="F340" s="20" t="s">
        <v>1005</v>
      </c>
      <c r="G340" s="43" t="s">
        <v>53</v>
      </c>
      <c r="H340" s="20">
        <v>5000</v>
      </c>
      <c r="I340" s="20"/>
      <c r="J340" s="20">
        <v>340</v>
      </c>
      <c r="K340" s="20">
        <f t="shared" si="6"/>
        <v>28.333333333333332</v>
      </c>
      <c r="L340" s="20">
        <v>101</v>
      </c>
      <c r="M340" s="20">
        <v>16258</v>
      </c>
      <c r="N340" s="20">
        <v>29784</v>
      </c>
      <c r="O340" s="20">
        <v>703</v>
      </c>
    </row>
    <row r="341" spans="1:15" s="5" customFormat="1" ht="12.65" customHeight="1">
      <c r="A341" s="22" t="s">
        <v>754</v>
      </c>
      <c r="B341" s="21" t="s">
        <v>755</v>
      </c>
      <c r="C341" s="23" t="s">
        <v>75</v>
      </c>
      <c r="D341" s="23" t="s">
        <v>77</v>
      </c>
      <c r="E341" s="9" t="s">
        <v>78</v>
      </c>
      <c r="F341" s="20" t="s">
        <v>1005</v>
      </c>
      <c r="G341" s="43" t="s">
        <v>6</v>
      </c>
      <c r="H341" s="20">
        <v>6500</v>
      </c>
      <c r="I341" s="20"/>
      <c r="J341" s="20">
        <v>13808</v>
      </c>
      <c r="K341" s="20">
        <f t="shared" si="6"/>
        <v>1150.6666666666667</v>
      </c>
      <c r="L341" s="20">
        <v>2282</v>
      </c>
      <c r="M341" s="20">
        <v>41967</v>
      </c>
      <c r="N341" s="20">
        <v>0</v>
      </c>
      <c r="O341" s="20">
        <v>35160</v>
      </c>
    </row>
    <row r="342" spans="1:15" s="5" customFormat="1" ht="12.65" customHeight="1">
      <c r="A342" s="22" t="s">
        <v>756</v>
      </c>
      <c r="B342" s="21" t="s">
        <v>757</v>
      </c>
      <c r="C342" s="23" t="s">
        <v>75</v>
      </c>
      <c r="D342" s="23" t="s">
        <v>77</v>
      </c>
      <c r="E342" s="9" t="s">
        <v>78</v>
      </c>
      <c r="F342" s="20" t="s">
        <v>1005</v>
      </c>
      <c r="G342" s="43" t="s">
        <v>6</v>
      </c>
      <c r="H342" s="20">
        <v>4500</v>
      </c>
      <c r="I342" s="20"/>
      <c r="J342" s="20">
        <v>8039</v>
      </c>
      <c r="K342" s="20">
        <f t="shared" si="6"/>
        <v>669.91666666666663</v>
      </c>
      <c r="L342" s="20">
        <v>1251</v>
      </c>
      <c r="M342" s="20">
        <v>41967</v>
      </c>
      <c r="N342" s="20">
        <v>0</v>
      </c>
      <c r="O342" s="20">
        <v>22129</v>
      </c>
    </row>
    <row r="343" spans="1:15" s="5" customFormat="1" ht="12.65" customHeight="1">
      <c r="A343" s="22" t="s">
        <v>758</v>
      </c>
      <c r="B343" s="21" t="s">
        <v>759</v>
      </c>
      <c r="C343" s="23" t="s">
        <v>75</v>
      </c>
      <c r="D343" s="23" t="s">
        <v>77</v>
      </c>
      <c r="E343" s="9" t="s">
        <v>97</v>
      </c>
      <c r="F343" s="20" t="s">
        <v>1007</v>
      </c>
      <c r="G343" s="44" t="s">
        <v>47</v>
      </c>
      <c r="H343" s="45">
        <v>1000</v>
      </c>
      <c r="I343" s="45"/>
      <c r="J343" s="45">
        <v>0</v>
      </c>
      <c r="K343" s="20">
        <f t="shared" si="6"/>
        <v>0</v>
      </c>
      <c r="L343" s="45">
        <v>0</v>
      </c>
      <c r="M343" s="45">
        <v>0</v>
      </c>
      <c r="N343" s="45">
        <v>0</v>
      </c>
      <c r="O343" s="45">
        <v>0</v>
      </c>
    </row>
    <row r="344" spans="1:15" s="5" customFormat="1" ht="12.65" customHeight="1">
      <c r="A344" s="22" t="s">
        <v>760</v>
      </c>
      <c r="B344" s="21" t="s">
        <v>761</v>
      </c>
      <c r="C344" s="23" t="s">
        <v>75</v>
      </c>
      <c r="D344" s="23" t="s">
        <v>77</v>
      </c>
      <c r="E344" s="9" t="s">
        <v>97</v>
      </c>
      <c r="F344" s="20" t="s">
        <v>989</v>
      </c>
      <c r="G344" s="43" t="s">
        <v>6</v>
      </c>
      <c r="H344" s="20">
        <v>5500</v>
      </c>
      <c r="I344" s="20"/>
      <c r="J344" s="20">
        <v>8698</v>
      </c>
      <c r="K344" s="20">
        <f t="shared" si="6"/>
        <v>724.83333333333337</v>
      </c>
      <c r="L344" s="20">
        <v>1005</v>
      </c>
      <c r="M344" s="20">
        <v>43331</v>
      </c>
      <c r="N344" s="20">
        <v>0</v>
      </c>
      <c r="O344" s="20">
        <v>25391</v>
      </c>
    </row>
    <row r="345" spans="1:15" s="5" customFormat="1" ht="12.65" customHeight="1">
      <c r="A345" s="22" t="s">
        <v>253</v>
      </c>
      <c r="B345" s="21" t="s">
        <v>254</v>
      </c>
      <c r="C345" s="23" t="s">
        <v>75</v>
      </c>
      <c r="D345" s="23" t="s">
        <v>77</v>
      </c>
      <c r="E345" s="9" t="s">
        <v>78</v>
      </c>
      <c r="F345" s="20" t="s">
        <v>1005</v>
      </c>
      <c r="G345" s="43" t="s">
        <v>8</v>
      </c>
      <c r="H345" s="20">
        <v>8000</v>
      </c>
      <c r="I345" s="20"/>
      <c r="J345" s="20">
        <v>16641</v>
      </c>
      <c r="K345" s="20">
        <f t="shared" si="6"/>
        <v>1386.75</v>
      </c>
      <c r="L345" s="20">
        <v>2709</v>
      </c>
      <c r="M345" s="20">
        <v>54703</v>
      </c>
      <c r="N345" s="20">
        <v>0</v>
      </c>
      <c r="O345" s="20">
        <v>42600</v>
      </c>
    </row>
    <row r="346" spans="1:15" s="5" customFormat="1" ht="12.65" customHeight="1">
      <c r="A346" s="22" t="s">
        <v>764</v>
      </c>
      <c r="B346" s="21" t="s">
        <v>765</v>
      </c>
      <c r="C346" s="23" t="s">
        <v>75</v>
      </c>
      <c r="D346" s="23" t="s">
        <v>77</v>
      </c>
      <c r="E346" s="9" t="s">
        <v>78</v>
      </c>
      <c r="F346" s="20" t="s">
        <v>1007</v>
      </c>
      <c r="G346" s="43" t="s">
        <v>8</v>
      </c>
      <c r="H346" s="20">
        <v>4000</v>
      </c>
      <c r="I346" s="20"/>
      <c r="J346" s="20">
        <v>2707</v>
      </c>
      <c r="K346" s="20">
        <f t="shared" si="6"/>
        <v>225.58333333333334</v>
      </c>
      <c r="L346" s="20">
        <v>555</v>
      </c>
      <c r="M346" s="20">
        <v>57319</v>
      </c>
      <c r="N346" s="20">
        <v>0</v>
      </c>
      <c r="O346" s="20">
        <v>6335</v>
      </c>
    </row>
    <row r="347" spans="1:15" s="5" customFormat="1" ht="12.65" customHeight="1">
      <c r="A347" s="22" t="s">
        <v>690</v>
      </c>
      <c r="B347" s="21" t="s">
        <v>691</v>
      </c>
      <c r="C347" s="23" t="s">
        <v>75</v>
      </c>
      <c r="D347" s="23" t="s">
        <v>77</v>
      </c>
      <c r="E347" s="9" t="s">
        <v>78</v>
      </c>
      <c r="F347" s="20" t="s">
        <v>1006</v>
      </c>
      <c r="G347" s="43" t="s">
        <v>6</v>
      </c>
      <c r="H347" s="20">
        <v>3000</v>
      </c>
      <c r="I347" s="20"/>
      <c r="J347" s="20">
        <v>3866</v>
      </c>
      <c r="K347" s="20">
        <f t="shared" si="6"/>
        <v>322.16666666666669</v>
      </c>
      <c r="L347" s="20">
        <v>682</v>
      </c>
      <c r="M347" s="20">
        <v>40792</v>
      </c>
      <c r="N347" s="20">
        <v>0</v>
      </c>
      <c r="O347" s="20">
        <v>10034</v>
      </c>
    </row>
    <row r="348" spans="1:15" s="5" customFormat="1" ht="12.65" customHeight="1">
      <c r="A348" s="22" t="s">
        <v>768</v>
      </c>
      <c r="B348" s="21" t="s">
        <v>769</v>
      </c>
      <c r="C348" s="23" t="s">
        <v>75</v>
      </c>
      <c r="D348" s="23" t="s">
        <v>77</v>
      </c>
      <c r="E348" s="9" t="s">
        <v>78</v>
      </c>
      <c r="F348" s="20" t="s">
        <v>1007</v>
      </c>
      <c r="G348" s="43" t="s">
        <v>6</v>
      </c>
      <c r="H348" s="20">
        <v>3000</v>
      </c>
      <c r="I348" s="20"/>
      <c r="J348" s="20">
        <v>3263</v>
      </c>
      <c r="K348" s="20">
        <f t="shared" si="6"/>
        <v>271.91666666666669</v>
      </c>
      <c r="L348" s="20">
        <v>634</v>
      </c>
      <c r="M348" s="20">
        <v>43971</v>
      </c>
      <c r="N348" s="20">
        <v>0</v>
      </c>
      <c r="O348" s="20">
        <v>9016</v>
      </c>
    </row>
    <row r="349" spans="1:15" s="5" customFormat="1" ht="12.65" customHeight="1">
      <c r="A349" s="22" t="s">
        <v>770</v>
      </c>
      <c r="B349" s="21" t="s">
        <v>771</v>
      </c>
      <c r="C349" s="23" t="s">
        <v>75</v>
      </c>
      <c r="D349" s="23" t="s">
        <v>77</v>
      </c>
      <c r="E349" s="9" t="s">
        <v>97</v>
      </c>
      <c r="F349" s="20" t="s">
        <v>1005</v>
      </c>
      <c r="G349" s="43" t="s">
        <v>54</v>
      </c>
      <c r="H349" s="20">
        <v>17000</v>
      </c>
      <c r="I349" s="20"/>
      <c r="J349" s="20">
        <v>645</v>
      </c>
      <c r="K349" s="20">
        <f t="shared" si="6"/>
        <v>53.75</v>
      </c>
      <c r="L349" s="20">
        <v>140</v>
      </c>
      <c r="M349" s="20">
        <v>21677</v>
      </c>
      <c r="N349" s="20">
        <v>136432</v>
      </c>
      <c r="O349" s="20">
        <v>1656</v>
      </c>
    </row>
    <row r="350" spans="1:15" s="5" customFormat="1" ht="12.65" customHeight="1">
      <c r="A350" s="22" t="s">
        <v>772</v>
      </c>
      <c r="B350" s="21" t="s">
        <v>773</v>
      </c>
      <c r="C350" s="23" t="s">
        <v>75</v>
      </c>
      <c r="D350" s="23" t="s">
        <v>77</v>
      </c>
      <c r="E350" s="9" t="s">
        <v>78</v>
      </c>
      <c r="F350" s="20" t="s">
        <v>989</v>
      </c>
      <c r="G350" s="43" t="s">
        <v>6</v>
      </c>
      <c r="H350" s="20">
        <v>3000</v>
      </c>
      <c r="I350" s="20"/>
      <c r="J350" s="20">
        <v>2885</v>
      </c>
      <c r="K350" s="20">
        <f t="shared" si="6"/>
        <v>240.41666666666666</v>
      </c>
      <c r="L350" s="20">
        <v>843</v>
      </c>
      <c r="M350" s="20">
        <v>43331</v>
      </c>
      <c r="N350" s="20">
        <v>0</v>
      </c>
      <c r="O350" s="20">
        <v>6637</v>
      </c>
    </row>
    <row r="351" spans="1:15" s="5" customFormat="1" ht="12.65" customHeight="1">
      <c r="A351" s="22" t="s">
        <v>774</v>
      </c>
      <c r="B351" s="21" t="s">
        <v>775</v>
      </c>
      <c r="C351" s="23" t="s">
        <v>75</v>
      </c>
      <c r="D351" s="23" t="s">
        <v>77</v>
      </c>
      <c r="E351" s="9" t="s">
        <v>97</v>
      </c>
      <c r="F351" s="20" t="s">
        <v>1005</v>
      </c>
      <c r="G351" s="43" t="s">
        <v>50</v>
      </c>
      <c r="H351" s="20">
        <v>9000</v>
      </c>
      <c r="I351" s="20"/>
      <c r="J351" s="20">
        <v>376</v>
      </c>
      <c r="K351" s="20">
        <f t="shared" si="6"/>
        <v>31.333333333333332</v>
      </c>
      <c r="L351" s="20">
        <v>110</v>
      </c>
      <c r="M351" s="20">
        <v>0</v>
      </c>
      <c r="N351" s="20">
        <v>82008</v>
      </c>
      <c r="O351" s="20">
        <v>868</v>
      </c>
    </row>
    <row r="352" spans="1:15" s="5" customFormat="1" ht="12.65" customHeight="1">
      <c r="A352" s="22" t="s">
        <v>686</v>
      </c>
      <c r="B352" s="21" t="s">
        <v>687</v>
      </c>
      <c r="C352" s="23" t="s">
        <v>75</v>
      </c>
      <c r="D352" s="23" t="s">
        <v>77</v>
      </c>
      <c r="E352" s="9" t="s">
        <v>97</v>
      </c>
      <c r="F352" s="20" t="s">
        <v>1005</v>
      </c>
      <c r="G352" s="43" t="s">
        <v>60</v>
      </c>
      <c r="H352" s="20">
        <v>9000</v>
      </c>
      <c r="I352" s="20"/>
      <c r="J352" s="20">
        <v>534</v>
      </c>
      <c r="K352" s="20">
        <f t="shared" si="6"/>
        <v>44.5</v>
      </c>
      <c r="L352" s="20">
        <v>101</v>
      </c>
      <c r="M352" s="20">
        <v>0</v>
      </c>
      <c r="N352" s="20">
        <v>81808</v>
      </c>
      <c r="O352" s="20">
        <v>1085</v>
      </c>
    </row>
    <row r="353" spans="1:15" s="5" customFormat="1" ht="12.65" customHeight="1">
      <c r="A353" s="22" t="s">
        <v>778</v>
      </c>
      <c r="B353" s="21" t="s">
        <v>779</v>
      </c>
      <c r="C353" s="23" t="s">
        <v>75</v>
      </c>
      <c r="D353" s="23" t="s">
        <v>77</v>
      </c>
      <c r="E353" s="9" t="s">
        <v>97</v>
      </c>
      <c r="F353" s="20" t="s">
        <v>989</v>
      </c>
      <c r="G353" s="43" t="s">
        <v>64</v>
      </c>
      <c r="H353" s="20">
        <v>6000</v>
      </c>
      <c r="I353" s="20"/>
      <c r="J353" s="20">
        <v>1319</v>
      </c>
      <c r="K353" s="20">
        <f t="shared" si="6"/>
        <v>109.91666666666667</v>
      </c>
      <c r="L353" s="20">
        <v>1319</v>
      </c>
      <c r="M353" s="20">
        <v>1319</v>
      </c>
      <c r="N353" s="20">
        <v>1319</v>
      </c>
      <c r="O353" s="20">
        <v>1319</v>
      </c>
    </row>
    <row r="354" spans="1:15" s="5" customFormat="1" ht="12.65" customHeight="1">
      <c r="A354" s="22" t="s">
        <v>780</v>
      </c>
      <c r="B354" s="21" t="s">
        <v>781</v>
      </c>
      <c r="C354" s="23" t="s">
        <v>75</v>
      </c>
      <c r="D354" s="23" t="s">
        <v>77</v>
      </c>
      <c r="E354" s="9" t="s">
        <v>97</v>
      </c>
      <c r="F354" s="20" t="s">
        <v>989</v>
      </c>
      <c r="G354" s="43" t="s">
        <v>54</v>
      </c>
      <c r="H354" s="20">
        <v>28000</v>
      </c>
      <c r="I354" s="20"/>
      <c r="J354" s="20">
        <v>1713</v>
      </c>
      <c r="K354" s="20">
        <f t="shared" si="6"/>
        <v>142.75</v>
      </c>
      <c r="L354" s="20">
        <v>177</v>
      </c>
      <c r="M354" s="20">
        <v>22596</v>
      </c>
      <c r="N354" s="20">
        <v>236274</v>
      </c>
      <c r="O354" s="20">
        <v>4597</v>
      </c>
    </row>
    <row r="355" spans="1:15" s="5" customFormat="1" ht="12.65" customHeight="1">
      <c r="A355" s="22" t="s">
        <v>782</v>
      </c>
      <c r="B355" s="21" t="s">
        <v>783</v>
      </c>
      <c r="C355" s="23" t="s">
        <v>75</v>
      </c>
      <c r="D355" s="23" t="s">
        <v>77</v>
      </c>
      <c r="E355" s="9" t="s">
        <v>78</v>
      </c>
      <c r="F355" s="20" t="s">
        <v>1005</v>
      </c>
      <c r="G355" s="43" t="s">
        <v>6</v>
      </c>
      <c r="H355" s="20">
        <v>3000</v>
      </c>
      <c r="I355" s="20"/>
      <c r="J355" s="20">
        <v>3488</v>
      </c>
      <c r="K355" s="20">
        <f t="shared" si="6"/>
        <v>290.66666666666669</v>
      </c>
      <c r="L355" s="20">
        <v>664</v>
      </c>
      <c r="M355" s="20">
        <v>41967</v>
      </c>
      <c r="N355" s="20">
        <v>0</v>
      </c>
      <c r="O355" s="20">
        <v>9737</v>
      </c>
    </row>
    <row r="356" spans="1:15" s="5" customFormat="1" ht="12.65" customHeight="1">
      <c r="A356" s="22" t="s">
        <v>784</v>
      </c>
      <c r="B356" s="21" t="s">
        <v>785</v>
      </c>
      <c r="C356" s="23" t="s">
        <v>75</v>
      </c>
      <c r="D356" s="23" t="s">
        <v>77</v>
      </c>
      <c r="E356" s="9" t="s">
        <v>78</v>
      </c>
      <c r="F356" s="20" t="s">
        <v>1007</v>
      </c>
      <c r="G356" s="43" t="s">
        <v>6</v>
      </c>
      <c r="H356" s="20">
        <v>4000</v>
      </c>
      <c r="I356" s="20"/>
      <c r="J356" s="20">
        <v>3662</v>
      </c>
      <c r="K356" s="20">
        <f t="shared" si="6"/>
        <v>305.16666666666669</v>
      </c>
      <c r="L356" s="20">
        <v>587</v>
      </c>
      <c r="M356" s="20">
        <v>43971</v>
      </c>
      <c r="N356" s="20">
        <v>0</v>
      </c>
      <c r="O356" s="20">
        <v>10263</v>
      </c>
    </row>
    <row r="357" spans="1:15" s="5" customFormat="1" ht="12.65" customHeight="1">
      <c r="A357" s="22" t="s">
        <v>786</v>
      </c>
      <c r="B357" s="21" t="s">
        <v>787</v>
      </c>
      <c r="C357" s="23" t="s">
        <v>75</v>
      </c>
      <c r="D357" s="23" t="s">
        <v>77</v>
      </c>
      <c r="E357" s="9" t="s">
        <v>78</v>
      </c>
      <c r="F357" s="20" t="s">
        <v>1007</v>
      </c>
      <c r="G357" s="43" t="s">
        <v>6</v>
      </c>
      <c r="H357" s="20">
        <v>4000</v>
      </c>
      <c r="I357" s="20"/>
      <c r="J357" s="20">
        <v>3662</v>
      </c>
      <c r="K357" s="20">
        <f t="shared" si="6"/>
        <v>305.16666666666669</v>
      </c>
      <c r="L357" s="20">
        <v>587</v>
      </c>
      <c r="M357" s="20">
        <v>43971</v>
      </c>
      <c r="N357" s="20">
        <v>0</v>
      </c>
      <c r="O357" s="20">
        <v>10263</v>
      </c>
    </row>
    <row r="358" spans="1:15" s="5" customFormat="1" ht="12.65" customHeight="1">
      <c r="A358" s="22" t="s">
        <v>788</v>
      </c>
      <c r="B358" s="21" t="s">
        <v>789</v>
      </c>
      <c r="C358" s="23" t="s">
        <v>75</v>
      </c>
      <c r="D358" s="23" t="s">
        <v>77</v>
      </c>
      <c r="E358" s="9" t="s">
        <v>97</v>
      </c>
      <c r="F358" s="20" t="s">
        <v>1005</v>
      </c>
      <c r="G358" s="43" t="s">
        <v>52</v>
      </c>
      <c r="H358" s="20">
        <v>9000</v>
      </c>
      <c r="I358" s="20"/>
      <c r="J358" s="20">
        <v>345</v>
      </c>
      <c r="K358" s="20">
        <f t="shared" si="6"/>
        <v>28.75</v>
      </c>
      <c r="L358" s="20">
        <v>97</v>
      </c>
      <c r="M358" s="20">
        <v>10839</v>
      </c>
      <c r="N358" s="20">
        <v>70714</v>
      </c>
      <c r="O358" s="20">
        <v>741</v>
      </c>
    </row>
    <row r="359" spans="1:15" s="5" customFormat="1" ht="12.65" customHeight="1">
      <c r="A359" s="22" t="s">
        <v>790</v>
      </c>
      <c r="B359" s="21" t="s">
        <v>791</v>
      </c>
      <c r="C359" s="23" t="s">
        <v>75</v>
      </c>
      <c r="D359" s="23" t="s">
        <v>77</v>
      </c>
      <c r="E359" s="9" t="s">
        <v>97</v>
      </c>
      <c r="F359" s="20" t="s">
        <v>1006</v>
      </c>
      <c r="G359" s="43" t="s">
        <v>54</v>
      </c>
      <c r="H359" s="20">
        <v>7000</v>
      </c>
      <c r="I359" s="20"/>
      <c r="J359" s="20">
        <v>393</v>
      </c>
      <c r="K359" s="20">
        <f t="shared" si="6"/>
        <v>32.75</v>
      </c>
      <c r="L359" s="20">
        <v>133</v>
      </c>
      <c r="M359" s="20">
        <v>21275</v>
      </c>
      <c r="N359" s="20">
        <v>43549</v>
      </c>
      <c r="O359" s="20">
        <v>738</v>
      </c>
    </row>
    <row r="360" spans="1:15" s="5" customFormat="1" ht="12.65" customHeight="1">
      <c r="A360" s="22" t="s">
        <v>792</v>
      </c>
      <c r="B360" s="21" t="s">
        <v>793</v>
      </c>
      <c r="C360" s="23" t="s">
        <v>75</v>
      </c>
      <c r="D360" s="23" t="s">
        <v>77</v>
      </c>
      <c r="E360" s="9" t="s">
        <v>97</v>
      </c>
      <c r="F360" s="20" t="s">
        <v>1005</v>
      </c>
      <c r="G360" s="43" t="s">
        <v>62</v>
      </c>
      <c r="H360" s="20">
        <v>6000</v>
      </c>
      <c r="I360" s="20"/>
      <c r="J360" s="20">
        <v>570</v>
      </c>
      <c r="K360" s="20">
        <f t="shared" si="6"/>
        <v>47.5</v>
      </c>
      <c r="L360" s="20">
        <v>108</v>
      </c>
      <c r="M360" s="20">
        <v>10839</v>
      </c>
      <c r="N360" s="20">
        <v>42185</v>
      </c>
      <c r="O360" s="20">
        <v>1186</v>
      </c>
    </row>
    <row r="361" spans="1:15" s="5" customFormat="1" ht="12.65" customHeight="1">
      <c r="A361" s="22" t="s">
        <v>794</v>
      </c>
      <c r="B361" s="21" t="s">
        <v>795</v>
      </c>
      <c r="C361" s="23" t="s">
        <v>75</v>
      </c>
      <c r="D361" s="23" t="s">
        <v>77</v>
      </c>
      <c r="E361" s="9" t="s">
        <v>78</v>
      </c>
      <c r="F361" s="20" t="s">
        <v>1005</v>
      </c>
      <c r="G361" s="43" t="s">
        <v>2</v>
      </c>
      <c r="H361" s="20">
        <v>2500</v>
      </c>
      <c r="I361" s="20"/>
      <c r="J361" s="20">
        <v>3966</v>
      </c>
      <c r="K361" s="20">
        <f t="shared" si="6"/>
        <v>330.5</v>
      </c>
      <c r="L361" s="20">
        <v>724</v>
      </c>
      <c r="M361" s="20">
        <v>16411</v>
      </c>
      <c r="N361" s="20">
        <v>0</v>
      </c>
      <c r="O361" s="20">
        <v>11302</v>
      </c>
    </row>
    <row r="362" spans="1:15" s="5" customFormat="1" ht="12.65" customHeight="1">
      <c r="A362" s="22" t="s">
        <v>796</v>
      </c>
      <c r="B362" s="21" t="s">
        <v>797</v>
      </c>
      <c r="C362" s="23" t="s">
        <v>75</v>
      </c>
      <c r="D362" s="23" t="s">
        <v>77</v>
      </c>
      <c r="E362" s="9" t="s">
        <v>97</v>
      </c>
      <c r="F362" s="20" t="s">
        <v>1007</v>
      </c>
      <c r="G362" s="43" t="s">
        <v>50</v>
      </c>
      <c r="H362" s="20">
        <v>11000</v>
      </c>
      <c r="I362" s="20"/>
      <c r="J362" s="20">
        <v>913</v>
      </c>
      <c r="K362" s="20">
        <f t="shared" si="6"/>
        <v>76.083333333333329</v>
      </c>
      <c r="L362" s="20">
        <v>226</v>
      </c>
      <c r="M362" s="20">
        <v>0</v>
      </c>
      <c r="N362" s="20">
        <v>99275</v>
      </c>
      <c r="O362" s="20">
        <v>2330</v>
      </c>
    </row>
    <row r="363" spans="1:15" s="5" customFormat="1" ht="12.65" customHeight="1">
      <c r="A363" s="22" t="s">
        <v>798</v>
      </c>
      <c r="B363" s="21" t="s">
        <v>799</v>
      </c>
      <c r="C363" s="23" t="s">
        <v>75</v>
      </c>
      <c r="D363" s="23" t="s">
        <v>77</v>
      </c>
      <c r="E363" s="9" t="s">
        <v>97</v>
      </c>
      <c r="F363" s="20" t="s">
        <v>1005</v>
      </c>
      <c r="G363" s="43" t="s">
        <v>53</v>
      </c>
      <c r="H363" s="20">
        <v>9000</v>
      </c>
      <c r="I363" s="20"/>
      <c r="J363" s="20">
        <v>325</v>
      </c>
      <c r="K363" s="20">
        <f t="shared" si="6"/>
        <v>27.083333333333332</v>
      </c>
      <c r="L363" s="20">
        <v>93</v>
      </c>
      <c r="M363" s="20">
        <v>16258</v>
      </c>
      <c r="N363" s="20">
        <v>65055</v>
      </c>
      <c r="O363" s="20">
        <v>694</v>
      </c>
    </row>
    <row r="364" spans="1:15" s="5" customFormat="1" ht="12.65" customHeight="1">
      <c r="A364" s="22" t="s">
        <v>800</v>
      </c>
      <c r="B364" s="21" t="s">
        <v>801</v>
      </c>
      <c r="C364" s="23" t="s">
        <v>75</v>
      </c>
      <c r="D364" s="23" t="s">
        <v>77</v>
      </c>
      <c r="E364" s="9" t="s">
        <v>97</v>
      </c>
      <c r="F364" s="20" t="s">
        <v>1007</v>
      </c>
      <c r="G364" s="43" t="s">
        <v>54</v>
      </c>
      <c r="H364" s="20">
        <v>17500</v>
      </c>
      <c r="I364" s="20"/>
      <c r="J364" s="20">
        <v>1589</v>
      </c>
      <c r="K364" s="20">
        <f t="shared" si="6"/>
        <v>132.41666666666666</v>
      </c>
      <c r="L364" s="20">
        <v>147</v>
      </c>
      <c r="M364" s="20">
        <v>22957</v>
      </c>
      <c r="N364" s="20">
        <v>141974</v>
      </c>
      <c r="O364" s="20">
        <v>4180</v>
      </c>
    </row>
    <row r="365" spans="1:15" s="5" customFormat="1" ht="12.65" customHeight="1">
      <c r="A365" s="22" t="s">
        <v>802</v>
      </c>
      <c r="B365" s="21" t="s">
        <v>803</v>
      </c>
      <c r="C365" s="23" t="s">
        <v>75</v>
      </c>
      <c r="D365" s="23" t="s">
        <v>77</v>
      </c>
      <c r="E365" s="9" t="s">
        <v>97</v>
      </c>
      <c r="F365" s="20" t="s">
        <v>1005</v>
      </c>
      <c r="G365" s="43" t="s">
        <v>64</v>
      </c>
      <c r="H365" s="20">
        <v>11000</v>
      </c>
      <c r="I365" s="20"/>
      <c r="J365" s="20">
        <v>787</v>
      </c>
      <c r="K365" s="20">
        <f t="shared" si="6"/>
        <v>65.583333333333329</v>
      </c>
      <c r="L365" s="20">
        <v>88</v>
      </c>
      <c r="M365" s="20">
        <v>21677</v>
      </c>
      <c r="N365" s="20">
        <v>77667</v>
      </c>
      <c r="O365" s="20">
        <v>1910</v>
      </c>
    </row>
    <row r="366" spans="1:15" s="5" customFormat="1" ht="12.65" customHeight="1">
      <c r="A366" s="22" t="s">
        <v>804</v>
      </c>
      <c r="B366" s="21" t="s">
        <v>805</v>
      </c>
      <c r="C366" s="23" t="s">
        <v>75</v>
      </c>
      <c r="D366" s="23" t="s">
        <v>77</v>
      </c>
      <c r="E366" s="9" t="s">
        <v>78</v>
      </c>
      <c r="F366" s="20" t="s">
        <v>989</v>
      </c>
      <c r="G366" s="43" t="s">
        <v>6</v>
      </c>
      <c r="H366" s="20">
        <v>6000</v>
      </c>
      <c r="I366" s="20"/>
      <c r="J366" s="20">
        <v>9307</v>
      </c>
      <c r="K366" s="20">
        <f t="shared" si="6"/>
        <v>775.58333333333337</v>
      </c>
      <c r="L366" s="20">
        <v>1288</v>
      </c>
      <c r="M366" s="20">
        <v>43331</v>
      </c>
      <c r="N366" s="20">
        <v>0</v>
      </c>
      <c r="O366" s="20">
        <v>27955</v>
      </c>
    </row>
    <row r="367" spans="1:15" s="5" customFormat="1" ht="12.65" customHeight="1">
      <c r="A367" s="22" t="s">
        <v>806</v>
      </c>
      <c r="B367" s="21" t="s">
        <v>807</v>
      </c>
      <c r="C367" s="23" t="s">
        <v>75</v>
      </c>
      <c r="D367" s="23" t="s">
        <v>77</v>
      </c>
      <c r="E367" s="9" t="s">
        <v>97</v>
      </c>
      <c r="F367" s="20" t="s">
        <v>1005</v>
      </c>
      <c r="G367" s="43" t="s">
        <v>54</v>
      </c>
      <c r="H367" s="20">
        <v>8000</v>
      </c>
      <c r="I367" s="20"/>
      <c r="J367" s="20">
        <v>396</v>
      </c>
      <c r="K367" s="20">
        <f t="shared" si="6"/>
        <v>33</v>
      </c>
      <c r="L367" s="20">
        <v>112</v>
      </c>
      <c r="M367" s="20">
        <v>21677</v>
      </c>
      <c r="N367" s="20">
        <v>51223</v>
      </c>
      <c r="O367" s="20">
        <v>846</v>
      </c>
    </row>
    <row r="368" spans="1:15" s="5" customFormat="1" ht="12.65" customHeight="1">
      <c r="A368" s="22" t="s">
        <v>808</v>
      </c>
      <c r="B368" s="21" t="s">
        <v>809</v>
      </c>
      <c r="C368" s="23" t="s">
        <v>75</v>
      </c>
      <c r="D368" s="23" t="s">
        <v>77</v>
      </c>
      <c r="E368" s="9" t="s">
        <v>78</v>
      </c>
      <c r="F368" s="20" t="s">
        <v>989</v>
      </c>
      <c r="G368" s="43" t="s">
        <v>6</v>
      </c>
      <c r="H368" s="20">
        <v>5000</v>
      </c>
      <c r="I368" s="20"/>
      <c r="J368" s="20">
        <v>5738</v>
      </c>
      <c r="K368" s="20">
        <f t="shared" si="6"/>
        <v>478.16666666666669</v>
      </c>
      <c r="L368" s="20">
        <v>1019</v>
      </c>
      <c r="M368" s="20">
        <v>43331</v>
      </c>
      <c r="N368" s="20">
        <v>0</v>
      </c>
      <c r="O368" s="20">
        <v>14235</v>
      </c>
    </row>
    <row r="369" spans="1:15" s="5" customFormat="1" ht="12.65" customHeight="1">
      <c r="A369" s="22" t="s">
        <v>810</v>
      </c>
      <c r="B369" s="21" t="s">
        <v>811</v>
      </c>
      <c r="C369" s="23" t="s">
        <v>75</v>
      </c>
      <c r="D369" s="23" t="s">
        <v>77</v>
      </c>
      <c r="E369" s="9" t="s">
        <v>97</v>
      </c>
      <c r="F369" s="20" t="s">
        <v>1005</v>
      </c>
      <c r="G369" s="43" t="s">
        <v>53</v>
      </c>
      <c r="H369" s="20">
        <v>10000</v>
      </c>
      <c r="I369" s="20"/>
      <c r="J369" s="20">
        <v>365</v>
      </c>
      <c r="K369" s="20">
        <f t="shared" si="6"/>
        <v>30.416666666666668</v>
      </c>
      <c r="L369" s="20">
        <v>101</v>
      </c>
      <c r="M369" s="20">
        <v>16258</v>
      </c>
      <c r="N369" s="20">
        <v>74403</v>
      </c>
      <c r="O369" s="20">
        <v>802</v>
      </c>
    </row>
    <row r="370" spans="1:15" s="5" customFormat="1" ht="12.65" customHeight="1">
      <c r="A370" s="22" t="s">
        <v>812</v>
      </c>
      <c r="B370" s="21" t="s">
        <v>813</v>
      </c>
      <c r="C370" s="23" t="s">
        <v>75</v>
      </c>
      <c r="D370" s="23" t="s">
        <v>77</v>
      </c>
      <c r="E370" s="9" t="s">
        <v>97</v>
      </c>
      <c r="F370" s="20" t="s">
        <v>989</v>
      </c>
      <c r="G370" s="43" t="s">
        <v>47</v>
      </c>
      <c r="H370" s="20">
        <v>1000</v>
      </c>
      <c r="I370" s="20"/>
      <c r="J370" s="20">
        <v>874</v>
      </c>
      <c r="K370" s="20">
        <f t="shared" si="6"/>
        <v>72.833333333333329</v>
      </c>
      <c r="L370" s="20">
        <v>312</v>
      </c>
      <c r="M370" s="20">
        <v>28245</v>
      </c>
      <c r="N370" s="20">
        <v>0</v>
      </c>
      <c r="O370" s="20">
        <v>1403</v>
      </c>
    </row>
    <row r="371" spans="1:15" s="5" customFormat="1" ht="12.65" customHeight="1">
      <c r="A371" s="22" t="s">
        <v>814</v>
      </c>
      <c r="B371" s="21" t="s">
        <v>815</v>
      </c>
      <c r="C371" s="23" t="s">
        <v>75</v>
      </c>
      <c r="D371" s="23" t="s">
        <v>77</v>
      </c>
      <c r="E371" s="9" t="s">
        <v>97</v>
      </c>
      <c r="F371" s="20" t="s">
        <v>1006</v>
      </c>
      <c r="G371" s="43" t="s">
        <v>54</v>
      </c>
      <c r="H371" s="20">
        <v>8000</v>
      </c>
      <c r="I371" s="20"/>
      <c r="J371" s="20">
        <v>457</v>
      </c>
      <c r="K371" s="20">
        <f t="shared" si="6"/>
        <v>38.083333333333336</v>
      </c>
      <c r="L371" s="20">
        <v>150</v>
      </c>
      <c r="M371" s="20">
        <v>21275</v>
      </c>
      <c r="N371" s="20">
        <v>51606</v>
      </c>
      <c r="O371" s="20">
        <v>909</v>
      </c>
    </row>
    <row r="372" spans="1:15" s="5" customFormat="1" ht="12.65" customHeight="1">
      <c r="A372" s="22" t="s">
        <v>816</v>
      </c>
      <c r="B372" s="21" t="s">
        <v>817</v>
      </c>
      <c r="C372" s="23" t="s">
        <v>75</v>
      </c>
      <c r="D372" s="23" t="s">
        <v>77</v>
      </c>
      <c r="E372" s="9" t="s">
        <v>78</v>
      </c>
      <c r="F372" s="20" t="s">
        <v>989</v>
      </c>
      <c r="G372" s="43" t="s">
        <v>6</v>
      </c>
      <c r="H372" s="20">
        <v>2500</v>
      </c>
      <c r="I372" s="20"/>
      <c r="J372" s="20">
        <v>1312</v>
      </c>
      <c r="K372" s="20">
        <f t="shared" si="6"/>
        <v>109.33333333333333</v>
      </c>
      <c r="L372" s="20">
        <v>441</v>
      </c>
      <c r="M372" s="20">
        <v>43331</v>
      </c>
      <c r="N372" s="20">
        <v>0</v>
      </c>
      <c r="O372" s="20">
        <v>2935</v>
      </c>
    </row>
    <row r="373" spans="1:15" s="5" customFormat="1" ht="12.65" customHeight="1">
      <c r="A373" s="22" t="s">
        <v>818</v>
      </c>
      <c r="B373" s="21" t="s">
        <v>819</v>
      </c>
      <c r="C373" s="23" t="s">
        <v>75</v>
      </c>
      <c r="D373" s="23" t="s">
        <v>77</v>
      </c>
      <c r="E373" s="9" t="s">
        <v>97</v>
      </c>
      <c r="F373" s="20" t="s">
        <v>989</v>
      </c>
      <c r="G373" s="43" t="s">
        <v>54</v>
      </c>
      <c r="H373" s="20">
        <v>15000</v>
      </c>
      <c r="I373" s="20"/>
      <c r="J373" s="20">
        <v>1066</v>
      </c>
      <c r="K373" s="20">
        <f t="shared" si="6"/>
        <v>88.833333333333329</v>
      </c>
      <c r="L373" s="20">
        <v>120</v>
      </c>
      <c r="M373" s="20">
        <v>22596</v>
      </c>
      <c r="N373" s="20">
        <v>113218</v>
      </c>
      <c r="O373" s="20">
        <v>2750</v>
      </c>
    </row>
    <row r="374" spans="1:15" s="5" customFormat="1" ht="12.65" customHeight="1">
      <c r="A374" s="22" t="s">
        <v>820</v>
      </c>
      <c r="B374" s="21" t="s">
        <v>821</v>
      </c>
      <c r="C374" s="23" t="s">
        <v>75</v>
      </c>
      <c r="D374" s="23" t="s">
        <v>77</v>
      </c>
      <c r="E374" s="9" t="s">
        <v>97</v>
      </c>
      <c r="F374" s="20" t="s">
        <v>1006</v>
      </c>
      <c r="G374" s="43" t="s">
        <v>54</v>
      </c>
      <c r="H374" s="20">
        <v>12000</v>
      </c>
      <c r="I374" s="20"/>
      <c r="J374" s="20">
        <v>714</v>
      </c>
      <c r="K374" s="20">
        <f t="shared" si="6"/>
        <v>59.5</v>
      </c>
      <c r="L374" s="20">
        <v>160</v>
      </c>
      <c r="M374" s="20">
        <v>21275</v>
      </c>
      <c r="N374" s="20">
        <v>86830</v>
      </c>
      <c r="O374" s="20">
        <v>1891</v>
      </c>
    </row>
    <row r="375" spans="1:15" s="5" customFormat="1" ht="12.65" customHeight="1">
      <c r="A375" s="22" t="s">
        <v>822</v>
      </c>
      <c r="B375" s="21" t="s">
        <v>823</v>
      </c>
      <c r="C375" s="23" t="s">
        <v>75</v>
      </c>
      <c r="D375" s="23" t="s">
        <v>77</v>
      </c>
      <c r="E375" s="9" t="s">
        <v>97</v>
      </c>
      <c r="F375" s="20" t="s">
        <v>1005</v>
      </c>
      <c r="G375" s="43" t="s">
        <v>62</v>
      </c>
      <c r="H375" s="20">
        <v>25000</v>
      </c>
      <c r="I375" s="20"/>
      <c r="J375" s="20">
        <v>1264</v>
      </c>
      <c r="K375" s="20">
        <f t="shared" si="6"/>
        <v>105.33333333333333</v>
      </c>
      <c r="L375" s="20">
        <v>130</v>
      </c>
      <c r="M375" s="20">
        <v>10839</v>
      </c>
      <c r="N375" s="20">
        <v>231424</v>
      </c>
      <c r="O375" s="20">
        <v>3180</v>
      </c>
    </row>
    <row r="376" spans="1:15" s="5" customFormat="1" ht="12.65" customHeight="1">
      <c r="A376" s="22" t="s">
        <v>824</v>
      </c>
      <c r="B376" s="21" t="s">
        <v>825</v>
      </c>
      <c r="C376" s="23" t="s">
        <v>75</v>
      </c>
      <c r="D376" s="23" t="s">
        <v>77</v>
      </c>
      <c r="E376" s="9" t="s">
        <v>78</v>
      </c>
      <c r="F376" s="20" t="s">
        <v>1005</v>
      </c>
      <c r="G376" s="43" t="s">
        <v>6</v>
      </c>
      <c r="H376" s="20">
        <v>4500</v>
      </c>
      <c r="I376" s="20"/>
      <c r="J376" s="20">
        <v>7370</v>
      </c>
      <c r="K376" s="20">
        <f t="shared" si="6"/>
        <v>614.16666666666663</v>
      </c>
      <c r="L376" s="20">
        <v>1251</v>
      </c>
      <c r="M376" s="20">
        <v>41967</v>
      </c>
      <c r="N376" s="20">
        <v>0</v>
      </c>
      <c r="O376" s="20">
        <v>21679</v>
      </c>
    </row>
    <row r="377" spans="1:15" s="5" customFormat="1" ht="12.65" customHeight="1">
      <c r="A377" s="22" t="s">
        <v>826</v>
      </c>
      <c r="B377" s="21" t="s">
        <v>827</v>
      </c>
      <c r="C377" s="23" t="s">
        <v>75</v>
      </c>
      <c r="D377" s="23" t="s">
        <v>77</v>
      </c>
      <c r="E377" s="9" t="s">
        <v>97</v>
      </c>
      <c r="F377" s="20" t="s">
        <v>1007</v>
      </c>
      <c r="G377" s="43" t="s">
        <v>54</v>
      </c>
      <c r="H377" s="20">
        <v>15500</v>
      </c>
      <c r="I377" s="20"/>
      <c r="J377" s="20">
        <v>1920</v>
      </c>
      <c r="K377" s="20">
        <f t="shared" si="6"/>
        <v>160</v>
      </c>
      <c r="L377" s="20">
        <v>1920</v>
      </c>
      <c r="M377" s="20">
        <v>1920</v>
      </c>
      <c r="N377" s="20">
        <v>1920</v>
      </c>
      <c r="O377" s="20">
        <v>1920</v>
      </c>
    </row>
    <row r="378" spans="1:15" s="5" customFormat="1" ht="12.65" customHeight="1">
      <c r="A378" s="22" t="s">
        <v>852</v>
      </c>
      <c r="B378" s="21" t="s">
        <v>853</v>
      </c>
      <c r="C378" s="23" t="s">
        <v>75</v>
      </c>
      <c r="D378" s="23" t="s">
        <v>77</v>
      </c>
      <c r="E378" s="9" t="s">
        <v>97</v>
      </c>
      <c r="F378" s="20" t="s">
        <v>1005</v>
      </c>
      <c r="G378" s="43" t="s">
        <v>50</v>
      </c>
      <c r="H378" s="20">
        <v>33000</v>
      </c>
      <c r="I378" s="20"/>
      <c r="J378" s="20">
        <v>1685</v>
      </c>
      <c r="K378" s="20">
        <f t="shared" si="6"/>
        <v>140.41666666666666</v>
      </c>
      <c r="L378" s="20">
        <v>144</v>
      </c>
      <c r="M378" s="20">
        <v>0</v>
      </c>
      <c r="N378" s="20">
        <v>309566</v>
      </c>
      <c r="O378" s="20">
        <v>4494</v>
      </c>
    </row>
    <row r="379" spans="1:15" s="5" customFormat="1" ht="12.65" customHeight="1">
      <c r="A379" s="22" t="s">
        <v>830</v>
      </c>
      <c r="B379" s="21" t="s">
        <v>831</v>
      </c>
      <c r="C379" s="23" t="s">
        <v>75</v>
      </c>
      <c r="D379" s="23" t="s">
        <v>77</v>
      </c>
      <c r="E379" s="9" t="s">
        <v>97</v>
      </c>
      <c r="F379" s="20" t="s">
        <v>1006</v>
      </c>
      <c r="G379" s="43" t="s">
        <v>54</v>
      </c>
      <c r="H379" s="20">
        <v>8000</v>
      </c>
      <c r="I379" s="20"/>
      <c r="J379" s="20">
        <v>457</v>
      </c>
      <c r="K379" s="20">
        <f t="shared" si="6"/>
        <v>38.083333333333336</v>
      </c>
      <c r="L379" s="20">
        <v>150</v>
      </c>
      <c r="M379" s="20">
        <v>21275</v>
      </c>
      <c r="N379" s="20">
        <v>51606</v>
      </c>
      <c r="O379" s="20">
        <v>909</v>
      </c>
    </row>
    <row r="380" spans="1:15" s="5" customFormat="1" ht="12.65" customHeight="1">
      <c r="A380" s="22" t="s">
        <v>832</v>
      </c>
      <c r="B380" s="21" t="s">
        <v>833</v>
      </c>
      <c r="C380" s="23" t="s">
        <v>75</v>
      </c>
      <c r="D380" s="23" t="s">
        <v>77</v>
      </c>
      <c r="E380" s="9" t="s">
        <v>97</v>
      </c>
      <c r="F380" s="20" t="s">
        <v>989</v>
      </c>
      <c r="G380" s="43" t="s">
        <v>50</v>
      </c>
      <c r="H380" s="20">
        <v>45000</v>
      </c>
      <c r="I380" s="20"/>
      <c r="J380" s="20">
        <v>15114</v>
      </c>
      <c r="K380" s="20">
        <f t="shared" si="6"/>
        <v>1259.5</v>
      </c>
      <c r="L380" s="20">
        <v>1231</v>
      </c>
      <c r="M380" s="20">
        <v>0</v>
      </c>
      <c r="N380" s="20">
        <v>361858</v>
      </c>
      <c r="O380" s="20">
        <v>43935</v>
      </c>
    </row>
    <row r="381" spans="1:15" s="5" customFormat="1" ht="12.65" customHeight="1">
      <c r="A381" s="22" t="s">
        <v>471</v>
      </c>
      <c r="B381" s="21" t="s">
        <v>472</v>
      </c>
      <c r="C381" s="23" t="s">
        <v>75</v>
      </c>
      <c r="D381" s="23" t="s">
        <v>77</v>
      </c>
      <c r="E381" s="9" t="s">
        <v>78</v>
      </c>
      <c r="F381" s="20" t="s">
        <v>1005</v>
      </c>
      <c r="G381" s="43" t="s">
        <v>60</v>
      </c>
      <c r="H381" s="20">
        <v>10000</v>
      </c>
      <c r="I381" s="20"/>
      <c r="J381" s="20">
        <v>861</v>
      </c>
      <c r="K381" s="20">
        <f t="shared" si="6"/>
        <v>71.75</v>
      </c>
      <c r="L381" s="20">
        <v>95</v>
      </c>
      <c r="M381" s="20">
        <v>0</v>
      </c>
      <c r="N381" s="20">
        <v>90861</v>
      </c>
      <c r="O381" s="20">
        <v>2103</v>
      </c>
    </row>
    <row r="382" spans="1:15" s="5" customFormat="1" ht="12.65" customHeight="1">
      <c r="A382" s="22" t="s">
        <v>836</v>
      </c>
      <c r="B382" s="21" t="s">
        <v>837</v>
      </c>
      <c r="C382" s="23" t="s">
        <v>75</v>
      </c>
      <c r="D382" s="23" t="s">
        <v>77</v>
      </c>
      <c r="E382" s="9" t="s">
        <v>97</v>
      </c>
      <c r="F382" s="20" t="s">
        <v>1005</v>
      </c>
      <c r="G382" s="43" t="s">
        <v>54</v>
      </c>
      <c r="H382" s="20">
        <v>8000</v>
      </c>
      <c r="I382" s="20"/>
      <c r="J382" s="20">
        <v>396</v>
      </c>
      <c r="K382" s="20">
        <f t="shared" si="6"/>
        <v>33</v>
      </c>
      <c r="L382" s="20">
        <v>112</v>
      </c>
      <c r="M382" s="20">
        <v>21677</v>
      </c>
      <c r="N382" s="20">
        <v>51223</v>
      </c>
      <c r="O382" s="20">
        <v>846</v>
      </c>
    </row>
    <row r="383" spans="1:15" s="5" customFormat="1" ht="12.65" customHeight="1">
      <c r="A383" s="22" t="s">
        <v>838</v>
      </c>
      <c r="B383" s="21" t="s">
        <v>839</v>
      </c>
      <c r="C383" s="23" t="s">
        <v>75</v>
      </c>
      <c r="D383" s="23" t="s">
        <v>77</v>
      </c>
      <c r="E383" s="9" t="s">
        <v>78</v>
      </c>
      <c r="F383" s="20" t="s">
        <v>1005</v>
      </c>
      <c r="G383" s="43" t="s">
        <v>6</v>
      </c>
      <c r="H383" s="20">
        <v>3500</v>
      </c>
      <c r="I383" s="20"/>
      <c r="J383" s="20">
        <v>2403</v>
      </c>
      <c r="K383" s="20">
        <f t="shared" si="6"/>
        <v>200.25</v>
      </c>
      <c r="L383" s="20">
        <v>492</v>
      </c>
      <c r="M383" s="20">
        <v>41967</v>
      </c>
      <c r="N383" s="20">
        <v>0</v>
      </c>
      <c r="O383" s="20">
        <v>6791</v>
      </c>
    </row>
    <row r="384" spans="1:15" s="5" customFormat="1" ht="12.65" customHeight="1">
      <c r="A384" s="22" t="s">
        <v>840</v>
      </c>
      <c r="B384" s="21" t="s">
        <v>841</v>
      </c>
      <c r="C384" s="23" t="s">
        <v>75</v>
      </c>
      <c r="D384" s="23" t="s">
        <v>77</v>
      </c>
      <c r="E384" s="9" t="s">
        <v>78</v>
      </c>
      <c r="F384" s="20" t="s">
        <v>1006</v>
      </c>
      <c r="G384" s="43" t="s">
        <v>6</v>
      </c>
      <c r="H384" s="20">
        <v>3500</v>
      </c>
      <c r="I384" s="20"/>
      <c r="J384" s="20">
        <v>2920</v>
      </c>
      <c r="K384" s="20">
        <f t="shared" si="6"/>
        <v>243.33333333333334</v>
      </c>
      <c r="L384" s="20">
        <v>497</v>
      </c>
      <c r="M384" s="20">
        <v>40782</v>
      </c>
      <c r="N384" s="20">
        <v>0</v>
      </c>
      <c r="O384" s="20">
        <v>8018</v>
      </c>
    </row>
    <row r="385" spans="1:15" s="5" customFormat="1" ht="12.65" customHeight="1">
      <c r="A385" s="22" t="s">
        <v>95</v>
      </c>
      <c r="B385" s="21" t="s">
        <v>96</v>
      </c>
      <c r="C385" s="23" t="s">
        <v>75</v>
      </c>
      <c r="D385" s="23" t="s">
        <v>77</v>
      </c>
      <c r="E385" s="9" t="s">
        <v>78</v>
      </c>
      <c r="F385" s="20" t="s">
        <v>1005</v>
      </c>
      <c r="G385" s="43" t="s">
        <v>8</v>
      </c>
      <c r="H385" s="20">
        <v>9000</v>
      </c>
      <c r="I385" s="20"/>
      <c r="J385" s="20">
        <v>18409</v>
      </c>
      <c r="K385" s="20">
        <f t="shared" si="6"/>
        <v>1534.0833333333333</v>
      </c>
      <c r="L385" s="20">
        <v>2990</v>
      </c>
      <c r="M385" s="20">
        <v>54703</v>
      </c>
      <c r="N385" s="20">
        <v>0</v>
      </c>
      <c r="O385" s="20">
        <v>47165</v>
      </c>
    </row>
    <row r="386" spans="1:15" s="5" customFormat="1" ht="12.65" customHeight="1">
      <c r="A386" s="22" t="s">
        <v>844</v>
      </c>
      <c r="B386" s="21" t="s">
        <v>845</v>
      </c>
      <c r="C386" s="23" t="s">
        <v>75</v>
      </c>
      <c r="D386" s="23" t="s">
        <v>77</v>
      </c>
      <c r="E386" s="9" t="s">
        <v>97</v>
      </c>
      <c r="F386" s="20" t="s">
        <v>1005</v>
      </c>
      <c r="G386" s="43" t="s">
        <v>54</v>
      </c>
      <c r="H386" s="20">
        <v>12000</v>
      </c>
      <c r="I386" s="20"/>
      <c r="J386" s="20">
        <v>799</v>
      </c>
      <c r="K386" s="20">
        <f t="shared" si="6"/>
        <v>66.583333333333329</v>
      </c>
      <c r="L386" s="20">
        <v>98</v>
      </c>
      <c r="M386" s="20">
        <v>21677</v>
      </c>
      <c r="N386" s="20">
        <v>86971</v>
      </c>
      <c r="O386" s="20">
        <v>1963</v>
      </c>
    </row>
    <row r="387" spans="1:15" s="5" customFormat="1" ht="12.65" customHeight="1">
      <c r="A387" s="22" t="s">
        <v>846</v>
      </c>
      <c r="B387" s="21" t="s">
        <v>847</v>
      </c>
      <c r="C387" s="23" t="s">
        <v>75</v>
      </c>
      <c r="D387" s="23" t="s">
        <v>77</v>
      </c>
      <c r="E387" s="9" t="s">
        <v>97</v>
      </c>
      <c r="F387" s="20" t="s">
        <v>1005</v>
      </c>
      <c r="G387" s="43" t="s">
        <v>54</v>
      </c>
      <c r="H387" s="20">
        <v>23000</v>
      </c>
      <c r="I387" s="20"/>
      <c r="J387" s="20">
        <v>1167</v>
      </c>
      <c r="K387" s="20">
        <f t="shared" si="6"/>
        <v>97.25</v>
      </c>
      <c r="L387" s="20">
        <v>129</v>
      </c>
      <c r="M387" s="20">
        <v>21677</v>
      </c>
      <c r="N387" s="20">
        <v>191878</v>
      </c>
      <c r="O387" s="20">
        <v>3023</v>
      </c>
    </row>
    <row r="388" spans="1:15" s="5" customFormat="1" ht="12.65" customHeight="1">
      <c r="A388" s="22" t="s">
        <v>848</v>
      </c>
      <c r="B388" s="21" t="s">
        <v>849</v>
      </c>
      <c r="C388" s="23" t="s">
        <v>75</v>
      </c>
      <c r="D388" s="23" t="s">
        <v>77</v>
      </c>
      <c r="E388" s="9" t="s">
        <v>78</v>
      </c>
      <c r="F388" s="20" t="s">
        <v>989</v>
      </c>
      <c r="G388" s="43" t="s">
        <v>6</v>
      </c>
      <c r="H388" s="20">
        <v>4000</v>
      </c>
      <c r="I388" s="20"/>
      <c r="J388" s="20">
        <v>4100</v>
      </c>
      <c r="K388" s="20">
        <f t="shared" si="6"/>
        <v>341.66666666666669</v>
      </c>
      <c r="L388" s="20">
        <v>551</v>
      </c>
      <c r="M388" s="20">
        <v>43331</v>
      </c>
      <c r="N388" s="20">
        <v>0</v>
      </c>
      <c r="O388" s="20">
        <v>11325</v>
      </c>
    </row>
    <row r="389" spans="1:15" s="5" customFormat="1" ht="12.65" customHeight="1">
      <c r="A389" s="22" t="s">
        <v>850</v>
      </c>
      <c r="B389" s="21" t="s">
        <v>851</v>
      </c>
      <c r="C389" s="23" t="s">
        <v>75</v>
      </c>
      <c r="D389" s="23" t="s">
        <v>77</v>
      </c>
      <c r="E389" s="9" t="s">
        <v>97</v>
      </c>
      <c r="F389" s="20" t="s">
        <v>1005</v>
      </c>
      <c r="G389" s="43" t="s">
        <v>54</v>
      </c>
      <c r="H389" s="20">
        <v>20000</v>
      </c>
      <c r="I389" s="20"/>
      <c r="J389" s="20">
        <v>1025</v>
      </c>
      <c r="K389" s="20">
        <f t="shared" si="6"/>
        <v>85.416666666666671</v>
      </c>
      <c r="L389" s="20">
        <v>118</v>
      </c>
      <c r="M389" s="20">
        <v>21677</v>
      </c>
      <c r="N389" s="20">
        <v>163931</v>
      </c>
      <c r="O389" s="20">
        <v>2607</v>
      </c>
    </row>
    <row r="390" spans="1:15" s="5" customFormat="1" ht="12.65" customHeight="1">
      <c r="A390" s="22" t="s">
        <v>604</v>
      </c>
      <c r="B390" s="21" t="s">
        <v>605</v>
      </c>
      <c r="C390" s="23" t="s">
        <v>75</v>
      </c>
      <c r="D390" s="23" t="s">
        <v>77</v>
      </c>
      <c r="E390" s="9" t="s">
        <v>97</v>
      </c>
      <c r="F390" s="20" t="s">
        <v>1005</v>
      </c>
      <c r="G390" s="43" t="s">
        <v>50</v>
      </c>
      <c r="H390" s="20">
        <v>34000</v>
      </c>
      <c r="I390" s="20"/>
      <c r="J390" s="20">
        <v>1739</v>
      </c>
      <c r="K390" s="20">
        <f t="shared" si="6"/>
        <v>144.91666666666666</v>
      </c>
      <c r="L390" s="20">
        <v>147</v>
      </c>
      <c r="M390" s="20">
        <v>0</v>
      </c>
      <c r="N390" s="20">
        <v>320474</v>
      </c>
      <c r="O390" s="20">
        <v>4657</v>
      </c>
    </row>
    <row r="391" spans="1:15" s="5" customFormat="1" ht="12.65" customHeight="1">
      <c r="A391" s="22" t="s">
        <v>854</v>
      </c>
      <c r="B391" s="21" t="s">
        <v>855</v>
      </c>
      <c r="C391" s="23" t="s">
        <v>75</v>
      </c>
      <c r="D391" s="23" t="s">
        <v>77</v>
      </c>
      <c r="E391" s="9" t="s">
        <v>97</v>
      </c>
      <c r="F391" s="20" t="s">
        <v>1006</v>
      </c>
      <c r="G391" s="43" t="s">
        <v>53</v>
      </c>
      <c r="H391" s="20">
        <v>9000</v>
      </c>
      <c r="I391" s="20"/>
      <c r="J391" s="20">
        <v>620</v>
      </c>
      <c r="K391" s="20">
        <f t="shared" si="6"/>
        <v>51.666666666666664</v>
      </c>
      <c r="L391" s="20">
        <v>111</v>
      </c>
      <c r="M391" s="20">
        <v>15956</v>
      </c>
      <c r="N391" s="20">
        <v>64467</v>
      </c>
      <c r="O391" s="20">
        <v>1574</v>
      </c>
    </row>
    <row r="392" spans="1:15" s="5" customFormat="1" ht="12.65" customHeight="1">
      <c r="A392" s="22" t="s">
        <v>856</v>
      </c>
      <c r="B392" s="21" t="s">
        <v>857</v>
      </c>
      <c r="C392" s="23" t="s">
        <v>75</v>
      </c>
      <c r="D392" s="23" t="s">
        <v>77</v>
      </c>
      <c r="E392" s="9" t="s">
        <v>97</v>
      </c>
      <c r="F392" s="20" t="s">
        <v>1006</v>
      </c>
      <c r="G392" s="43" t="s">
        <v>64</v>
      </c>
      <c r="H392" s="20">
        <v>12000</v>
      </c>
      <c r="I392" s="20"/>
      <c r="J392" s="20">
        <v>1103</v>
      </c>
      <c r="K392" s="20">
        <f t="shared" ref="K392:K449" si="7">J392/12</f>
        <v>91.916666666666671</v>
      </c>
      <c r="L392" s="20">
        <v>120</v>
      </c>
      <c r="M392" s="20">
        <v>21275</v>
      </c>
      <c r="N392" s="20">
        <v>86495</v>
      </c>
      <c r="O392" s="20">
        <v>2709</v>
      </c>
    </row>
    <row r="393" spans="1:15" s="5" customFormat="1" ht="12.65" customHeight="1">
      <c r="A393" s="22" t="s">
        <v>858</v>
      </c>
      <c r="B393" s="21" t="s">
        <v>859</v>
      </c>
      <c r="C393" s="23" t="s">
        <v>75</v>
      </c>
      <c r="D393" s="23" t="s">
        <v>77</v>
      </c>
      <c r="E393" s="9" t="s">
        <v>97</v>
      </c>
      <c r="F393" s="20" t="s">
        <v>1006</v>
      </c>
      <c r="G393" s="43" t="s">
        <v>54</v>
      </c>
      <c r="H393" s="20">
        <v>13000</v>
      </c>
      <c r="I393" s="20"/>
      <c r="J393" s="20">
        <v>767</v>
      </c>
      <c r="K393" s="20">
        <f t="shared" si="7"/>
        <v>63.916666666666664</v>
      </c>
      <c r="L393" s="20">
        <v>172</v>
      </c>
      <c r="M393" s="20">
        <v>21275</v>
      </c>
      <c r="N393" s="20">
        <v>96106</v>
      </c>
      <c r="O393" s="20">
        <v>2039</v>
      </c>
    </row>
    <row r="394" spans="1:15" s="5" customFormat="1" ht="12.65" customHeight="1">
      <c r="A394" s="22" t="s">
        <v>860</v>
      </c>
      <c r="B394" s="21" t="s">
        <v>861</v>
      </c>
      <c r="C394" s="23" t="s">
        <v>75</v>
      </c>
      <c r="D394" s="23" t="s">
        <v>77</v>
      </c>
      <c r="E394" s="9" t="s">
        <v>78</v>
      </c>
      <c r="F394" s="20" t="s">
        <v>989</v>
      </c>
      <c r="G394" s="43" t="s">
        <v>6</v>
      </c>
      <c r="H394" s="20">
        <v>2500</v>
      </c>
      <c r="I394" s="20"/>
      <c r="J394" s="20">
        <v>1312</v>
      </c>
      <c r="K394" s="20">
        <f t="shared" si="7"/>
        <v>109.33333333333333</v>
      </c>
      <c r="L394" s="20">
        <v>441</v>
      </c>
      <c r="M394" s="20">
        <v>43331</v>
      </c>
      <c r="N394" s="20">
        <v>0</v>
      </c>
      <c r="O394" s="20">
        <v>2935</v>
      </c>
    </row>
    <row r="395" spans="1:15" s="5" customFormat="1" ht="12.65" customHeight="1">
      <c r="A395" s="22" t="s">
        <v>862</v>
      </c>
      <c r="B395" s="21" t="s">
        <v>863</v>
      </c>
      <c r="C395" s="23" t="s">
        <v>75</v>
      </c>
      <c r="D395" s="23" t="s">
        <v>77</v>
      </c>
      <c r="E395" s="9" t="s">
        <v>78</v>
      </c>
      <c r="F395" s="20" t="s">
        <v>1007</v>
      </c>
      <c r="G395" s="43" t="s">
        <v>6</v>
      </c>
      <c r="H395" s="20">
        <v>3500</v>
      </c>
      <c r="I395" s="20"/>
      <c r="J395" s="20">
        <v>2465</v>
      </c>
      <c r="K395" s="20">
        <f t="shared" si="7"/>
        <v>205.41666666666666</v>
      </c>
      <c r="L395" s="20">
        <v>446</v>
      </c>
      <c r="M395" s="20">
        <v>43971</v>
      </c>
      <c r="N395" s="20">
        <v>0</v>
      </c>
      <c r="O395" s="20">
        <v>6610</v>
      </c>
    </row>
    <row r="396" spans="1:15" s="5" customFormat="1" ht="12.65" customHeight="1">
      <c r="A396" s="22" t="s">
        <v>864</v>
      </c>
      <c r="B396" s="21" t="s">
        <v>865</v>
      </c>
      <c r="C396" s="23" t="s">
        <v>75</v>
      </c>
      <c r="D396" s="23" t="s">
        <v>77</v>
      </c>
      <c r="E396" s="9" t="s">
        <v>78</v>
      </c>
      <c r="F396" s="20" t="s">
        <v>1007</v>
      </c>
      <c r="G396" s="43" t="s">
        <v>6</v>
      </c>
      <c r="H396" s="20">
        <v>3000</v>
      </c>
      <c r="I396" s="20"/>
      <c r="J396" s="20">
        <v>3263</v>
      </c>
      <c r="K396" s="20">
        <f t="shared" si="7"/>
        <v>271.91666666666669</v>
      </c>
      <c r="L396" s="20">
        <v>634</v>
      </c>
      <c r="M396" s="20">
        <v>43971</v>
      </c>
      <c r="N396" s="20">
        <v>0</v>
      </c>
      <c r="O396" s="20">
        <v>9016</v>
      </c>
    </row>
    <row r="397" spans="1:15" s="5" customFormat="1" ht="12.65" customHeight="1">
      <c r="A397" s="22" t="s">
        <v>766</v>
      </c>
      <c r="B397" s="21" t="s">
        <v>767</v>
      </c>
      <c r="C397" s="23" t="s">
        <v>75</v>
      </c>
      <c r="D397" s="23" t="s">
        <v>77</v>
      </c>
      <c r="E397" s="9" t="s">
        <v>78</v>
      </c>
      <c r="F397" s="20" t="s">
        <v>1006</v>
      </c>
      <c r="G397" s="43" t="s">
        <v>6</v>
      </c>
      <c r="H397" s="20">
        <v>3000</v>
      </c>
      <c r="I397" s="20"/>
      <c r="J397" s="20">
        <v>3866</v>
      </c>
      <c r="K397" s="20">
        <f t="shared" si="7"/>
        <v>322.16666666666669</v>
      </c>
      <c r="L397" s="20">
        <v>682</v>
      </c>
      <c r="M397" s="20">
        <v>40792</v>
      </c>
      <c r="N397" s="20">
        <v>0</v>
      </c>
      <c r="O397" s="20">
        <v>10034</v>
      </c>
    </row>
    <row r="398" spans="1:15" s="5" customFormat="1" ht="12.65" customHeight="1">
      <c r="A398" s="22" t="s">
        <v>868</v>
      </c>
      <c r="B398" s="21" t="s">
        <v>869</v>
      </c>
      <c r="C398" s="23" t="s">
        <v>75</v>
      </c>
      <c r="D398" s="23" t="s">
        <v>77</v>
      </c>
      <c r="E398" s="9" t="s">
        <v>78</v>
      </c>
      <c r="F398" s="20" t="s">
        <v>989</v>
      </c>
      <c r="G398" s="43" t="s">
        <v>6</v>
      </c>
      <c r="H398" s="20">
        <v>3500</v>
      </c>
      <c r="I398" s="20"/>
      <c r="J398" s="20">
        <v>2658</v>
      </c>
      <c r="K398" s="20">
        <f t="shared" si="7"/>
        <v>221.5</v>
      </c>
      <c r="L398" s="20">
        <v>470</v>
      </c>
      <c r="M398" s="20">
        <v>43331</v>
      </c>
      <c r="N398" s="20">
        <v>0</v>
      </c>
      <c r="O398" s="20">
        <v>7190</v>
      </c>
    </row>
    <row r="399" spans="1:15" s="5" customFormat="1" ht="12.65" customHeight="1">
      <c r="A399" s="22" t="s">
        <v>870</v>
      </c>
      <c r="B399" s="21" t="s">
        <v>871</v>
      </c>
      <c r="C399" s="23" t="s">
        <v>75</v>
      </c>
      <c r="D399" s="23" t="s">
        <v>77</v>
      </c>
      <c r="E399" s="9" t="s">
        <v>78</v>
      </c>
      <c r="F399" s="20" t="s">
        <v>1005</v>
      </c>
      <c r="G399" s="43" t="s">
        <v>11</v>
      </c>
      <c r="H399" s="20">
        <v>3250</v>
      </c>
      <c r="I399" s="20"/>
      <c r="J399" s="20">
        <v>0</v>
      </c>
      <c r="K399" s="20">
        <f t="shared" si="7"/>
        <v>0</v>
      </c>
      <c r="L399" s="20">
        <v>0</v>
      </c>
      <c r="M399" s="20">
        <v>28470</v>
      </c>
      <c r="N399" s="20">
        <v>0</v>
      </c>
      <c r="O399" s="20">
        <v>0</v>
      </c>
    </row>
    <row r="400" spans="1:15" s="5" customFormat="1" ht="12.65" customHeight="1">
      <c r="A400" s="22" t="s">
        <v>872</v>
      </c>
      <c r="B400" s="21" t="s">
        <v>873</v>
      </c>
      <c r="C400" s="23" t="s">
        <v>75</v>
      </c>
      <c r="D400" s="23" t="s">
        <v>77</v>
      </c>
      <c r="E400" s="9" t="s">
        <v>78</v>
      </c>
      <c r="F400" s="20" t="s">
        <v>989</v>
      </c>
      <c r="G400" s="43" t="s">
        <v>16</v>
      </c>
      <c r="H400" s="20">
        <v>9500</v>
      </c>
      <c r="I400" s="20"/>
      <c r="J400" s="20">
        <v>343</v>
      </c>
      <c r="K400" s="20">
        <f t="shared" si="7"/>
        <v>28.583333333333332</v>
      </c>
      <c r="L400" s="20">
        <v>343</v>
      </c>
      <c r="M400" s="20">
        <v>343</v>
      </c>
      <c r="N400" s="20">
        <v>343</v>
      </c>
      <c r="O400" s="20">
        <v>343</v>
      </c>
    </row>
    <row r="401" spans="1:15" s="5" customFormat="1" ht="12.65" customHeight="1">
      <c r="A401" s="22" t="s">
        <v>876</v>
      </c>
      <c r="B401" s="21" t="s">
        <v>877</v>
      </c>
      <c r="C401" s="23" t="s">
        <v>75</v>
      </c>
      <c r="D401" s="23" t="s">
        <v>875</v>
      </c>
      <c r="E401" s="9" t="s">
        <v>78</v>
      </c>
      <c r="F401" s="20" t="s">
        <v>1005</v>
      </c>
      <c r="G401" s="43" t="s">
        <v>6</v>
      </c>
      <c r="H401" s="20">
        <v>2500</v>
      </c>
      <c r="I401" s="20"/>
      <c r="J401" s="20">
        <v>1094</v>
      </c>
      <c r="K401" s="20">
        <f t="shared" si="7"/>
        <v>91.166666666666671</v>
      </c>
      <c r="L401" s="20">
        <v>431</v>
      </c>
      <c r="M401" s="20">
        <v>41967</v>
      </c>
      <c r="N401" s="20">
        <v>0</v>
      </c>
      <c r="O401" s="20">
        <v>2350</v>
      </c>
    </row>
    <row r="402" spans="1:15" s="5" customFormat="1" ht="12.65" customHeight="1">
      <c r="A402" s="22" t="s">
        <v>878</v>
      </c>
      <c r="B402" s="21" t="s">
        <v>879</v>
      </c>
      <c r="C402" s="23" t="s">
        <v>75</v>
      </c>
      <c r="D402" s="23" t="s">
        <v>875</v>
      </c>
      <c r="E402" s="9" t="s">
        <v>78</v>
      </c>
      <c r="F402" s="20" t="s">
        <v>1005</v>
      </c>
      <c r="G402" s="43" t="s">
        <v>6</v>
      </c>
      <c r="H402" s="20">
        <v>2500</v>
      </c>
      <c r="I402" s="20"/>
      <c r="J402" s="20">
        <v>1094</v>
      </c>
      <c r="K402" s="20">
        <f t="shared" si="7"/>
        <v>91.166666666666671</v>
      </c>
      <c r="L402" s="20">
        <v>431</v>
      </c>
      <c r="M402" s="20">
        <v>41967</v>
      </c>
      <c r="N402" s="20">
        <v>0</v>
      </c>
      <c r="O402" s="20">
        <v>2350</v>
      </c>
    </row>
    <row r="403" spans="1:15" s="5" customFormat="1" ht="12.65" customHeight="1">
      <c r="A403" s="22" t="s">
        <v>880</v>
      </c>
      <c r="B403" s="21" t="s">
        <v>881</v>
      </c>
      <c r="C403" s="23" t="s">
        <v>75</v>
      </c>
      <c r="D403" s="23" t="s">
        <v>875</v>
      </c>
      <c r="E403" s="9" t="s">
        <v>78</v>
      </c>
      <c r="F403" s="20" t="s">
        <v>1005</v>
      </c>
      <c r="G403" s="43" t="s">
        <v>6</v>
      </c>
      <c r="H403" s="20">
        <v>4000</v>
      </c>
      <c r="I403" s="20"/>
      <c r="J403" s="20">
        <v>4466</v>
      </c>
      <c r="K403" s="20">
        <f t="shared" si="7"/>
        <v>372.16666666666669</v>
      </c>
      <c r="L403" s="20">
        <v>587</v>
      </c>
      <c r="M403" s="20">
        <v>41967</v>
      </c>
      <c r="N403" s="20">
        <v>0</v>
      </c>
      <c r="O403" s="20">
        <v>12967</v>
      </c>
    </row>
    <row r="404" spans="1:15" s="5" customFormat="1" ht="12.65" customHeight="1">
      <c r="A404" s="22" t="s">
        <v>882</v>
      </c>
      <c r="B404" s="21" t="s">
        <v>883</v>
      </c>
      <c r="C404" s="23" t="s">
        <v>75</v>
      </c>
      <c r="D404" s="23" t="s">
        <v>875</v>
      </c>
      <c r="E404" s="9" t="s">
        <v>78</v>
      </c>
      <c r="F404" s="20" t="s">
        <v>989</v>
      </c>
      <c r="G404" s="43" t="s">
        <v>6</v>
      </c>
      <c r="H404" s="20">
        <v>2500</v>
      </c>
      <c r="I404" s="20"/>
      <c r="J404" s="20">
        <v>1312</v>
      </c>
      <c r="K404" s="20">
        <f t="shared" si="7"/>
        <v>109.33333333333333</v>
      </c>
      <c r="L404" s="20">
        <v>441</v>
      </c>
      <c r="M404" s="20">
        <v>43331</v>
      </c>
      <c r="N404" s="20">
        <v>0</v>
      </c>
      <c r="O404" s="20">
        <v>2935</v>
      </c>
    </row>
    <row r="405" spans="1:15" s="5" customFormat="1" ht="12.65" customHeight="1">
      <c r="A405" s="22" t="s">
        <v>884</v>
      </c>
      <c r="B405" s="21" t="s">
        <v>885</v>
      </c>
      <c r="C405" s="23" t="s">
        <v>75</v>
      </c>
      <c r="D405" s="23" t="s">
        <v>875</v>
      </c>
      <c r="E405" s="9" t="s">
        <v>78</v>
      </c>
      <c r="F405" s="20" t="s">
        <v>1007</v>
      </c>
      <c r="G405" s="43" t="s">
        <v>6</v>
      </c>
      <c r="H405" s="20">
        <v>3000</v>
      </c>
      <c r="I405" s="20"/>
      <c r="J405" s="20">
        <v>3263</v>
      </c>
      <c r="K405" s="20">
        <f t="shared" si="7"/>
        <v>271.91666666666669</v>
      </c>
      <c r="L405" s="20">
        <v>634</v>
      </c>
      <c r="M405" s="20">
        <v>43971</v>
      </c>
      <c r="N405" s="20">
        <v>0</v>
      </c>
      <c r="O405" s="20">
        <v>9016</v>
      </c>
    </row>
    <row r="406" spans="1:15" s="5" customFormat="1" ht="12.65" customHeight="1">
      <c r="A406" s="22" t="s">
        <v>886</v>
      </c>
      <c r="B406" s="21" t="s">
        <v>887</v>
      </c>
      <c r="C406" s="23" t="s">
        <v>75</v>
      </c>
      <c r="D406" s="23" t="s">
        <v>875</v>
      </c>
      <c r="E406" s="9" t="s">
        <v>78</v>
      </c>
      <c r="F406" s="20" t="s">
        <v>1007</v>
      </c>
      <c r="G406" s="43" t="s">
        <v>6</v>
      </c>
      <c r="H406" s="20">
        <v>3000</v>
      </c>
      <c r="I406" s="20"/>
      <c r="J406" s="20">
        <v>3263</v>
      </c>
      <c r="K406" s="20">
        <f t="shared" si="7"/>
        <v>271.91666666666669</v>
      </c>
      <c r="L406" s="20">
        <v>634</v>
      </c>
      <c r="M406" s="20">
        <v>43971</v>
      </c>
      <c r="N406" s="20">
        <v>0</v>
      </c>
      <c r="O406" s="20">
        <v>9016</v>
      </c>
    </row>
    <row r="407" spans="1:15" s="5" customFormat="1" ht="12.65" customHeight="1">
      <c r="A407" s="22" t="s">
        <v>888</v>
      </c>
      <c r="B407" s="21" t="s">
        <v>889</v>
      </c>
      <c r="C407" s="23" t="s">
        <v>75</v>
      </c>
      <c r="D407" s="23" t="s">
        <v>875</v>
      </c>
      <c r="E407" s="9" t="s">
        <v>78</v>
      </c>
      <c r="F407" s="20" t="s">
        <v>989</v>
      </c>
      <c r="G407" s="43" t="s">
        <v>6</v>
      </c>
      <c r="H407" s="20">
        <v>3000</v>
      </c>
      <c r="I407" s="20"/>
      <c r="J407" s="20">
        <v>2885</v>
      </c>
      <c r="K407" s="20">
        <f t="shared" si="7"/>
        <v>240.41666666666666</v>
      </c>
      <c r="L407" s="20">
        <v>843</v>
      </c>
      <c r="M407" s="20">
        <v>43331</v>
      </c>
      <c r="N407" s="20">
        <v>0</v>
      </c>
      <c r="O407" s="20">
        <v>6637</v>
      </c>
    </row>
    <row r="408" spans="1:15" s="5" customFormat="1" ht="12.65" customHeight="1">
      <c r="A408" s="22" t="s">
        <v>890</v>
      </c>
      <c r="B408" s="21" t="s">
        <v>891</v>
      </c>
      <c r="C408" s="23" t="s">
        <v>75</v>
      </c>
      <c r="D408" s="23" t="s">
        <v>875</v>
      </c>
      <c r="E408" s="9" t="s">
        <v>78</v>
      </c>
      <c r="F408" s="20" t="s">
        <v>989</v>
      </c>
      <c r="G408" s="43" t="s">
        <v>6</v>
      </c>
      <c r="H408" s="20">
        <v>2500</v>
      </c>
      <c r="I408" s="20"/>
      <c r="J408" s="20">
        <v>1312</v>
      </c>
      <c r="K408" s="20">
        <f t="shared" si="7"/>
        <v>109.33333333333333</v>
      </c>
      <c r="L408" s="20">
        <v>441</v>
      </c>
      <c r="M408" s="20">
        <v>43331</v>
      </c>
      <c r="N408" s="20">
        <v>0</v>
      </c>
      <c r="O408" s="20">
        <v>2935</v>
      </c>
    </row>
    <row r="409" spans="1:15" s="5" customFormat="1" ht="12.65" customHeight="1">
      <c r="A409" s="22" t="s">
        <v>892</v>
      </c>
      <c r="B409" s="21" t="s">
        <v>893</v>
      </c>
      <c r="C409" s="23" t="s">
        <v>75</v>
      </c>
      <c r="D409" s="23" t="s">
        <v>875</v>
      </c>
      <c r="E409" s="9" t="s">
        <v>78</v>
      </c>
      <c r="F409" s="20" t="s">
        <v>989</v>
      </c>
      <c r="G409" s="43" t="s">
        <v>11</v>
      </c>
      <c r="H409" s="20">
        <v>3500</v>
      </c>
      <c r="I409" s="20"/>
      <c r="J409" s="20">
        <v>0</v>
      </c>
      <c r="K409" s="20">
        <f t="shared" si="7"/>
        <v>0</v>
      </c>
      <c r="L409" s="20">
        <v>0</v>
      </c>
      <c r="M409" s="20">
        <v>30660</v>
      </c>
      <c r="N409" s="20">
        <v>0</v>
      </c>
      <c r="O409" s="20">
        <v>0</v>
      </c>
    </row>
    <row r="410" spans="1:15" s="5" customFormat="1" ht="12.65" customHeight="1">
      <c r="A410" s="22" t="s">
        <v>908</v>
      </c>
      <c r="B410" s="21" t="s">
        <v>909</v>
      </c>
      <c r="C410" s="23" t="s">
        <v>75</v>
      </c>
      <c r="D410" s="23" t="s">
        <v>875</v>
      </c>
      <c r="E410" s="9" t="s">
        <v>78</v>
      </c>
      <c r="F410" s="20" t="s">
        <v>1007</v>
      </c>
      <c r="G410" s="43" t="s">
        <v>6</v>
      </c>
      <c r="H410" s="20">
        <v>5500</v>
      </c>
      <c r="I410" s="20"/>
      <c r="J410" s="20">
        <v>8491</v>
      </c>
      <c r="K410" s="20">
        <f t="shared" si="7"/>
        <v>707.58333333333337</v>
      </c>
      <c r="L410" s="20">
        <v>1154</v>
      </c>
      <c r="M410" s="20">
        <v>43971</v>
      </c>
      <c r="N410" s="20">
        <v>0</v>
      </c>
      <c r="O410" s="20">
        <v>24995</v>
      </c>
    </row>
    <row r="411" spans="1:15" s="5" customFormat="1" ht="12.65" customHeight="1">
      <c r="A411" s="22" t="s">
        <v>896</v>
      </c>
      <c r="B411" s="21" t="s">
        <v>897</v>
      </c>
      <c r="C411" s="23" t="s">
        <v>75</v>
      </c>
      <c r="D411" s="23" t="s">
        <v>875</v>
      </c>
      <c r="E411" s="9" t="s">
        <v>78</v>
      </c>
      <c r="F411" s="20" t="s">
        <v>989</v>
      </c>
      <c r="G411" s="43" t="s">
        <v>6</v>
      </c>
      <c r="H411" s="20">
        <v>6500</v>
      </c>
      <c r="I411" s="20"/>
      <c r="J411" s="20">
        <v>12287</v>
      </c>
      <c r="K411" s="20">
        <f t="shared" si="7"/>
        <v>1023.9166666666666</v>
      </c>
      <c r="L411" s="20">
        <v>1685</v>
      </c>
      <c r="M411" s="20">
        <v>43331</v>
      </c>
      <c r="N411" s="20">
        <v>0</v>
      </c>
      <c r="O411" s="20">
        <v>36982</v>
      </c>
    </row>
    <row r="412" spans="1:15" s="5" customFormat="1" ht="12.65" customHeight="1">
      <c r="A412" s="22" t="s">
        <v>898</v>
      </c>
      <c r="B412" s="21" t="s">
        <v>899</v>
      </c>
      <c r="C412" s="23" t="s">
        <v>75</v>
      </c>
      <c r="D412" s="23" t="s">
        <v>875</v>
      </c>
      <c r="E412" s="9" t="s">
        <v>78</v>
      </c>
      <c r="F412" s="20" t="s">
        <v>989</v>
      </c>
      <c r="G412" s="43" t="s">
        <v>6</v>
      </c>
      <c r="H412" s="20">
        <v>4500</v>
      </c>
      <c r="I412" s="20"/>
      <c r="J412" s="20">
        <v>7535</v>
      </c>
      <c r="K412" s="20">
        <f t="shared" si="7"/>
        <v>627.91666666666663</v>
      </c>
      <c r="L412" s="20">
        <v>908</v>
      </c>
      <c r="M412" s="20">
        <v>43331</v>
      </c>
      <c r="N412" s="20">
        <v>0</v>
      </c>
      <c r="O412" s="20">
        <v>21687</v>
      </c>
    </row>
    <row r="413" spans="1:15" s="5" customFormat="1" ht="12.65" customHeight="1">
      <c r="A413" s="22" t="s">
        <v>900</v>
      </c>
      <c r="B413" s="21" t="s">
        <v>901</v>
      </c>
      <c r="C413" s="23" t="s">
        <v>75</v>
      </c>
      <c r="D413" s="23" t="s">
        <v>875</v>
      </c>
      <c r="E413" s="9" t="s">
        <v>78</v>
      </c>
      <c r="F413" s="20" t="s">
        <v>989</v>
      </c>
      <c r="G413" s="43" t="s">
        <v>6</v>
      </c>
      <c r="H413" s="20">
        <v>4000</v>
      </c>
      <c r="I413" s="20"/>
      <c r="J413" s="20">
        <v>3889</v>
      </c>
      <c r="K413" s="20">
        <f t="shared" si="7"/>
        <v>324.08333333333331</v>
      </c>
      <c r="L413" s="20">
        <v>734</v>
      </c>
      <c r="M413" s="20">
        <v>43331</v>
      </c>
      <c r="N413" s="20">
        <v>0</v>
      </c>
      <c r="O413" s="20">
        <v>9429</v>
      </c>
    </row>
    <row r="414" spans="1:15" s="5" customFormat="1" ht="12.65" customHeight="1">
      <c r="A414" s="22" t="s">
        <v>902</v>
      </c>
      <c r="B414" s="21" t="s">
        <v>903</v>
      </c>
      <c r="C414" s="23" t="s">
        <v>75</v>
      </c>
      <c r="D414" s="23" t="s">
        <v>875</v>
      </c>
      <c r="E414" s="9" t="s">
        <v>78</v>
      </c>
      <c r="F414" s="20" t="s">
        <v>1007</v>
      </c>
      <c r="G414" s="44" t="s">
        <v>11</v>
      </c>
      <c r="H414" s="45">
        <v>3250</v>
      </c>
      <c r="I414" s="45"/>
      <c r="J414" s="45">
        <v>0</v>
      </c>
      <c r="K414" s="20">
        <f t="shared" si="7"/>
        <v>0</v>
      </c>
      <c r="L414" s="45">
        <v>0</v>
      </c>
      <c r="M414" s="20">
        <v>28470</v>
      </c>
      <c r="N414" s="45">
        <v>0</v>
      </c>
      <c r="O414" s="45">
        <v>0</v>
      </c>
    </row>
    <row r="415" spans="1:15" s="5" customFormat="1" ht="12.65" customHeight="1">
      <c r="A415" s="22" t="s">
        <v>904</v>
      </c>
      <c r="B415" s="21" t="s">
        <v>905</v>
      </c>
      <c r="C415" s="23" t="s">
        <v>75</v>
      </c>
      <c r="D415" s="23" t="s">
        <v>875</v>
      </c>
      <c r="E415" s="9" t="s">
        <v>78</v>
      </c>
      <c r="F415" s="20" t="s">
        <v>1007</v>
      </c>
      <c r="G415" s="43" t="s">
        <v>6</v>
      </c>
      <c r="H415" s="20">
        <v>3500</v>
      </c>
      <c r="I415" s="20"/>
      <c r="J415" s="20">
        <v>2465</v>
      </c>
      <c r="K415" s="20">
        <f t="shared" si="7"/>
        <v>205.41666666666666</v>
      </c>
      <c r="L415" s="20">
        <v>446</v>
      </c>
      <c r="M415" s="20">
        <v>43971</v>
      </c>
      <c r="N415" s="20">
        <v>0</v>
      </c>
      <c r="O415" s="20">
        <v>6610</v>
      </c>
    </row>
    <row r="416" spans="1:15" s="5" customFormat="1" ht="12.65" customHeight="1">
      <c r="A416" s="22" t="s">
        <v>906</v>
      </c>
      <c r="B416" s="21" t="s">
        <v>907</v>
      </c>
      <c r="C416" s="23" t="s">
        <v>75</v>
      </c>
      <c r="D416" s="23" t="s">
        <v>875</v>
      </c>
      <c r="E416" s="9" t="s">
        <v>78</v>
      </c>
      <c r="F416" s="20" t="s">
        <v>1007</v>
      </c>
      <c r="G416" s="43" t="s">
        <v>6</v>
      </c>
      <c r="H416" s="20">
        <v>3500</v>
      </c>
      <c r="I416" s="20"/>
      <c r="J416" s="20">
        <v>2465</v>
      </c>
      <c r="K416" s="20">
        <f t="shared" si="7"/>
        <v>205.41666666666666</v>
      </c>
      <c r="L416" s="20">
        <v>446</v>
      </c>
      <c r="M416" s="20">
        <v>43971</v>
      </c>
      <c r="N416" s="20">
        <v>0</v>
      </c>
      <c r="O416" s="20">
        <v>6610</v>
      </c>
    </row>
    <row r="417" spans="1:15" s="5" customFormat="1" ht="12.65" customHeight="1">
      <c r="A417" s="22" t="s">
        <v>598</v>
      </c>
      <c r="B417" s="21" t="s">
        <v>599</v>
      </c>
      <c r="C417" s="23" t="s">
        <v>75</v>
      </c>
      <c r="D417" s="23" t="s">
        <v>77</v>
      </c>
      <c r="E417" s="9" t="s">
        <v>78</v>
      </c>
      <c r="F417" s="20" t="s">
        <v>1007</v>
      </c>
      <c r="G417" s="43" t="s">
        <v>6</v>
      </c>
      <c r="H417" s="20">
        <v>6500</v>
      </c>
      <c r="I417" s="20"/>
      <c r="J417" s="20">
        <v>12309</v>
      </c>
      <c r="K417" s="20">
        <f t="shared" si="7"/>
        <v>1025.75</v>
      </c>
      <c r="L417" s="20">
        <v>1659</v>
      </c>
      <c r="M417" s="20">
        <v>43971</v>
      </c>
      <c r="N417" s="20">
        <v>0</v>
      </c>
      <c r="O417" s="20">
        <v>36302</v>
      </c>
    </row>
    <row r="418" spans="1:15" s="5" customFormat="1" ht="12.65" customHeight="1">
      <c r="A418" s="22" t="s">
        <v>910</v>
      </c>
      <c r="B418" s="21" t="s">
        <v>911</v>
      </c>
      <c r="C418" s="23" t="s">
        <v>75</v>
      </c>
      <c r="D418" s="23" t="s">
        <v>875</v>
      </c>
      <c r="E418" s="9" t="s">
        <v>78</v>
      </c>
      <c r="F418" s="20" t="s">
        <v>1007</v>
      </c>
      <c r="G418" s="43" t="s">
        <v>6</v>
      </c>
      <c r="H418" s="20">
        <v>3500</v>
      </c>
      <c r="I418" s="20"/>
      <c r="J418" s="20">
        <v>2465</v>
      </c>
      <c r="K418" s="20">
        <f t="shared" si="7"/>
        <v>205.41666666666666</v>
      </c>
      <c r="L418" s="20">
        <v>446</v>
      </c>
      <c r="M418" s="20">
        <v>43971</v>
      </c>
      <c r="N418" s="20">
        <v>0</v>
      </c>
      <c r="O418" s="20">
        <v>6610</v>
      </c>
    </row>
    <row r="419" spans="1:15" s="5" customFormat="1" ht="12.65" customHeight="1">
      <c r="A419" s="22" t="s">
        <v>912</v>
      </c>
      <c r="B419" s="21" t="s">
        <v>913</v>
      </c>
      <c r="C419" s="23" t="s">
        <v>75</v>
      </c>
      <c r="D419" s="23" t="s">
        <v>875</v>
      </c>
      <c r="E419" s="9" t="s">
        <v>78</v>
      </c>
      <c r="F419" s="20" t="s">
        <v>1007</v>
      </c>
      <c r="G419" s="43" t="s">
        <v>6</v>
      </c>
      <c r="H419" s="20">
        <v>4500</v>
      </c>
      <c r="I419" s="20"/>
      <c r="J419" s="20">
        <v>7979</v>
      </c>
      <c r="K419" s="20">
        <f t="shared" si="7"/>
        <v>664.91666666666663</v>
      </c>
      <c r="L419" s="20">
        <v>1406</v>
      </c>
      <c r="M419" s="20">
        <v>43971</v>
      </c>
      <c r="N419" s="20">
        <v>0</v>
      </c>
      <c r="O419" s="20">
        <v>19852</v>
      </c>
    </row>
    <row r="420" spans="1:15" s="5" customFormat="1" ht="12.65" customHeight="1">
      <c r="A420" s="22" t="s">
        <v>866</v>
      </c>
      <c r="B420" s="21" t="s">
        <v>867</v>
      </c>
      <c r="C420" s="23" t="s">
        <v>75</v>
      </c>
      <c r="D420" s="23" t="s">
        <v>77</v>
      </c>
      <c r="E420" s="9" t="s">
        <v>78</v>
      </c>
      <c r="F420" s="20" t="s">
        <v>1006</v>
      </c>
      <c r="G420" s="43" t="s">
        <v>6</v>
      </c>
      <c r="H420" s="20">
        <v>3000</v>
      </c>
      <c r="I420" s="20"/>
      <c r="J420" s="20">
        <v>3866</v>
      </c>
      <c r="K420" s="20">
        <f t="shared" si="7"/>
        <v>322.16666666666669</v>
      </c>
      <c r="L420" s="20">
        <v>682</v>
      </c>
      <c r="M420" s="20">
        <v>40792</v>
      </c>
      <c r="N420" s="20">
        <v>0</v>
      </c>
      <c r="O420" s="20">
        <v>10034</v>
      </c>
    </row>
    <row r="421" spans="1:15" s="5" customFormat="1" ht="12.65" customHeight="1">
      <c r="A421" s="22" t="s">
        <v>916</v>
      </c>
      <c r="B421" s="21" t="s">
        <v>917</v>
      </c>
      <c r="C421" s="23" t="s">
        <v>75</v>
      </c>
      <c r="D421" s="23" t="s">
        <v>875</v>
      </c>
      <c r="E421" s="9" t="s">
        <v>78</v>
      </c>
      <c r="F421" s="20" t="s">
        <v>1007</v>
      </c>
      <c r="G421" s="43" t="s">
        <v>6</v>
      </c>
      <c r="H421" s="20">
        <v>3500</v>
      </c>
      <c r="I421" s="20"/>
      <c r="J421" s="20">
        <v>2465</v>
      </c>
      <c r="K421" s="20">
        <f t="shared" si="7"/>
        <v>205.41666666666666</v>
      </c>
      <c r="L421" s="20">
        <v>446</v>
      </c>
      <c r="M421" s="20">
        <v>43971</v>
      </c>
      <c r="N421" s="20">
        <v>0</v>
      </c>
      <c r="O421" s="20">
        <v>6610</v>
      </c>
    </row>
    <row r="422" spans="1:15" s="5" customFormat="1" ht="12.65" customHeight="1">
      <c r="A422" s="22" t="s">
        <v>919</v>
      </c>
      <c r="B422" s="21" t="s">
        <v>920</v>
      </c>
      <c r="C422" s="23" t="s">
        <v>75</v>
      </c>
      <c r="D422" s="23" t="s">
        <v>918</v>
      </c>
      <c r="E422" s="9" t="s">
        <v>78</v>
      </c>
      <c r="F422" s="20" t="s">
        <v>989</v>
      </c>
      <c r="G422" s="43" t="s">
        <v>6</v>
      </c>
      <c r="H422" s="20">
        <v>8500</v>
      </c>
      <c r="I422" s="20"/>
      <c r="J422" s="20">
        <v>19832</v>
      </c>
      <c r="K422" s="20">
        <f t="shared" si="7"/>
        <v>1652.6666666666667</v>
      </c>
      <c r="L422" s="20">
        <v>19832</v>
      </c>
      <c r="M422" s="20">
        <v>19832</v>
      </c>
      <c r="N422" s="20">
        <v>19832</v>
      </c>
      <c r="O422" s="20">
        <v>19832</v>
      </c>
    </row>
    <row r="423" spans="1:15" s="5" customFormat="1" ht="12.65" customHeight="1">
      <c r="A423" s="22" t="s">
        <v>921</v>
      </c>
      <c r="B423" s="21" t="s">
        <v>922</v>
      </c>
      <c r="C423" s="23" t="s">
        <v>75</v>
      </c>
      <c r="D423" s="23" t="s">
        <v>918</v>
      </c>
      <c r="E423" s="9" t="s">
        <v>78</v>
      </c>
      <c r="F423" s="20" t="s">
        <v>989</v>
      </c>
      <c r="G423" s="43" t="s">
        <v>6</v>
      </c>
      <c r="H423" s="20">
        <v>5000</v>
      </c>
      <c r="I423" s="20"/>
      <c r="J423" s="20">
        <v>5303</v>
      </c>
      <c r="K423" s="20">
        <f t="shared" si="7"/>
        <v>441.91666666666669</v>
      </c>
      <c r="L423" s="20">
        <v>770</v>
      </c>
      <c r="M423" s="20">
        <v>43331</v>
      </c>
      <c r="N423" s="20">
        <v>0</v>
      </c>
      <c r="O423" s="20">
        <v>15753</v>
      </c>
    </row>
    <row r="424" spans="1:15" s="5" customFormat="1" ht="12.65" customHeight="1">
      <c r="A424" s="22" t="s">
        <v>923</v>
      </c>
      <c r="B424" s="21" t="s">
        <v>924</v>
      </c>
      <c r="C424" s="23" t="s">
        <v>75</v>
      </c>
      <c r="D424" s="23" t="s">
        <v>918</v>
      </c>
      <c r="E424" s="9" t="s">
        <v>78</v>
      </c>
      <c r="F424" s="20" t="s">
        <v>989</v>
      </c>
      <c r="G424" s="43" t="s">
        <v>6</v>
      </c>
      <c r="H424" s="20">
        <v>6500</v>
      </c>
      <c r="I424" s="20"/>
      <c r="J424" s="20">
        <v>13650</v>
      </c>
      <c r="K424" s="20">
        <f t="shared" si="7"/>
        <v>1137.5</v>
      </c>
      <c r="L424" s="20">
        <v>2257</v>
      </c>
      <c r="M424" s="20">
        <v>43331</v>
      </c>
      <c r="N424" s="20">
        <v>0</v>
      </c>
      <c r="O424" s="20">
        <v>34750</v>
      </c>
    </row>
    <row r="425" spans="1:15" s="5" customFormat="1" ht="12.65" customHeight="1">
      <c r="A425" s="22" t="s">
        <v>925</v>
      </c>
      <c r="B425" s="21" t="s">
        <v>926</v>
      </c>
      <c r="C425" s="23" t="s">
        <v>75</v>
      </c>
      <c r="D425" s="23" t="s">
        <v>918</v>
      </c>
      <c r="E425" s="9" t="s">
        <v>78</v>
      </c>
      <c r="F425" s="20" t="s">
        <v>989</v>
      </c>
      <c r="G425" s="43" t="s">
        <v>6</v>
      </c>
      <c r="H425" s="20">
        <v>4000</v>
      </c>
      <c r="I425" s="20"/>
      <c r="J425" s="20">
        <v>3843</v>
      </c>
      <c r="K425" s="20">
        <f t="shared" si="7"/>
        <v>320.25</v>
      </c>
      <c r="L425" s="20">
        <v>1002</v>
      </c>
      <c r="M425" s="20">
        <v>43331</v>
      </c>
      <c r="N425" s="20">
        <v>0</v>
      </c>
      <c r="O425" s="20">
        <v>9020</v>
      </c>
    </row>
    <row r="426" spans="1:15" s="5" customFormat="1" ht="12.65" customHeight="1">
      <c r="A426" s="22" t="s">
        <v>927</v>
      </c>
      <c r="B426" s="21" t="s">
        <v>928</v>
      </c>
      <c r="C426" s="23" t="s">
        <v>75</v>
      </c>
      <c r="D426" s="23" t="s">
        <v>929</v>
      </c>
      <c r="E426" s="9" t="s">
        <v>78</v>
      </c>
      <c r="F426" s="20" t="s">
        <v>989</v>
      </c>
      <c r="G426" s="43" t="s">
        <v>6</v>
      </c>
      <c r="H426" s="20">
        <v>3500</v>
      </c>
      <c r="I426" s="20"/>
      <c r="J426" s="20">
        <v>2711</v>
      </c>
      <c r="K426" s="20">
        <f t="shared" si="7"/>
        <v>225.91666666666666</v>
      </c>
      <c r="L426" s="20">
        <v>542</v>
      </c>
      <c r="M426" s="20">
        <v>43331</v>
      </c>
      <c r="N426" s="20">
        <v>0</v>
      </c>
      <c r="O426" s="20">
        <v>6433</v>
      </c>
    </row>
    <row r="427" spans="1:15" s="5" customFormat="1" ht="12.65" customHeight="1">
      <c r="A427" s="22" t="s">
        <v>930</v>
      </c>
      <c r="B427" s="21" t="s">
        <v>931</v>
      </c>
      <c r="C427" s="23" t="s">
        <v>75</v>
      </c>
      <c r="D427" s="23" t="s">
        <v>929</v>
      </c>
      <c r="E427" s="9" t="s">
        <v>78</v>
      </c>
      <c r="F427" s="20" t="s">
        <v>989</v>
      </c>
      <c r="G427" s="43" t="s">
        <v>12</v>
      </c>
      <c r="H427" s="20">
        <v>2500</v>
      </c>
      <c r="I427" s="20"/>
      <c r="J427" s="20">
        <v>275</v>
      </c>
      <c r="K427" s="20">
        <f t="shared" si="7"/>
        <v>22.916666666666668</v>
      </c>
      <c r="L427" s="20">
        <v>275</v>
      </c>
      <c r="M427" s="20">
        <v>275</v>
      </c>
      <c r="N427" s="20">
        <v>275</v>
      </c>
      <c r="O427" s="20">
        <v>275</v>
      </c>
    </row>
    <row r="428" spans="1:15" s="5" customFormat="1" ht="12.65" customHeight="1">
      <c r="A428" s="22" t="s">
        <v>932</v>
      </c>
      <c r="B428" s="21" t="s">
        <v>933</v>
      </c>
      <c r="C428" s="23" t="s">
        <v>75</v>
      </c>
      <c r="D428" s="23" t="s">
        <v>929</v>
      </c>
      <c r="E428" s="9" t="s">
        <v>78</v>
      </c>
      <c r="F428" s="20" t="s">
        <v>989</v>
      </c>
      <c r="G428" s="43" t="s">
        <v>6</v>
      </c>
      <c r="H428" s="20">
        <v>5000</v>
      </c>
      <c r="I428" s="20"/>
      <c r="J428" s="20">
        <v>5738</v>
      </c>
      <c r="K428" s="20">
        <f t="shared" si="7"/>
        <v>478.16666666666669</v>
      </c>
      <c r="L428" s="20">
        <v>1019</v>
      </c>
      <c r="M428" s="20">
        <v>43331</v>
      </c>
      <c r="N428" s="20">
        <v>0</v>
      </c>
      <c r="O428" s="20">
        <v>14235</v>
      </c>
    </row>
    <row r="429" spans="1:15" s="5" customFormat="1" ht="12.65" customHeight="1">
      <c r="A429" s="22" t="s">
        <v>934</v>
      </c>
      <c r="B429" s="21" t="s">
        <v>935</v>
      </c>
      <c r="C429" s="23" t="s">
        <v>75</v>
      </c>
      <c r="D429" s="23" t="s">
        <v>929</v>
      </c>
      <c r="E429" s="9" t="s">
        <v>78</v>
      </c>
      <c r="F429" s="20" t="s">
        <v>989</v>
      </c>
      <c r="G429" s="43" t="s">
        <v>6</v>
      </c>
      <c r="H429" s="20">
        <v>4000</v>
      </c>
      <c r="I429" s="20"/>
      <c r="J429" s="20">
        <v>3889</v>
      </c>
      <c r="K429" s="20">
        <f t="shared" si="7"/>
        <v>324.08333333333331</v>
      </c>
      <c r="L429" s="20">
        <v>734</v>
      </c>
      <c r="M429" s="20">
        <v>43331</v>
      </c>
      <c r="N429" s="20">
        <v>0</v>
      </c>
      <c r="O429" s="20">
        <v>9429</v>
      </c>
    </row>
    <row r="430" spans="1:15" s="5" customFormat="1" ht="12.65" customHeight="1">
      <c r="A430" s="22" t="s">
        <v>936</v>
      </c>
      <c r="B430" s="21" t="s">
        <v>937</v>
      </c>
      <c r="C430" s="23" t="s">
        <v>75</v>
      </c>
      <c r="D430" s="23" t="s">
        <v>929</v>
      </c>
      <c r="E430" s="9" t="s">
        <v>78</v>
      </c>
      <c r="F430" s="20" t="s">
        <v>989</v>
      </c>
      <c r="G430" s="43" t="s">
        <v>6</v>
      </c>
      <c r="H430" s="20">
        <v>4000</v>
      </c>
      <c r="I430" s="20"/>
      <c r="J430" s="20">
        <v>3607</v>
      </c>
      <c r="K430" s="20">
        <f t="shared" si="7"/>
        <v>300.58333333333331</v>
      </c>
      <c r="L430" s="20">
        <v>588</v>
      </c>
      <c r="M430" s="20">
        <v>43331</v>
      </c>
      <c r="N430" s="20">
        <v>0</v>
      </c>
      <c r="O430" s="20">
        <v>10396</v>
      </c>
    </row>
    <row r="431" spans="1:15" s="5" customFormat="1" ht="12.65" customHeight="1">
      <c r="A431" s="22" t="s">
        <v>938</v>
      </c>
      <c r="B431" s="21" t="s">
        <v>939</v>
      </c>
      <c r="C431" s="23" t="s">
        <v>75</v>
      </c>
      <c r="D431" s="23" t="s">
        <v>929</v>
      </c>
      <c r="E431" s="9" t="s">
        <v>78</v>
      </c>
      <c r="F431" s="20" t="s">
        <v>989</v>
      </c>
      <c r="G431" s="43" t="s">
        <v>6</v>
      </c>
      <c r="H431" s="20">
        <v>3500</v>
      </c>
      <c r="I431" s="20"/>
      <c r="J431" s="20">
        <v>2338</v>
      </c>
      <c r="K431" s="20">
        <f t="shared" si="7"/>
        <v>194.83333333333334</v>
      </c>
      <c r="L431" s="20">
        <v>687</v>
      </c>
      <c r="M431" s="20">
        <v>43331</v>
      </c>
      <c r="N431" s="20">
        <v>0</v>
      </c>
      <c r="O431" s="20">
        <v>5372</v>
      </c>
    </row>
    <row r="432" spans="1:15" s="5" customFormat="1" ht="12.65" customHeight="1">
      <c r="A432" s="22" t="s">
        <v>940</v>
      </c>
      <c r="B432" s="21" t="s">
        <v>941</v>
      </c>
      <c r="C432" s="23" t="s">
        <v>75</v>
      </c>
      <c r="D432" s="23" t="s">
        <v>942</v>
      </c>
      <c r="E432" s="9" t="s">
        <v>78</v>
      </c>
      <c r="F432" s="20" t="s">
        <v>989</v>
      </c>
      <c r="G432" s="43" t="s">
        <v>6</v>
      </c>
      <c r="H432" s="20">
        <v>6500</v>
      </c>
      <c r="I432" s="20"/>
      <c r="J432" s="20">
        <v>12287</v>
      </c>
      <c r="K432" s="20">
        <f t="shared" si="7"/>
        <v>1023.9166666666666</v>
      </c>
      <c r="L432" s="20">
        <v>1685</v>
      </c>
      <c r="M432" s="20">
        <v>43331</v>
      </c>
      <c r="N432" s="20">
        <v>0</v>
      </c>
      <c r="O432" s="20">
        <v>36982</v>
      </c>
    </row>
    <row r="433" spans="1:15" s="5" customFormat="1" ht="12.65" customHeight="1">
      <c r="A433" s="22" t="s">
        <v>943</v>
      </c>
      <c r="B433" s="21" t="s">
        <v>944</v>
      </c>
      <c r="C433" s="23" t="s">
        <v>75</v>
      </c>
      <c r="D433" s="23" t="s">
        <v>942</v>
      </c>
      <c r="E433" s="9" t="s">
        <v>78</v>
      </c>
      <c r="F433" s="20" t="s">
        <v>989</v>
      </c>
      <c r="G433" s="43" t="s">
        <v>6</v>
      </c>
      <c r="H433" s="20">
        <v>3000</v>
      </c>
      <c r="I433" s="20"/>
      <c r="J433" s="20">
        <v>2885</v>
      </c>
      <c r="K433" s="20">
        <f t="shared" si="7"/>
        <v>240.41666666666666</v>
      </c>
      <c r="L433" s="20">
        <v>843</v>
      </c>
      <c r="M433" s="20">
        <v>43331</v>
      </c>
      <c r="N433" s="20">
        <v>0</v>
      </c>
      <c r="O433" s="20">
        <v>6637</v>
      </c>
    </row>
    <row r="434" spans="1:15" s="5" customFormat="1" ht="12.65" customHeight="1">
      <c r="A434" s="22" t="s">
        <v>945</v>
      </c>
      <c r="B434" s="21" t="s">
        <v>946</v>
      </c>
      <c r="C434" s="23" t="s">
        <v>75</v>
      </c>
      <c r="D434" s="23" t="s">
        <v>942</v>
      </c>
      <c r="E434" s="9" t="s">
        <v>78</v>
      </c>
      <c r="F434" s="20" t="s">
        <v>989</v>
      </c>
      <c r="G434" s="43" t="s">
        <v>6</v>
      </c>
      <c r="H434" s="20">
        <v>12000</v>
      </c>
      <c r="I434" s="20"/>
      <c r="J434" s="20">
        <v>31347</v>
      </c>
      <c r="K434" s="20">
        <f t="shared" si="7"/>
        <v>2612.25</v>
      </c>
      <c r="L434" s="20">
        <v>31347</v>
      </c>
      <c r="M434" s="20">
        <v>31347</v>
      </c>
      <c r="N434" s="20">
        <v>31347</v>
      </c>
      <c r="O434" s="20">
        <v>31347</v>
      </c>
    </row>
    <row r="435" spans="1:15" s="5" customFormat="1" ht="12.65" customHeight="1">
      <c r="A435" s="22" t="s">
        <v>947</v>
      </c>
      <c r="B435" s="21" t="s">
        <v>948</v>
      </c>
      <c r="C435" s="23" t="s">
        <v>75</v>
      </c>
      <c r="D435" s="23" t="s">
        <v>942</v>
      </c>
      <c r="E435" s="9" t="s">
        <v>78</v>
      </c>
      <c r="F435" s="20" t="s">
        <v>989</v>
      </c>
      <c r="G435" s="43" t="s">
        <v>6</v>
      </c>
      <c r="H435" s="20">
        <v>3500</v>
      </c>
      <c r="I435" s="20"/>
      <c r="J435" s="20">
        <v>2338</v>
      </c>
      <c r="K435" s="20">
        <f t="shared" si="7"/>
        <v>194.83333333333334</v>
      </c>
      <c r="L435" s="20">
        <v>687</v>
      </c>
      <c r="M435" s="20">
        <v>43331</v>
      </c>
      <c r="N435" s="20">
        <v>0</v>
      </c>
      <c r="O435" s="20">
        <v>5372</v>
      </c>
    </row>
    <row r="436" spans="1:15">
      <c r="A436" s="22" t="s">
        <v>949</v>
      </c>
      <c r="B436" s="21" t="s">
        <v>950</v>
      </c>
      <c r="C436" s="23" t="s">
        <v>75</v>
      </c>
      <c r="D436" s="23" t="s">
        <v>942</v>
      </c>
      <c r="E436" s="9" t="s">
        <v>78</v>
      </c>
      <c r="F436" s="20" t="s">
        <v>989</v>
      </c>
      <c r="G436" s="43" t="s">
        <v>6</v>
      </c>
      <c r="H436" s="20">
        <v>4500</v>
      </c>
      <c r="I436" s="18"/>
      <c r="J436" s="20">
        <v>6895</v>
      </c>
      <c r="K436" s="20">
        <f t="shared" si="7"/>
        <v>574.58333333333337</v>
      </c>
      <c r="L436" s="20">
        <v>998</v>
      </c>
      <c r="M436" s="20">
        <v>43331</v>
      </c>
      <c r="N436" s="20">
        <v>0</v>
      </c>
      <c r="O436" s="20">
        <v>20499</v>
      </c>
    </row>
    <row r="437" spans="1:15">
      <c r="A437" s="22" t="s">
        <v>951</v>
      </c>
      <c r="B437" s="21" t="s">
        <v>952</v>
      </c>
      <c r="C437" s="23" t="s">
        <v>75</v>
      </c>
      <c r="D437" s="23" t="s">
        <v>942</v>
      </c>
      <c r="E437" s="9" t="s">
        <v>78</v>
      </c>
      <c r="F437" s="20" t="s">
        <v>989</v>
      </c>
      <c r="G437" s="43" t="s">
        <v>14</v>
      </c>
      <c r="H437" s="20">
        <v>4500</v>
      </c>
      <c r="I437" s="18"/>
      <c r="J437" s="20">
        <v>197</v>
      </c>
      <c r="K437" s="20">
        <f t="shared" si="7"/>
        <v>16.416666666666668</v>
      </c>
      <c r="L437" s="20">
        <v>197</v>
      </c>
      <c r="M437" s="20">
        <v>197</v>
      </c>
      <c r="N437" s="20">
        <v>197</v>
      </c>
      <c r="O437" s="20">
        <v>197</v>
      </c>
    </row>
    <row r="438" spans="1:15">
      <c r="A438" s="22" t="s">
        <v>955</v>
      </c>
      <c r="B438" s="21" t="s">
        <v>956</v>
      </c>
      <c r="C438" s="23" t="s">
        <v>75</v>
      </c>
      <c r="D438" s="23" t="s">
        <v>954</v>
      </c>
      <c r="E438" s="9" t="s">
        <v>78</v>
      </c>
      <c r="F438" s="20" t="s">
        <v>989</v>
      </c>
      <c r="G438" s="43" t="s">
        <v>1</v>
      </c>
      <c r="H438" s="20">
        <v>1000</v>
      </c>
      <c r="I438" s="18"/>
      <c r="J438" s="20">
        <v>1096</v>
      </c>
      <c r="K438" s="20">
        <f t="shared" si="7"/>
        <v>91.333333333333329</v>
      </c>
      <c r="L438" s="20">
        <v>1096</v>
      </c>
      <c r="M438" s="20">
        <v>1096</v>
      </c>
      <c r="N438" s="20">
        <v>1096</v>
      </c>
      <c r="O438" s="20">
        <v>1096</v>
      </c>
    </row>
    <row r="439" spans="1:15">
      <c r="A439" s="22" t="s">
        <v>957</v>
      </c>
      <c r="B439" s="21" t="s">
        <v>958</v>
      </c>
      <c r="C439" s="23" t="s">
        <v>75</v>
      </c>
      <c r="D439" s="23" t="s">
        <v>942</v>
      </c>
      <c r="E439" s="9" t="s">
        <v>78</v>
      </c>
      <c r="F439" s="20" t="s">
        <v>989</v>
      </c>
      <c r="G439" s="43" t="s">
        <v>6</v>
      </c>
      <c r="H439" s="20">
        <v>7500</v>
      </c>
      <c r="I439" s="18"/>
      <c r="J439" s="20">
        <v>17114</v>
      </c>
      <c r="K439" s="20">
        <f t="shared" si="7"/>
        <v>1426.1666666666667</v>
      </c>
      <c r="L439" s="20">
        <v>2785</v>
      </c>
      <c r="M439" s="20">
        <v>43331</v>
      </c>
      <c r="N439" s="20">
        <v>0</v>
      </c>
      <c r="O439" s="20">
        <v>43806</v>
      </c>
    </row>
    <row r="440" spans="1:15">
      <c r="A440" s="22" t="s">
        <v>959</v>
      </c>
      <c r="B440" s="21" t="s">
        <v>960</v>
      </c>
      <c r="C440" s="23" t="s">
        <v>75</v>
      </c>
      <c r="D440" s="23" t="s">
        <v>942</v>
      </c>
      <c r="E440" s="9" t="s">
        <v>78</v>
      </c>
      <c r="F440" s="20" t="s">
        <v>989</v>
      </c>
      <c r="G440" s="43" t="s">
        <v>6</v>
      </c>
      <c r="H440" s="20">
        <v>4500</v>
      </c>
      <c r="I440" s="18"/>
      <c r="J440" s="20">
        <v>6895</v>
      </c>
      <c r="K440" s="20">
        <f t="shared" si="7"/>
        <v>574.58333333333337</v>
      </c>
      <c r="L440" s="20">
        <v>998</v>
      </c>
      <c r="M440" s="20">
        <v>43331</v>
      </c>
      <c r="N440" s="20">
        <v>0</v>
      </c>
      <c r="O440" s="20">
        <v>20499</v>
      </c>
    </row>
    <row r="441" spans="1:15">
      <c r="A441" s="22" t="s">
        <v>961</v>
      </c>
      <c r="B441" s="21" t="s">
        <v>962</v>
      </c>
      <c r="C441" s="23" t="s">
        <v>75</v>
      </c>
      <c r="D441" s="23" t="s">
        <v>963</v>
      </c>
      <c r="E441" s="9" t="s">
        <v>78</v>
      </c>
      <c r="F441" s="20" t="s">
        <v>989</v>
      </c>
      <c r="G441" s="43" t="s">
        <v>60</v>
      </c>
      <c r="H441" s="20">
        <v>1000</v>
      </c>
      <c r="I441" s="18"/>
      <c r="J441" s="20">
        <v>1288</v>
      </c>
      <c r="K441" s="20">
        <f t="shared" si="7"/>
        <v>107.33333333333333</v>
      </c>
      <c r="L441" s="20">
        <v>1288</v>
      </c>
      <c r="M441" s="20">
        <v>1288</v>
      </c>
      <c r="N441" s="20">
        <v>1288</v>
      </c>
      <c r="O441" s="20">
        <v>1288</v>
      </c>
    </row>
    <row r="442" spans="1:15">
      <c r="A442" s="16" t="s">
        <v>973</v>
      </c>
      <c r="B442" s="14" t="s">
        <v>974</v>
      </c>
      <c r="C442" s="10" t="s">
        <v>75</v>
      </c>
      <c r="D442" s="10" t="s">
        <v>953</v>
      </c>
      <c r="E442" s="9" t="s">
        <v>78</v>
      </c>
      <c r="F442" s="20" t="s">
        <v>989</v>
      </c>
      <c r="G442" s="43" t="s">
        <v>6</v>
      </c>
      <c r="H442" s="20">
        <v>4000</v>
      </c>
      <c r="I442" s="18"/>
      <c r="J442" s="20">
        <v>3607</v>
      </c>
      <c r="K442" s="20">
        <f t="shared" si="7"/>
        <v>300.58333333333331</v>
      </c>
      <c r="L442" s="20">
        <v>588</v>
      </c>
      <c r="M442" s="20">
        <v>43331</v>
      </c>
      <c r="N442" s="20">
        <v>0</v>
      </c>
      <c r="O442" s="20">
        <v>10396</v>
      </c>
    </row>
    <row r="443" spans="1:15">
      <c r="A443" s="16" t="s">
        <v>975</v>
      </c>
      <c r="B443" s="14" t="s">
        <v>976</v>
      </c>
      <c r="C443" s="10" t="s">
        <v>75</v>
      </c>
      <c r="D443" s="10" t="s">
        <v>953</v>
      </c>
      <c r="E443" s="9" t="s">
        <v>78</v>
      </c>
      <c r="F443" s="20" t="s">
        <v>989</v>
      </c>
      <c r="G443" s="43" t="s">
        <v>6</v>
      </c>
      <c r="H443" s="20">
        <v>4000</v>
      </c>
      <c r="I443" s="18"/>
      <c r="J443" s="20">
        <v>3607</v>
      </c>
      <c r="K443" s="20">
        <f t="shared" si="7"/>
        <v>300.58333333333331</v>
      </c>
      <c r="L443" s="20">
        <v>588</v>
      </c>
      <c r="M443" s="20">
        <v>43331</v>
      </c>
      <c r="N443" s="20">
        <v>0</v>
      </c>
      <c r="O443" s="20">
        <v>10396</v>
      </c>
    </row>
    <row r="444" spans="1:15">
      <c r="A444" s="16" t="s">
        <v>977</v>
      </c>
      <c r="B444" s="14" t="s">
        <v>978</v>
      </c>
      <c r="C444" s="10" t="s">
        <v>75</v>
      </c>
      <c r="D444" s="10" t="s">
        <v>953</v>
      </c>
      <c r="E444" s="9" t="s">
        <v>78</v>
      </c>
      <c r="F444" s="20" t="s">
        <v>989</v>
      </c>
      <c r="G444" s="43" t="s">
        <v>6</v>
      </c>
      <c r="H444" s="20">
        <v>4000</v>
      </c>
      <c r="I444" s="18"/>
      <c r="J444" s="20">
        <v>3607</v>
      </c>
      <c r="K444" s="20">
        <f t="shared" si="7"/>
        <v>300.58333333333331</v>
      </c>
      <c r="L444" s="20">
        <v>588</v>
      </c>
      <c r="M444" s="20">
        <v>43331</v>
      </c>
      <c r="N444" s="20">
        <v>0</v>
      </c>
      <c r="O444" s="20">
        <v>10396</v>
      </c>
    </row>
    <row r="445" spans="1:15">
      <c r="A445" s="16" t="s">
        <v>979</v>
      </c>
      <c r="B445" s="14" t="s">
        <v>980</v>
      </c>
      <c r="C445" s="10" t="s">
        <v>75</v>
      </c>
      <c r="D445" s="10" t="s">
        <v>953</v>
      </c>
      <c r="E445" s="9" t="s">
        <v>78</v>
      </c>
      <c r="F445" s="20" t="s">
        <v>989</v>
      </c>
      <c r="G445" s="43" t="s">
        <v>6</v>
      </c>
      <c r="H445" s="20">
        <v>4000</v>
      </c>
      <c r="I445" s="18"/>
      <c r="J445" s="20">
        <v>3607</v>
      </c>
      <c r="K445" s="20">
        <f t="shared" si="7"/>
        <v>300.58333333333331</v>
      </c>
      <c r="L445" s="20">
        <v>588</v>
      </c>
      <c r="M445" s="20">
        <v>43331</v>
      </c>
      <c r="N445" s="20">
        <v>0</v>
      </c>
      <c r="O445" s="20">
        <v>10396</v>
      </c>
    </row>
    <row r="446" spans="1:15">
      <c r="A446" s="16" t="s">
        <v>981</v>
      </c>
      <c r="B446" s="14" t="s">
        <v>982</v>
      </c>
      <c r="C446" s="10" t="s">
        <v>160</v>
      </c>
      <c r="D446" s="10" t="s">
        <v>953</v>
      </c>
      <c r="E446" s="9" t="s">
        <v>78</v>
      </c>
      <c r="F446" s="20" t="s">
        <v>989</v>
      </c>
      <c r="G446" s="43" t="s">
        <v>6</v>
      </c>
      <c r="H446" s="20">
        <v>4000</v>
      </c>
      <c r="I446" s="18"/>
      <c r="J446" s="20">
        <v>3607</v>
      </c>
      <c r="K446" s="20">
        <f t="shared" si="7"/>
        <v>300.58333333333331</v>
      </c>
      <c r="L446" s="20">
        <v>588</v>
      </c>
      <c r="M446" s="20">
        <v>43331</v>
      </c>
      <c r="N446" s="20">
        <v>0</v>
      </c>
      <c r="O446" s="20">
        <v>10396</v>
      </c>
    </row>
    <row r="447" spans="1:15">
      <c r="A447" s="16" t="s">
        <v>983</v>
      </c>
      <c r="B447" s="14" t="s">
        <v>984</v>
      </c>
      <c r="C447" s="10" t="s">
        <v>160</v>
      </c>
      <c r="D447" s="10" t="s">
        <v>953</v>
      </c>
      <c r="E447" s="9" t="s">
        <v>78</v>
      </c>
      <c r="F447" s="20" t="s">
        <v>989</v>
      </c>
      <c r="G447" s="43" t="s">
        <v>6</v>
      </c>
      <c r="H447" s="20">
        <v>4000</v>
      </c>
      <c r="I447" s="18"/>
      <c r="J447" s="20">
        <v>3607</v>
      </c>
      <c r="K447" s="20">
        <f t="shared" si="7"/>
        <v>300.58333333333331</v>
      </c>
      <c r="L447" s="20">
        <v>588</v>
      </c>
      <c r="M447" s="20">
        <v>43331</v>
      </c>
      <c r="N447" s="20">
        <v>0</v>
      </c>
      <c r="O447" s="20">
        <v>10396</v>
      </c>
    </row>
    <row r="448" spans="1:15">
      <c r="A448" s="16" t="s">
        <v>985</v>
      </c>
      <c r="B448" s="14" t="s">
        <v>489</v>
      </c>
      <c r="C448" s="10" t="s">
        <v>160</v>
      </c>
      <c r="D448" s="10" t="s">
        <v>953</v>
      </c>
      <c r="E448" s="9" t="s">
        <v>78</v>
      </c>
      <c r="F448" s="20" t="s">
        <v>989</v>
      </c>
      <c r="G448" s="43" t="s">
        <v>6</v>
      </c>
      <c r="H448" s="20">
        <v>4000</v>
      </c>
      <c r="I448" s="18"/>
      <c r="J448" s="20">
        <v>3607</v>
      </c>
      <c r="K448" s="20">
        <f t="shared" si="7"/>
        <v>300.58333333333331</v>
      </c>
      <c r="L448" s="20">
        <v>588</v>
      </c>
      <c r="M448" s="20">
        <v>43331</v>
      </c>
      <c r="N448" s="20">
        <v>0</v>
      </c>
      <c r="O448" s="20">
        <v>10396</v>
      </c>
    </row>
    <row r="449" spans="1:15">
      <c r="A449" s="16" t="s">
        <v>986</v>
      </c>
      <c r="B449" s="14" t="s">
        <v>987</v>
      </c>
      <c r="C449" s="10" t="s">
        <v>160</v>
      </c>
      <c r="D449" s="10" t="s">
        <v>953</v>
      </c>
      <c r="E449" s="9" t="s">
        <v>78</v>
      </c>
      <c r="F449" s="20" t="s">
        <v>989</v>
      </c>
      <c r="G449" s="43" t="s">
        <v>6</v>
      </c>
      <c r="H449" s="20">
        <v>4000</v>
      </c>
      <c r="I449" s="18"/>
      <c r="J449" s="20">
        <v>3607</v>
      </c>
      <c r="K449" s="20">
        <f t="shared" si="7"/>
        <v>300.58333333333331</v>
      </c>
      <c r="L449" s="20">
        <v>588</v>
      </c>
      <c r="M449" s="20">
        <v>43331</v>
      </c>
      <c r="N449" s="20">
        <v>0</v>
      </c>
      <c r="O449" s="20">
        <v>10396</v>
      </c>
    </row>
    <row r="450" spans="1:15" ht="14.5">
      <c r="A450" s="15"/>
      <c r="B450" s="17"/>
    </row>
    <row r="451" spans="1:15" ht="14.5">
      <c r="A451" s="15"/>
      <c r="B451" s="17"/>
    </row>
    <row r="452" spans="1:15" ht="14.5">
      <c r="A452" s="15"/>
      <c r="B452" s="17"/>
    </row>
    <row r="453" spans="1:15" ht="14.5">
      <c r="A453" s="15"/>
      <c r="B453" s="15"/>
    </row>
    <row r="454" spans="1:15" ht="14.5">
      <c r="A454" s="15"/>
      <c r="B454" s="15"/>
    </row>
    <row r="455" spans="1:15" ht="14.5">
      <c r="A455" s="15"/>
      <c r="B455" s="15"/>
    </row>
    <row r="456" spans="1:15" ht="14.5">
      <c r="A456" s="15"/>
      <c r="B456" s="15"/>
    </row>
    <row r="457" spans="1:15" ht="14.5">
      <c r="A457" s="15"/>
      <c r="B457" s="15"/>
    </row>
    <row r="458" spans="1:15" ht="14.5">
      <c r="A458" s="15"/>
      <c r="B458" s="15"/>
    </row>
    <row r="459" spans="1:15" ht="14.5">
      <c r="A459" s="15"/>
      <c r="B459" s="15"/>
    </row>
    <row r="1941" spans="2:2">
      <c r="B1941" s="13"/>
    </row>
    <row r="1949" spans="2:2">
      <c r="B1949" s="13"/>
    </row>
    <row r="1952" spans="2:2">
      <c r="B1952" s="13"/>
    </row>
  </sheetData>
  <autoFilter ref="A6:O449" xr:uid="{CAB43D03-F3FA-46CA-9339-67136B2BFE5C}"/>
  <phoneticPr fontId="10" type="noConversion"/>
  <conditionalFormatting sqref="A1:A1048576">
    <cfRule type="duplicateValues" dxfId="1" priority="1"/>
  </conditionalFormatting>
  <dataValidations disablePrompts="1" count="1">
    <dataValidation type="list" allowBlank="1" showInputMessage="1" showErrorMessage="1" sqref="C7:C421" xr:uid="{8EE7E3BB-8D1F-4EF7-B5E7-175AF1537959}">
      <formula1>"Oui,Non"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18ACE-DFDF-4E6D-BB6A-A30D4C29BEF7}">
  <dimension ref="B2:D43"/>
  <sheetViews>
    <sheetView workbookViewId="0">
      <selection activeCell="L17" sqref="L17"/>
    </sheetView>
  </sheetViews>
  <sheetFormatPr baseColWidth="10" defaultColWidth="8.7265625" defaultRowHeight="14.5"/>
  <cols>
    <col min="3" max="3" width="20.54296875" bestFit="1" customWidth="1"/>
    <col min="4" max="4" width="8.81640625" bestFit="1" customWidth="1"/>
  </cols>
  <sheetData>
    <row r="2" spans="2:4" ht="15" thickBot="1">
      <c r="B2" s="27" t="s">
        <v>1002</v>
      </c>
      <c r="C2" s="28" t="s">
        <v>1003</v>
      </c>
      <c r="D2" s="29" t="s">
        <v>1004</v>
      </c>
    </row>
    <row r="3" spans="2:4">
      <c r="B3" s="30">
        <v>250</v>
      </c>
      <c r="C3" s="31">
        <v>400</v>
      </c>
      <c r="D3" s="32">
        <f t="shared" ref="D3:D43" si="0">CEILING(B3+C3,500)</f>
        <v>1000</v>
      </c>
    </row>
    <row r="4" spans="2:4">
      <c r="B4" s="33">
        <v>500</v>
      </c>
      <c r="C4" s="34">
        <v>400</v>
      </c>
      <c r="D4" s="35">
        <f t="shared" si="0"/>
        <v>1000</v>
      </c>
    </row>
    <row r="5" spans="2:4">
      <c r="B5" s="33">
        <v>750</v>
      </c>
      <c r="C5" s="34">
        <v>400</v>
      </c>
      <c r="D5" s="35">
        <f t="shared" si="0"/>
        <v>1500</v>
      </c>
    </row>
    <row r="6" spans="2:4">
      <c r="B6" s="33">
        <v>1000</v>
      </c>
      <c r="C6" s="34">
        <v>400</v>
      </c>
      <c r="D6" s="35">
        <f t="shared" si="0"/>
        <v>1500</v>
      </c>
    </row>
    <row r="7" spans="2:4">
      <c r="B7" s="33">
        <v>1250</v>
      </c>
      <c r="C7" s="34">
        <v>400</v>
      </c>
      <c r="D7" s="35">
        <f t="shared" si="0"/>
        <v>2000</v>
      </c>
    </row>
    <row r="8" spans="2:4">
      <c r="B8" s="33">
        <v>1500</v>
      </c>
      <c r="C8" s="34">
        <v>400</v>
      </c>
      <c r="D8" s="35">
        <f t="shared" si="0"/>
        <v>2000</v>
      </c>
    </row>
    <row r="9" spans="2:4">
      <c r="B9" s="33">
        <v>1750</v>
      </c>
      <c r="C9" s="34">
        <v>400</v>
      </c>
      <c r="D9" s="35">
        <f t="shared" si="0"/>
        <v>2500</v>
      </c>
    </row>
    <row r="10" spans="2:4">
      <c r="B10" s="33">
        <v>2000</v>
      </c>
      <c r="C10" s="34">
        <v>400</v>
      </c>
      <c r="D10" s="35">
        <f t="shared" si="0"/>
        <v>2500</v>
      </c>
    </row>
    <row r="11" spans="2:4">
      <c r="B11" s="33">
        <v>2250</v>
      </c>
      <c r="C11" s="34">
        <v>400</v>
      </c>
      <c r="D11" s="35">
        <f t="shared" si="0"/>
        <v>3000</v>
      </c>
    </row>
    <row r="12" spans="2:4">
      <c r="B12" s="33">
        <v>2500</v>
      </c>
      <c r="C12" s="34">
        <v>400</v>
      </c>
      <c r="D12" s="35">
        <f t="shared" si="0"/>
        <v>3000</v>
      </c>
    </row>
    <row r="13" spans="2:4">
      <c r="B13" s="33">
        <v>3000</v>
      </c>
      <c r="C13" s="34">
        <v>400</v>
      </c>
      <c r="D13" s="35">
        <f t="shared" si="0"/>
        <v>3500</v>
      </c>
    </row>
    <row r="14" spans="2:4">
      <c r="B14" s="33">
        <v>3500</v>
      </c>
      <c r="C14" s="34">
        <v>400</v>
      </c>
      <c r="D14" s="35">
        <f t="shared" si="0"/>
        <v>4000</v>
      </c>
    </row>
    <row r="15" spans="2:4" ht="15" thickBot="1">
      <c r="B15" s="36">
        <v>4000</v>
      </c>
      <c r="C15" s="37">
        <v>400</v>
      </c>
      <c r="D15" s="38">
        <f t="shared" si="0"/>
        <v>4500</v>
      </c>
    </row>
    <row r="16" spans="2:4">
      <c r="B16" s="30">
        <v>4500</v>
      </c>
      <c r="C16" s="31">
        <v>600</v>
      </c>
      <c r="D16" s="32">
        <f t="shared" si="0"/>
        <v>5500</v>
      </c>
    </row>
    <row r="17" spans="2:4">
      <c r="B17" s="33">
        <v>5000</v>
      </c>
      <c r="C17" s="34">
        <v>600</v>
      </c>
      <c r="D17" s="35">
        <f t="shared" si="0"/>
        <v>6000</v>
      </c>
    </row>
    <row r="18" spans="2:4">
      <c r="B18" s="33">
        <v>5500</v>
      </c>
      <c r="C18" s="34">
        <v>600</v>
      </c>
      <c r="D18" s="35">
        <f t="shared" si="0"/>
        <v>6500</v>
      </c>
    </row>
    <row r="19" spans="2:4">
      <c r="B19" s="33">
        <v>6000</v>
      </c>
      <c r="C19" s="34">
        <v>600</v>
      </c>
      <c r="D19" s="35">
        <f t="shared" si="0"/>
        <v>7000</v>
      </c>
    </row>
    <row r="20" spans="2:4">
      <c r="B20" s="33">
        <v>6500</v>
      </c>
      <c r="C20" s="34">
        <v>600</v>
      </c>
      <c r="D20" s="35">
        <f t="shared" si="0"/>
        <v>7500</v>
      </c>
    </row>
    <row r="21" spans="2:4" ht="15" thickBot="1">
      <c r="B21" s="36">
        <v>7000</v>
      </c>
      <c r="C21" s="37">
        <v>600</v>
      </c>
      <c r="D21" s="38">
        <f t="shared" si="0"/>
        <v>8000</v>
      </c>
    </row>
    <row r="22" spans="2:4">
      <c r="B22" s="30">
        <v>7500</v>
      </c>
      <c r="C22" s="31">
        <v>800</v>
      </c>
      <c r="D22" s="32">
        <f t="shared" si="0"/>
        <v>8500</v>
      </c>
    </row>
    <row r="23" spans="2:4">
      <c r="B23" s="33">
        <v>8000</v>
      </c>
      <c r="C23" s="34">
        <v>800</v>
      </c>
      <c r="D23" s="35">
        <f t="shared" si="0"/>
        <v>9000</v>
      </c>
    </row>
    <row r="24" spans="2:4">
      <c r="B24" s="33">
        <v>8500</v>
      </c>
      <c r="C24" s="34">
        <v>800</v>
      </c>
      <c r="D24" s="35">
        <f t="shared" si="0"/>
        <v>9500</v>
      </c>
    </row>
    <row r="25" spans="2:4">
      <c r="B25" s="33">
        <v>9000</v>
      </c>
      <c r="C25" s="34">
        <v>800</v>
      </c>
      <c r="D25" s="35">
        <f t="shared" si="0"/>
        <v>10000</v>
      </c>
    </row>
    <row r="26" spans="2:4">
      <c r="B26" s="33">
        <v>9500</v>
      </c>
      <c r="C26" s="34">
        <v>800</v>
      </c>
      <c r="D26" s="35">
        <f t="shared" si="0"/>
        <v>10500</v>
      </c>
    </row>
    <row r="27" spans="2:4" ht="15" thickBot="1">
      <c r="B27" s="36">
        <v>10000</v>
      </c>
      <c r="C27" s="37">
        <v>800</v>
      </c>
      <c r="D27" s="38">
        <f t="shared" si="0"/>
        <v>11000</v>
      </c>
    </row>
    <row r="28" spans="2:4">
      <c r="B28" s="30">
        <v>10500</v>
      </c>
      <c r="C28" s="31">
        <v>1000</v>
      </c>
      <c r="D28" s="32">
        <f t="shared" si="0"/>
        <v>11500</v>
      </c>
    </row>
    <row r="29" spans="2:4">
      <c r="B29" s="33">
        <v>12000</v>
      </c>
      <c r="C29" s="34">
        <v>1000</v>
      </c>
      <c r="D29" s="35">
        <f t="shared" si="0"/>
        <v>13000</v>
      </c>
    </row>
    <row r="30" spans="2:4" ht="15" thickBot="1">
      <c r="B30" s="36">
        <v>12500</v>
      </c>
      <c r="C30" s="37">
        <v>1000</v>
      </c>
      <c r="D30" s="38">
        <f t="shared" si="0"/>
        <v>13500</v>
      </c>
    </row>
    <row r="31" spans="2:4">
      <c r="B31" s="39">
        <v>13000</v>
      </c>
      <c r="C31" s="40">
        <v>1500</v>
      </c>
      <c r="D31" s="39">
        <f t="shared" si="0"/>
        <v>14500</v>
      </c>
    </row>
    <row r="32" spans="2:4">
      <c r="B32" s="41">
        <v>14000</v>
      </c>
      <c r="C32" s="34">
        <v>1500</v>
      </c>
      <c r="D32" s="41">
        <f t="shared" si="0"/>
        <v>15500</v>
      </c>
    </row>
    <row r="33" spans="2:4">
      <c r="B33" s="41">
        <v>15000</v>
      </c>
      <c r="C33" s="34">
        <v>1500</v>
      </c>
      <c r="D33" s="41">
        <f t="shared" si="0"/>
        <v>16500</v>
      </c>
    </row>
    <row r="34" spans="2:4">
      <c r="B34" s="42">
        <v>16000</v>
      </c>
      <c r="C34" s="34">
        <v>1500</v>
      </c>
      <c r="D34" s="41">
        <f t="shared" si="0"/>
        <v>17500</v>
      </c>
    </row>
    <row r="35" spans="2:4">
      <c r="B35" s="42">
        <v>17000</v>
      </c>
      <c r="C35" s="34">
        <v>2000</v>
      </c>
      <c r="D35" s="41">
        <f t="shared" si="0"/>
        <v>19000</v>
      </c>
    </row>
    <row r="36" spans="2:4">
      <c r="B36" s="42">
        <v>19000</v>
      </c>
      <c r="C36" s="34">
        <v>2000</v>
      </c>
      <c r="D36" s="41">
        <f t="shared" si="0"/>
        <v>21000</v>
      </c>
    </row>
    <row r="37" spans="2:4">
      <c r="B37" s="42">
        <v>20000</v>
      </c>
      <c r="C37" s="34">
        <v>2000</v>
      </c>
      <c r="D37" s="41">
        <f t="shared" si="0"/>
        <v>22000</v>
      </c>
    </row>
    <row r="38" spans="2:4">
      <c r="B38" s="42">
        <v>21000</v>
      </c>
      <c r="C38" s="34">
        <v>2000</v>
      </c>
      <c r="D38" s="41">
        <f t="shared" si="0"/>
        <v>23000</v>
      </c>
    </row>
    <row r="39" spans="2:4">
      <c r="B39" s="42">
        <v>23000</v>
      </c>
      <c r="C39" s="34">
        <v>3000</v>
      </c>
      <c r="D39" s="41">
        <f t="shared" si="0"/>
        <v>26000</v>
      </c>
    </row>
    <row r="40" spans="2:4">
      <c r="B40" s="42">
        <v>24000</v>
      </c>
      <c r="C40" s="34">
        <v>3000</v>
      </c>
      <c r="D40" s="41">
        <f t="shared" si="0"/>
        <v>27000</v>
      </c>
    </row>
    <row r="41" spans="2:4">
      <c r="B41" s="42">
        <v>25000</v>
      </c>
      <c r="C41" s="34">
        <v>3000</v>
      </c>
      <c r="D41" s="41">
        <f t="shared" si="0"/>
        <v>28000</v>
      </c>
    </row>
    <row r="42" spans="2:4">
      <c r="B42" s="42">
        <v>29000</v>
      </c>
      <c r="C42" s="34">
        <v>3000</v>
      </c>
      <c r="D42" s="41">
        <f t="shared" si="0"/>
        <v>32000</v>
      </c>
    </row>
    <row r="43" spans="2:4">
      <c r="B43" s="42">
        <v>34000</v>
      </c>
      <c r="C43" s="34">
        <v>3000</v>
      </c>
      <c r="D43" s="41">
        <f t="shared" si="0"/>
        <v>37000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0D347-3A2E-4FA8-ACC0-A90ADE33A28A}">
  <sheetPr>
    <tabColor rgb="FF75787B"/>
  </sheetPr>
  <dimension ref="A1:E70"/>
  <sheetViews>
    <sheetView workbookViewId="0">
      <selection activeCell="B23" sqref="B23"/>
    </sheetView>
  </sheetViews>
  <sheetFormatPr baseColWidth="10" defaultColWidth="11.36328125" defaultRowHeight="14.5"/>
  <cols>
    <col min="4" max="4" width="14.08984375" bestFit="1" customWidth="1"/>
  </cols>
  <sheetData>
    <row r="1" spans="1:5">
      <c r="A1" t="s">
        <v>0</v>
      </c>
      <c r="B1">
        <v>250</v>
      </c>
      <c r="C1" t="s">
        <v>98</v>
      </c>
      <c r="D1" t="s">
        <v>76</v>
      </c>
      <c r="E1" t="s">
        <v>75</v>
      </c>
    </row>
    <row r="2" spans="1:5">
      <c r="A2" t="s">
        <v>1</v>
      </c>
      <c r="B2">
        <v>500</v>
      </c>
      <c r="C2" t="s">
        <v>82</v>
      </c>
      <c r="D2" t="s">
        <v>874</v>
      </c>
      <c r="E2" t="s">
        <v>160</v>
      </c>
    </row>
    <row r="3" spans="1:5">
      <c r="A3" t="s">
        <v>2</v>
      </c>
      <c r="B3">
        <v>750</v>
      </c>
      <c r="C3" t="s">
        <v>125</v>
      </c>
      <c r="D3" t="s">
        <v>918</v>
      </c>
    </row>
    <row r="4" spans="1:5">
      <c r="A4" t="s">
        <v>3</v>
      </c>
      <c r="B4">
        <v>1000</v>
      </c>
      <c r="C4" t="s">
        <v>79</v>
      </c>
      <c r="D4" t="s">
        <v>942</v>
      </c>
    </row>
    <row r="5" spans="1:5">
      <c r="A5" t="s">
        <v>4</v>
      </c>
      <c r="B5">
        <v>1250</v>
      </c>
      <c r="D5" t="s">
        <v>953</v>
      </c>
    </row>
    <row r="6" spans="1:5">
      <c r="A6" t="s">
        <v>5</v>
      </c>
      <c r="B6">
        <v>1500</v>
      </c>
      <c r="D6" t="s">
        <v>964</v>
      </c>
    </row>
    <row r="7" spans="1:5">
      <c r="A7" t="s">
        <v>6</v>
      </c>
      <c r="B7">
        <v>1750</v>
      </c>
      <c r="D7" t="s">
        <v>965</v>
      </c>
    </row>
    <row r="8" spans="1:5">
      <c r="A8" t="s">
        <v>7</v>
      </c>
      <c r="B8">
        <v>2000</v>
      </c>
      <c r="D8" t="s">
        <v>966</v>
      </c>
    </row>
    <row r="9" spans="1:5">
      <c r="A9" t="s">
        <v>8</v>
      </c>
      <c r="B9">
        <v>2250</v>
      </c>
      <c r="D9" t="s">
        <v>967</v>
      </c>
    </row>
    <row r="10" spans="1:5">
      <c r="A10" t="s">
        <v>9</v>
      </c>
      <c r="B10">
        <v>2500</v>
      </c>
      <c r="D10" t="s">
        <v>968</v>
      </c>
    </row>
    <row r="11" spans="1:5">
      <c r="A11" t="s">
        <v>10</v>
      </c>
      <c r="B11">
        <v>2750</v>
      </c>
      <c r="D11" t="s">
        <v>969</v>
      </c>
    </row>
    <row r="12" spans="1:5">
      <c r="A12" t="s">
        <v>11</v>
      </c>
      <c r="B12">
        <v>3000</v>
      </c>
      <c r="D12" t="s">
        <v>970</v>
      </c>
    </row>
    <row r="13" spans="1:5">
      <c r="A13" t="s">
        <v>12</v>
      </c>
      <c r="B13">
        <v>3500</v>
      </c>
      <c r="D13" t="s">
        <v>971</v>
      </c>
    </row>
    <row r="14" spans="1:5">
      <c r="A14" t="s">
        <v>13</v>
      </c>
      <c r="B14">
        <v>4000</v>
      </c>
      <c r="D14" t="s">
        <v>972</v>
      </c>
    </row>
    <row r="15" spans="1:5">
      <c r="A15" t="s">
        <v>14</v>
      </c>
      <c r="B15">
        <v>4500</v>
      </c>
    </row>
    <row r="16" spans="1:5">
      <c r="A16" t="s">
        <v>15</v>
      </c>
      <c r="B16">
        <v>5000</v>
      </c>
    </row>
    <row r="17" spans="1:2">
      <c r="A17" t="s">
        <v>16</v>
      </c>
      <c r="B17">
        <v>5500</v>
      </c>
    </row>
    <row r="18" spans="1:2">
      <c r="A18" t="s">
        <v>17</v>
      </c>
      <c r="B18">
        <v>6000</v>
      </c>
    </row>
    <row r="19" spans="1:2">
      <c r="A19" t="s">
        <v>18</v>
      </c>
      <c r="B19">
        <v>6500</v>
      </c>
    </row>
    <row r="20" spans="1:2">
      <c r="A20" t="s">
        <v>19</v>
      </c>
      <c r="B20">
        <v>7000</v>
      </c>
    </row>
    <row r="21" spans="1:2">
      <c r="A21" t="s">
        <v>20</v>
      </c>
      <c r="B21">
        <v>7500</v>
      </c>
    </row>
    <row r="22" spans="1:2">
      <c r="A22" t="s">
        <v>21</v>
      </c>
      <c r="B22">
        <v>8000</v>
      </c>
    </row>
    <row r="23" spans="1:2">
      <c r="A23" t="s">
        <v>22</v>
      </c>
      <c r="B23">
        <v>8500</v>
      </c>
    </row>
    <row r="24" spans="1:2">
      <c r="A24" t="s">
        <v>23</v>
      </c>
      <c r="B24">
        <v>9000</v>
      </c>
    </row>
    <row r="25" spans="1:2">
      <c r="A25" t="s">
        <v>24</v>
      </c>
      <c r="B25">
        <v>10500</v>
      </c>
    </row>
    <row r="26" spans="1:2">
      <c r="A26" t="s">
        <v>25</v>
      </c>
      <c r="B26">
        <v>11000</v>
      </c>
    </row>
    <row r="27" spans="1:2">
      <c r="A27" t="s">
        <v>26</v>
      </c>
      <c r="B27">
        <v>12500</v>
      </c>
    </row>
    <row r="28" spans="1:2">
      <c r="A28" t="s">
        <v>27</v>
      </c>
      <c r="B28">
        <v>13000</v>
      </c>
    </row>
    <row r="29" spans="1:2">
      <c r="A29" t="s">
        <v>28</v>
      </c>
      <c r="B29">
        <v>13500</v>
      </c>
    </row>
    <row r="30" spans="1:2">
      <c r="A30" t="s">
        <v>29</v>
      </c>
      <c r="B30">
        <v>14000</v>
      </c>
    </row>
    <row r="31" spans="1:2">
      <c r="A31" t="s">
        <v>30</v>
      </c>
      <c r="B31">
        <v>14500</v>
      </c>
    </row>
    <row r="32" spans="1:2">
      <c r="A32" t="s">
        <v>31</v>
      </c>
      <c r="B32">
        <v>15000</v>
      </c>
    </row>
    <row r="33" spans="1:2">
      <c r="A33" t="s">
        <v>32</v>
      </c>
      <c r="B33">
        <v>16000</v>
      </c>
    </row>
    <row r="34" spans="1:2">
      <c r="A34" t="s">
        <v>33</v>
      </c>
      <c r="B34">
        <v>17000</v>
      </c>
    </row>
    <row r="35" spans="1:2">
      <c r="A35" t="s">
        <v>34</v>
      </c>
      <c r="B35">
        <v>18000</v>
      </c>
    </row>
    <row r="36" spans="1:2">
      <c r="A36" t="s">
        <v>35</v>
      </c>
      <c r="B36">
        <v>19000</v>
      </c>
    </row>
    <row r="37" spans="1:2">
      <c r="A37" t="s">
        <v>36</v>
      </c>
      <c r="B37">
        <v>20000</v>
      </c>
    </row>
    <row r="38" spans="1:2">
      <c r="A38" t="s">
        <v>37</v>
      </c>
      <c r="B38">
        <v>21000</v>
      </c>
    </row>
    <row r="39" spans="1:2">
      <c r="A39" t="s">
        <v>38</v>
      </c>
      <c r="B39">
        <v>22000</v>
      </c>
    </row>
    <row r="40" spans="1:2">
      <c r="A40" t="s">
        <v>39</v>
      </c>
      <c r="B40">
        <v>23000</v>
      </c>
    </row>
    <row r="41" spans="1:2">
      <c r="A41" t="s">
        <v>40</v>
      </c>
      <c r="B41">
        <v>24000</v>
      </c>
    </row>
    <row r="42" spans="1:2">
      <c r="A42" t="s">
        <v>41</v>
      </c>
      <c r="B42">
        <v>25000</v>
      </c>
    </row>
    <row r="43" spans="1:2">
      <c r="A43" t="s">
        <v>42</v>
      </c>
      <c r="B43">
        <v>26000</v>
      </c>
    </row>
    <row r="44" spans="1:2">
      <c r="A44" t="s">
        <v>43</v>
      </c>
      <c r="B44">
        <v>27000</v>
      </c>
    </row>
    <row r="45" spans="1:2">
      <c r="A45" t="s">
        <v>44</v>
      </c>
      <c r="B45">
        <v>28000</v>
      </c>
    </row>
    <row r="46" spans="1:2">
      <c r="A46" t="s">
        <v>45</v>
      </c>
      <c r="B46">
        <v>29000</v>
      </c>
    </row>
    <row r="47" spans="1:2">
      <c r="A47" t="s">
        <v>46</v>
      </c>
      <c r="B47">
        <v>30000</v>
      </c>
    </row>
    <row r="48" spans="1:2">
      <c r="A48" t="s">
        <v>47</v>
      </c>
      <c r="B48">
        <v>35000</v>
      </c>
    </row>
    <row r="49" spans="1:2">
      <c r="A49" t="s">
        <v>48</v>
      </c>
      <c r="B49">
        <v>40000</v>
      </c>
    </row>
    <row r="50" spans="1:2">
      <c r="A50" t="s">
        <v>49</v>
      </c>
    </row>
    <row r="51" spans="1:2">
      <c r="A51" t="s">
        <v>50</v>
      </c>
    </row>
    <row r="52" spans="1:2">
      <c r="A52" t="s">
        <v>51</v>
      </c>
    </row>
    <row r="53" spans="1:2">
      <c r="A53" t="s">
        <v>52</v>
      </c>
    </row>
    <row r="54" spans="1:2">
      <c r="A54" t="s">
        <v>53</v>
      </c>
    </row>
    <row r="55" spans="1:2">
      <c r="A55" t="s">
        <v>54</v>
      </c>
    </row>
    <row r="56" spans="1:2">
      <c r="A56" t="s">
        <v>55</v>
      </c>
    </row>
    <row r="57" spans="1:2">
      <c r="A57" t="s">
        <v>56</v>
      </c>
    </row>
    <row r="58" spans="1:2">
      <c r="A58" t="s">
        <v>57</v>
      </c>
    </row>
    <row r="59" spans="1:2">
      <c r="A59" t="s">
        <v>58</v>
      </c>
    </row>
    <row r="60" spans="1:2">
      <c r="A60" t="s">
        <v>59</v>
      </c>
    </row>
    <row r="61" spans="1:2">
      <c r="A61" t="s">
        <v>60</v>
      </c>
    </row>
    <row r="62" spans="1:2">
      <c r="A62" t="s">
        <v>61</v>
      </c>
    </row>
    <row r="63" spans="1:2">
      <c r="A63" t="s">
        <v>62</v>
      </c>
    </row>
    <row r="64" spans="1:2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</sheetData>
  <sortState xmlns:xlrd2="http://schemas.microsoft.com/office/spreadsheetml/2017/richdata2" ref="B1:B1472">
    <sortCondition ref="B1:B1472"/>
  </sortState>
  <conditionalFormatting sqref="A68:A70 A75 A1:A52">
    <cfRule type="duplicateValues" dxfId="0" priority="1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2438E95B071743AA324C4100C0CEC7" ma:contentTypeVersion="5" ma:contentTypeDescription="Crée un document." ma:contentTypeScope="" ma:versionID="69451430a245d87726cc8db747df8b6a">
  <xsd:schema xmlns:xsd="http://www.w3.org/2001/XMLSchema" xmlns:xs="http://www.w3.org/2001/XMLSchema" xmlns:p="http://schemas.microsoft.com/office/2006/metadata/properties" xmlns:ns3="e062119f-3443-4d08-b7d4-019daf466b8a" targetNamespace="http://schemas.microsoft.com/office/2006/metadata/properties" ma:root="true" ma:fieldsID="7b0c1b80378330492316175d6cfb0a01" ns3:_="">
    <xsd:import namespace="e062119f-3443-4d08-b7d4-019daf466b8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62119f-3443-4d08-b7d4-019daf46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0" nillable="true" ma:displayName="_activity" ma:hidden="true" ma:internalName="_activity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062119f-3443-4d08-b7d4-019daf466b8a" xsi:nil="true"/>
  </documentManagement>
</p:properties>
</file>

<file path=customXml/itemProps1.xml><?xml version="1.0" encoding="utf-8"?>
<ds:datastoreItem xmlns:ds="http://schemas.openxmlformats.org/officeDocument/2006/customXml" ds:itemID="{5C4E2589-F329-49CE-96E1-EF9C2BD6257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62119f-3443-4d08-b7d4-019daf466b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0FF223-25C2-4821-ADEF-A09CEA9690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E2DE88-2860-49AB-BFEC-4709E5A0A8B7}">
  <ds:schemaRefs>
    <ds:schemaRef ds:uri="http://schemas.microsoft.com/office/2006/metadata/properties"/>
    <ds:schemaRef ds:uri="http://schemas.microsoft.com/office/infopath/2007/PartnerControls"/>
    <ds:schemaRef ds:uri="e062119f-3443-4d08-b7d4-019daf466b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Summary</vt:lpstr>
      <vt:lpstr>KPIs par site</vt:lpstr>
      <vt:lpstr>IS Assumptions</vt:lpstr>
      <vt:lpstr>Listes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Antoine Robert</dc:creator>
  <cp:keywords/>
  <dc:description/>
  <cp:lastModifiedBy>Stanislus Ngopi</cp:lastModifiedBy>
  <cp:revision/>
  <dcterms:created xsi:type="dcterms:W3CDTF">2023-01-03T16:05:32Z</dcterms:created>
  <dcterms:modified xsi:type="dcterms:W3CDTF">2026-08-21T08:30:02Z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0x010100EF2438E95B071743AA324C4100C0CEC7</vt:lpwstr>
  </property>
</Properties>
</file>